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Cecilia Mwaura\Documents\"/>
    </mc:Choice>
  </mc:AlternateContent>
  <xr:revisionPtr revIDLastSave="0" documentId="13_ncr:1_{DF26BA65-23D2-420D-BA23-EEE512E57D46}" xr6:coauthVersionLast="47" xr6:coauthVersionMax="47" xr10:uidLastSave="{00000000-0000-0000-0000-000000000000}"/>
  <bookViews>
    <workbookView xWindow="-120" yWindow="-120" windowWidth="20730" windowHeight="11760" tabRatio="927" firstSheet="1" activeTab="7" xr2:uid="{00000000-000D-0000-FFFF-FFFF00000000}"/>
  </bookViews>
  <sheets>
    <sheet name="NewRecipeList" sheetId="38" state="hidden" r:id="rId1"/>
    <sheet name="Pork Breaking" sheetId="16" r:id="rId2"/>
    <sheet name="Deboning Sow" sheetId="30" state="veryHidden" r:id="rId3"/>
    <sheet name="Pork Leg Deboning" sheetId="15" r:id="rId4"/>
    <sheet name="Middles" sheetId="14" r:id="rId5"/>
    <sheet name="shoulders" sheetId="13" r:id="rId6"/>
    <sheet name="Slicing" sheetId="29" r:id="rId7"/>
    <sheet name="New Deboning Leg" sheetId="32" r:id="rId8"/>
    <sheet name="New Deboning Middles" sheetId="37" r:id="rId9"/>
    <sheet name="New Deboning Shoulder" sheetId="33" r:id="rId10"/>
    <sheet name="WorkingConsolidate" sheetId="27" state="hidden" r:id="rId11"/>
    <sheet name="ConsolidateUpload" sheetId="10" r:id="rId12"/>
  </sheets>
  <functionGroups builtInGroupCount="19"/>
  <externalReferences>
    <externalReference r:id="rId13"/>
    <externalReference r:id="rId14"/>
    <externalReference r:id="rId15"/>
    <externalReference r:id="rId16"/>
  </externalReferences>
  <definedNames>
    <definedName name="_xlnm._FilterDatabase" localSheetId="11" hidden="1">ConsolidateUpload!$A$1:$G$1</definedName>
    <definedName name="_xlnm._FilterDatabase" localSheetId="7" hidden="1">'New Deboning Leg'!$B$7:$M$38</definedName>
    <definedName name="_xlnm._FilterDatabase" localSheetId="8" hidden="1">'New Deboning Middles'!$B$7:$M$62</definedName>
    <definedName name="_xlnm._FilterDatabase" localSheetId="9" hidden="1">'New Deboning Shoulder'!$B$7:$M$32</definedName>
    <definedName name="ActivatedRecipe">Middles!$D$8:$D$88</definedName>
    <definedName name="CarcaseForBreaking">'Pork Breaking'!$E$14</definedName>
    <definedName name="DeboningDate" localSheetId="0">'[1]Pork Breaking'!$D$2</definedName>
    <definedName name="DeboningDate">'Pork Breaking'!$D$2</definedName>
    <definedName name="Effective_Date" localSheetId="0">'[2]Behead Pig|Porker|Sows'!$D$2</definedName>
    <definedName name="Effective_Date" localSheetId="6">'[3]Behead Pig|Porker|Sows'!$D$2</definedName>
    <definedName name="Effective_Date">'[2]Behead Pig|Porker|Sows'!$D$2</definedName>
    <definedName name="full_percent">100</definedName>
    <definedName name="LegBreaked">'Pork Breaking'!$E$20</definedName>
    <definedName name="lk" localSheetId="8">#REF!</definedName>
    <definedName name="lk" localSheetId="0">#REF!</definedName>
    <definedName name="lk" localSheetId="6">#REF!</definedName>
    <definedName name="lk">#REF!</definedName>
    <definedName name="MiddleBreaked">'Pork Breaking'!$E$25</definedName>
    <definedName name="_xlnm.Print_Area" localSheetId="4">Middles!$B$1:$I$124</definedName>
    <definedName name="_xlnm.Print_Area" localSheetId="3">'Pork Leg Deboning'!$B$1:$G$60</definedName>
    <definedName name="_xlnm.Print_Area" localSheetId="5">shoulders!$B$1:$H$69</definedName>
    <definedName name="_xlnm.Print_Area" localSheetId="6">Slicing!$B$1:$S$107</definedName>
    <definedName name="Shoulder_by_Product" localSheetId="0">{"G1231","G1229","G1334","G1245"}</definedName>
    <definedName name="Shoulder_by_Product" localSheetId="6">{"G1231","G1229","G1334","G1245"}</definedName>
    <definedName name="Shoulder_by_Product">{"G1231","G1229","G1334","G1245"}</definedName>
    <definedName name="ShoulderBreaked">'Pork Breaking'!$E$30</definedName>
    <definedName name="TableReverse" localSheetId="8">#REF!</definedName>
    <definedName name="TableReverse" localSheetId="0">#REF!</definedName>
    <definedName name="TableRevers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L9" i="32" l="1"/>
  <c r="AL10" i="32"/>
  <c r="AL11" i="32"/>
  <c r="AL12" i="32"/>
  <c r="AL13" i="32"/>
  <c r="AL14" i="32"/>
  <c r="AL15" i="32"/>
  <c r="AL16" i="32"/>
  <c r="AL17" i="32"/>
  <c r="AL18" i="32"/>
  <c r="AL19" i="32"/>
  <c r="AL20" i="32"/>
  <c r="AL21" i="32"/>
  <c r="AL22" i="32"/>
  <c r="AL23" i="32"/>
  <c r="AL24" i="32"/>
  <c r="AL25" i="32"/>
  <c r="AL26" i="32"/>
  <c r="AL27" i="32"/>
  <c r="AL28" i="32"/>
  <c r="AL29" i="32"/>
  <c r="AL30" i="32"/>
  <c r="AL31" i="32"/>
  <c r="AL32" i="32"/>
  <c r="AL33" i="32"/>
  <c r="AL34" i="32"/>
  <c r="AL35" i="32"/>
  <c r="AL36" i="32"/>
  <c r="AL37" i="32"/>
  <c r="AL38" i="32"/>
  <c r="AL8" i="32"/>
  <c r="AE7" i="33"/>
  <c r="BD67" i="33"/>
  <c r="E73" i="29" l="1"/>
  <c r="E67" i="29"/>
  <c r="E63" i="29"/>
  <c r="J76" i="29"/>
  <c r="J73" i="29"/>
  <c r="J71" i="29"/>
  <c r="J70" i="29"/>
  <c r="J69" i="29"/>
  <c r="J68" i="29"/>
  <c r="J67" i="29"/>
  <c r="J65" i="29"/>
  <c r="J64" i="29"/>
  <c r="J63" i="29"/>
  <c r="J61" i="29"/>
  <c r="J60" i="29"/>
  <c r="J59" i="29"/>
  <c r="J57" i="29"/>
  <c r="J56" i="29"/>
  <c r="J55" i="29"/>
  <c r="E59" i="29"/>
  <c r="E57" i="29"/>
  <c r="E56" i="29"/>
  <c r="E55" i="29"/>
  <c r="E46" i="29"/>
  <c r="E42" i="29"/>
  <c r="J49" i="29"/>
  <c r="J48" i="29"/>
  <c r="J47" i="29"/>
  <c r="J46" i="29"/>
  <c r="J44" i="29"/>
  <c r="J43" i="29"/>
  <c r="J42" i="29"/>
  <c r="J40" i="29"/>
  <c r="J38" i="29"/>
  <c r="J37" i="29"/>
  <c r="E37" i="29"/>
  <c r="Q28" i="29"/>
  <c r="P28" i="29"/>
  <c r="J27" i="29"/>
  <c r="J24" i="29"/>
  <c r="E24" i="29"/>
  <c r="E16" i="29"/>
  <c r="S22" i="29"/>
  <c r="Q22" i="29"/>
  <c r="Q21" i="29"/>
  <c r="P21" i="29"/>
  <c r="S20" i="29"/>
  <c r="S18" i="29"/>
  <c r="S17" i="29"/>
  <c r="S16" i="29"/>
  <c r="Q16" i="29"/>
  <c r="Q15" i="29"/>
  <c r="S14" i="29"/>
  <c r="Q14" i="29"/>
  <c r="S13" i="29"/>
  <c r="Q13" i="29"/>
  <c r="E12" i="29"/>
  <c r="S9" i="29"/>
  <c r="R9" i="29"/>
  <c r="Q9" i="29"/>
  <c r="P9" i="29"/>
  <c r="J17" i="29"/>
  <c r="J16" i="29"/>
  <c r="J14" i="29"/>
  <c r="J13" i="29"/>
  <c r="J12" i="29"/>
  <c r="J10" i="29"/>
  <c r="J7" i="29"/>
  <c r="J6" i="29"/>
  <c r="E6" i="29"/>
  <c r="I50" i="13"/>
  <c r="I49" i="13"/>
  <c r="I48" i="13"/>
  <c r="I47" i="13"/>
  <c r="I46" i="13"/>
  <c r="I45" i="13"/>
  <c r="I44" i="13"/>
  <c r="I43" i="13"/>
  <c r="I42" i="13"/>
  <c r="I41" i="13"/>
  <c r="I40" i="13"/>
  <c r="I39" i="13"/>
  <c r="I38" i="13"/>
  <c r="I37" i="13"/>
  <c r="I36" i="13"/>
  <c r="I35" i="13"/>
  <c r="I34" i="13"/>
  <c r="I33" i="13"/>
  <c r="I32" i="13"/>
  <c r="I31" i="13"/>
  <c r="J27" i="13"/>
  <c r="I27" i="13"/>
  <c r="J26" i="13"/>
  <c r="I26" i="13"/>
  <c r="J25" i="13"/>
  <c r="I25" i="13"/>
  <c r="J24" i="13"/>
  <c r="I24" i="13"/>
  <c r="J23" i="13"/>
  <c r="I23" i="13"/>
  <c r="J22" i="13"/>
  <c r="I22" i="13"/>
  <c r="J21" i="13"/>
  <c r="I21" i="13"/>
  <c r="J20" i="13"/>
  <c r="I20" i="13"/>
  <c r="J19" i="13"/>
  <c r="I19" i="13"/>
  <c r="J18" i="13"/>
  <c r="I18" i="13"/>
  <c r="J17" i="13"/>
  <c r="I17" i="13"/>
  <c r="J16" i="13"/>
  <c r="I16" i="13"/>
  <c r="J15" i="13"/>
  <c r="I15" i="13"/>
  <c r="J14" i="13"/>
  <c r="I14" i="13"/>
  <c r="J13" i="13"/>
  <c r="I13" i="13"/>
  <c r="J12" i="13"/>
  <c r="I12" i="13"/>
  <c r="J11" i="13"/>
  <c r="I11" i="13"/>
  <c r="J10" i="13"/>
  <c r="I10" i="13"/>
  <c r="J9" i="13"/>
  <c r="I9" i="13"/>
  <c r="J8" i="13"/>
  <c r="I8" i="13"/>
  <c r="H134" i="14"/>
  <c r="H133" i="14"/>
  <c r="H132" i="14"/>
  <c r="H131" i="14"/>
  <c r="H130" i="14"/>
  <c r="J119" i="14"/>
  <c r="J117" i="14"/>
  <c r="J113" i="14"/>
  <c r="J111" i="14"/>
  <c r="J109" i="14"/>
  <c r="J107" i="14"/>
  <c r="K104" i="14"/>
  <c r="J104" i="14"/>
  <c r="K102" i="14"/>
  <c r="J102" i="14"/>
  <c r="K100" i="14"/>
  <c r="J100" i="14"/>
  <c r="K98" i="14"/>
  <c r="J98" i="14"/>
  <c r="K96" i="14"/>
  <c r="J96" i="14"/>
  <c r="K80" i="14"/>
  <c r="J80" i="14"/>
  <c r="K74" i="14"/>
  <c r="J74" i="14"/>
  <c r="K63" i="14"/>
  <c r="J63" i="14"/>
  <c r="K57" i="14"/>
  <c r="J57" i="14"/>
  <c r="K48" i="14"/>
  <c r="J48" i="14"/>
  <c r="K43" i="14"/>
  <c r="J43" i="14"/>
  <c r="K38" i="14"/>
  <c r="J38" i="14"/>
  <c r="K35" i="14"/>
  <c r="J35" i="14"/>
  <c r="K24" i="14"/>
  <c r="J24" i="14"/>
  <c r="K21" i="14"/>
  <c r="J21" i="14"/>
  <c r="K13" i="14"/>
  <c r="J13" i="14"/>
  <c r="K8" i="14"/>
  <c r="J8" i="14"/>
  <c r="H51" i="15"/>
  <c r="H49" i="15"/>
  <c r="H48" i="15"/>
  <c r="H47" i="15"/>
  <c r="I42" i="15"/>
  <c r="H42" i="15"/>
  <c r="I41" i="15"/>
  <c r="H41" i="15"/>
  <c r="I40" i="15"/>
  <c r="H40" i="15"/>
  <c r="I39" i="15"/>
  <c r="H39" i="15"/>
  <c r="I38" i="15"/>
  <c r="H38" i="15"/>
  <c r="I37" i="15"/>
  <c r="H37" i="15"/>
  <c r="I36" i="15"/>
  <c r="H36" i="15"/>
  <c r="I35" i="15"/>
  <c r="H35" i="15"/>
  <c r="I34" i="15"/>
  <c r="H34" i="15"/>
  <c r="I33" i="15"/>
  <c r="H33" i="15"/>
  <c r="I32" i="15"/>
  <c r="H32" i="15"/>
  <c r="I31" i="15"/>
  <c r="H31" i="15"/>
  <c r="I30" i="15"/>
  <c r="H30" i="15"/>
  <c r="I29" i="15"/>
  <c r="H29" i="15"/>
  <c r="I28" i="15"/>
  <c r="H28" i="15"/>
  <c r="I27" i="15"/>
  <c r="H27" i="15"/>
  <c r="I26" i="15"/>
  <c r="H26" i="15"/>
  <c r="I25" i="15"/>
  <c r="H25" i="15"/>
  <c r="I24" i="15"/>
  <c r="H24" i="15"/>
  <c r="I23" i="15"/>
  <c r="H23" i="15"/>
  <c r="I22" i="15"/>
  <c r="H22" i="15"/>
  <c r="I21" i="15"/>
  <c r="H21" i="15"/>
  <c r="I20" i="15"/>
  <c r="H20" i="15"/>
  <c r="I19" i="15"/>
  <c r="H19" i="15"/>
  <c r="I18" i="15"/>
  <c r="H18" i="15"/>
  <c r="I17" i="15"/>
  <c r="H17" i="15"/>
  <c r="I16" i="15"/>
  <c r="H16" i="15"/>
  <c r="I15" i="15"/>
  <c r="H15" i="15"/>
  <c r="I14" i="15"/>
  <c r="H14" i="15"/>
  <c r="I13" i="15"/>
  <c r="H13" i="15"/>
  <c r="I12" i="15"/>
  <c r="H12" i="15"/>
  <c r="I11" i="15"/>
  <c r="H11" i="15"/>
  <c r="I10" i="15"/>
  <c r="H10" i="15"/>
  <c r="I9" i="15"/>
  <c r="H9" i="15"/>
  <c r="I8" i="15"/>
  <c r="H8" i="15"/>
  <c r="D2" i="16"/>
  <c r="H55" i="15"/>
  <c r="G42" i="16"/>
  <c r="F42" i="16"/>
  <c r="F32" i="16"/>
  <c r="G28" i="16"/>
  <c r="F28" i="16"/>
  <c r="G23" i="16"/>
  <c r="F23" i="16"/>
  <c r="I18" i="16"/>
  <c r="G18" i="16"/>
  <c r="F18" i="16"/>
  <c r="G8" i="16"/>
  <c r="F8" i="16"/>
  <c r="O4" i="16"/>
  <c r="N4" i="16"/>
  <c r="G4" i="16"/>
  <c r="G3" i="16"/>
  <c r="W68" i="37" l="1" a="1"/>
  <c r="W68" i="37" s="1"/>
  <c r="P39" i="33" a="1"/>
  <c r="Q39" i="33" s="1"/>
  <c r="AA68" i="37" l="1"/>
  <c r="AB68" i="37"/>
  <c r="Z68" i="37"/>
  <c r="Y68" i="37"/>
  <c r="AD68" i="37"/>
  <c r="AC68" i="37"/>
  <c r="X68" i="37"/>
  <c r="X39" i="33"/>
  <c r="T39" i="33"/>
  <c r="P39" i="33"/>
  <c r="W39" i="33"/>
  <c r="S39" i="33"/>
  <c r="V39" i="33"/>
  <c r="R39" i="33"/>
  <c r="U39" i="33"/>
  <c r="D27" i="13" a="1"/>
  <c r="D27" i="13" s="1"/>
  <c r="D25" i="13" a="1"/>
  <c r="D25" i="13" s="1"/>
  <c r="D23" i="13" a="1"/>
  <c r="D23" i="13" s="1"/>
  <c r="D21" i="13" a="1"/>
  <c r="D21" i="13" s="1"/>
  <c r="D17" i="13" a="1"/>
  <c r="D17" i="13" s="1"/>
  <c r="D14" i="13" a="1"/>
  <c r="D14" i="13" s="1"/>
  <c r="D11" i="13" a="1"/>
  <c r="D11" i="13" s="1"/>
  <c r="D9" i="13" a="1"/>
  <c r="D9" i="13" s="1"/>
  <c r="E88" i="14" l="1" a="1"/>
  <c r="E88" i="14" s="1"/>
  <c r="E87" i="14" a="1"/>
  <c r="E87" i="14" s="1"/>
  <c r="E86" i="14" a="1"/>
  <c r="E86" i="14" s="1"/>
  <c r="E85" i="14" a="1"/>
  <c r="E85" i="14" s="1"/>
  <c r="E84" i="14" a="1"/>
  <c r="E84" i="14" s="1"/>
  <c r="E83" i="14" a="1"/>
  <c r="E83" i="14" s="1"/>
  <c r="E82" i="14" a="1"/>
  <c r="E82" i="14" s="1"/>
  <c r="E79" i="14" a="1"/>
  <c r="E79" i="14" s="1"/>
  <c r="E78" i="14" a="1"/>
  <c r="E78" i="14" s="1"/>
  <c r="E77" i="14" a="1"/>
  <c r="E77" i="14" s="1"/>
  <c r="E76" i="14" a="1"/>
  <c r="E76" i="14" s="1"/>
  <c r="E73" i="14" a="1"/>
  <c r="E73" i="14" s="1"/>
  <c r="E70" i="14" a="1"/>
  <c r="E70" i="14" s="1"/>
  <c r="E69" i="14" a="1"/>
  <c r="E69" i="14" s="1"/>
  <c r="E68" i="14" a="1"/>
  <c r="E68" i="14" s="1"/>
  <c r="E67" i="14" a="1"/>
  <c r="E67" i="14" s="1"/>
  <c r="E66" i="14" a="1"/>
  <c r="E66" i="14" s="1"/>
  <c r="E65" i="14" a="1"/>
  <c r="E65" i="14" s="1"/>
  <c r="E62" i="14" a="1"/>
  <c r="E62" i="14" s="1"/>
  <c r="E61" i="14" a="1"/>
  <c r="E61" i="14" s="1"/>
  <c r="E60" i="14" a="1"/>
  <c r="E60" i="14" s="1"/>
  <c r="E59" i="14" a="1"/>
  <c r="E59" i="14" s="1"/>
  <c r="E56" i="14" a="1"/>
  <c r="E56" i="14" s="1"/>
  <c r="E55" i="14" a="1"/>
  <c r="E55" i="14" s="1"/>
  <c r="E54" i="14" a="1"/>
  <c r="E54" i="14" s="1"/>
  <c r="E53" i="14" a="1"/>
  <c r="E53" i="14" s="1"/>
  <c r="E52" i="14" a="1"/>
  <c r="E52" i="14" s="1"/>
  <c r="E51" i="14" a="1"/>
  <c r="E51" i="14" s="1"/>
  <c r="E50" i="14" a="1"/>
  <c r="E50" i="14" s="1"/>
  <c r="E47" i="14" a="1"/>
  <c r="E47" i="14" s="1"/>
  <c r="E46" i="14" a="1"/>
  <c r="E46" i="14" s="1"/>
  <c r="E45" i="14" a="1"/>
  <c r="E45" i="14" s="1"/>
  <c r="E42" i="14" a="1"/>
  <c r="E42" i="14" s="1"/>
  <c r="E41" i="14" a="1"/>
  <c r="E41" i="14" s="1"/>
  <c r="E40" i="14" a="1"/>
  <c r="E40" i="14" s="1"/>
  <c r="E37" i="14" a="1"/>
  <c r="E37" i="14" s="1"/>
  <c r="E23" i="14" a="1"/>
  <c r="E23" i="14" s="1"/>
  <c r="E34" i="14" a="1"/>
  <c r="E34" i="14" s="1"/>
  <c r="E33" i="14" a="1"/>
  <c r="E33" i="14" s="1"/>
  <c r="E32" i="14" a="1"/>
  <c r="E32" i="14" s="1"/>
  <c r="E31" i="14" a="1"/>
  <c r="E31" i="14" s="1"/>
  <c r="E30" i="14" a="1"/>
  <c r="E30" i="14" s="1"/>
  <c r="E29" i="14" a="1"/>
  <c r="E29" i="14" s="1"/>
  <c r="E28" i="14" a="1"/>
  <c r="E28" i="14" s="1"/>
  <c r="E27" i="14" a="1"/>
  <c r="E27" i="14" s="1"/>
  <c r="E26" i="14" a="1"/>
  <c r="E26" i="14" s="1"/>
  <c r="E20" i="14" a="1"/>
  <c r="E20" i="14" s="1"/>
  <c r="E19" i="14" a="1"/>
  <c r="E19" i="14" s="1"/>
  <c r="E18" i="14" a="1"/>
  <c r="E18" i="14" s="1"/>
  <c r="E17" i="14" a="1"/>
  <c r="E17" i="14" s="1"/>
  <c r="E16" i="14" a="1"/>
  <c r="E16" i="14" s="1"/>
  <c r="E15" i="14" a="1"/>
  <c r="E15" i="14" s="1"/>
  <c r="E12" i="14" a="1"/>
  <c r="E12" i="14" s="1"/>
  <c r="E11" i="14" a="1"/>
  <c r="E11" i="14" s="1"/>
  <c r="E10" i="14" a="1"/>
  <c r="E10" i="14" s="1"/>
  <c r="A10" i="14" l="1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A65" i="14"/>
  <c r="A66" i="14"/>
  <c r="A67" i="14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9" i="14"/>
  <c r="A8" i="14"/>
  <c r="H84" i="14"/>
  <c r="D84" i="14" s="1" a="1"/>
  <c r="D84" i="14" s="1"/>
  <c r="G84" i="14"/>
  <c r="H83" i="14"/>
  <c r="D83" i="14" s="1" a="1"/>
  <c r="D83" i="14" s="1"/>
  <c r="G83" i="14"/>
  <c r="H82" i="14"/>
  <c r="D82" i="14" s="1" a="1"/>
  <c r="D82" i="14" s="1"/>
  <c r="G82" i="14"/>
  <c r="H88" i="14"/>
  <c r="D88" i="14" s="1" a="1"/>
  <c r="D88" i="14" s="1"/>
  <c r="G88" i="14"/>
  <c r="H87" i="14"/>
  <c r="D87" i="14" s="1" a="1"/>
  <c r="D87" i="14" s="1"/>
  <c r="G87" i="14"/>
  <c r="H86" i="14"/>
  <c r="D86" i="14" s="1" a="1"/>
  <c r="D86" i="14" s="1"/>
  <c r="G86" i="14"/>
  <c r="H85" i="14"/>
  <c r="D85" i="14" s="1" a="1"/>
  <c r="D85" i="14" s="1"/>
  <c r="G85" i="14"/>
  <c r="H80" i="14"/>
  <c r="G80" i="14"/>
  <c r="H76" i="14"/>
  <c r="D76" i="14" s="1" a="1"/>
  <c r="D76" i="14" s="1"/>
  <c r="G76" i="14"/>
  <c r="H77" i="14"/>
  <c r="D77" i="14" s="1" a="1"/>
  <c r="D77" i="14" s="1"/>
  <c r="G77" i="14"/>
  <c r="H73" i="14"/>
  <c r="D73" i="14" s="1" a="1"/>
  <c r="D73" i="14" s="1"/>
  <c r="G73" i="14"/>
  <c r="H71" i="14"/>
  <c r="G71" i="14"/>
  <c r="H67" i="14"/>
  <c r="D67" i="14" s="1" a="1"/>
  <c r="D67" i="14" s="1"/>
  <c r="G67" i="14"/>
  <c r="H61" i="14"/>
  <c r="D61" i="14" s="1" a="1"/>
  <c r="D61" i="14" s="1"/>
  <c r="G61" i="14"/>
  <c r="H60" i="14"/>
  <c r="D60" i="14" s="1" a="1"/>
  <c r="D60" i="14" s="1"/>
  <c r="G60" i="14"/>
  <c r="H59" i="14"/>
  <c r="D59" i="14" s="1" a="1"/>
  <c r="D59" i="14" s="1"/>
  <c r="G59" i="14"/>
  <c r="H62" i="14"/>
  <c r="D62" i="14" s="1" a="1"/>
  <c r="D62" i="14" s="1"/>
  <c r="G62" i="14"/>
  <c r="H52" i="14"/>
  <c r="D52" i="14" s="1" a="1"/>
  <c r="D52" i="14" s="1"/>
  <c r="G52" i="14"/>
  <c r="H51" i="14"/>
  <c r="D51" i="14" s="1" a="1"/>
  <c r="D51" i="14" s="1"/>
  <c r="G51" i="14"/>
  <c r="H50" i="14"/>
  <c r="D50" i="14" s="1" a="1"/>
  <c r="D50" i="14" s="1"/>
  <c r="G50" i="14"/>
  <c r="G40" i="14"/>
  <c r="H40" i="14"/>
  <c r="D40" i="14" s="1" a="1"/>
  <c r="D40" i="14" s="1"/>
  <c r="G41" i="14"/>
  <c r="H41" i="14"/>
  <c r="D41" i="14" s="1" a="1"/>
  <c r="D41" i="14" s="1"/>
  <c r="G42" i="14"/>
  <c r="H42" i="14"/>
  <c r="D42" i="14" s="1" a="1"/>
  <c r="D42" i="14" s="1"/>
  <c r="H37" i="14"/>
  <c r="D37" i="14" s="1" a="1"/>
  <c r="D37" i="14" s="1"/>
  <c r="G37" i="14"/>
  <c r="H35" i="14"/>
  <c r="G35" i="14"/>
  <c r="H30" i="14"/>
  <c r="D30" i="14" s="1" a="1"/>
  <c r="D30" i="14" s="1"/>
  <c r="G30" i="14"/>
  <c r="H29" i="14"/>
  <c r="D29" i="14" s="1" a="1"/>
  <c r="D29" i="14" s="1"/>
  <c r="G29" i="14"/>
  <c r="H28" i="14"/>
  <c r="D28" i="14" s="1" a="1"/>
  <c r="D28" i="14" s="1"/>
  <c r="G28" i="14"/>
  <c r="H23" i="14"/>
  <c r="G23" i="14"/>
  <c r="H21" i="14"/>
  <c r="G21" i="14"/>
  <c r="H12" i="14"/>
  <c r="D12" i="14" s="1" a="1"/>
  <c r="D12" i="14" s="1"/>
  <c r="G12" i="14"/>
  <c r="H11" i="14"/>
  <c r="D11" i="14" s="1" a="1"/>
  <c r="D11" i="14" s="1"/>
  <c r="G11" i="14"/>
  <c r="H10" i="14"/>
  <c r="D10" i="14" s="1" a="1"/>
  <c r="D10" i="14" s="1"/>
  <c r="G10" i="14"/>
  <c r="H8" i="14"/>
  <c r="G8" i="14"/>
  <c r="D23" i="14" l="1" a="1"/>
  <c r="D23" i="14" s="1"/>
  <c r="F86" i="14"/>
  <c r="F88" i="14"/>
  <c r="F83" i="14"/>
  <c r="F10" i="14"/>
  <c r="S1148" i="38" l="1"/>
  <c r="Q1148" i="38"/>
  <c r="S1147" i="38"/>
  <c r="Q1147" i="38"/>
  <c r="S1146" i="38"/>
  <c r="Q1146" i="38"/>
  <c r="S1145" i="38"/>
  <c r="Q1145" i="38"/>
  <c r="S1144" i="38"/>
  <c r="Q1144" i="38"/>
  <c r="S1143" i="38"/>
  <c r="Q1143" i="38"/>
  <c r="S1142" i="38"/>
  <c r="Q1142" i="38"/>
  <c r="S1141" i="38"/>
  <c r="Q1141" i="38"/>
  <c r="S1140" i="38"/>
  <c r="Q1140" i="38"/>
  <c r="S1139" i="38"/>
  <c r="Q1139" i="38"/>
  <c r="S1138" i="38"/>
  <c r="Q1138" i="38"/>
  <c r="S1137" i="38"/>
  <c r="Q1137" i="38"/>
  <c r="S1136" i="38"/>
  <c r="Q1136" i="38"/>
  <c r="S1135" i="38"/>
  <c r="Q1135" i="38"/>
  <c r="S1134" i="38"/>
  <c r="Q1134" i="38"/>
  <c r="S1133" i="38"/>
  <c r="Q1133" i="38"/>
  <c r="S1132" i="38"/>
  <c r="Q1132" i="38"/>
  <c r="S1131" i="38"/>
  <c r="Q1131" i="38"/>
  <c r="S1130" i="38"/>
  <c r="Q1130" i="38"/>
  <c r="S1129" i="38"/>
  <c r="Q1129" i="38"/>
  <c r="S1128" i="38"/>
  <c r="Q1128" i="38"/>
  <c r="S1127" i="38"/>
  <c r="Q1127" i="38"/>
  <c r="S1126" i="38"/>
  <c r="Q1126" i="38"/>
  <c r="S1125" i="38"/>
  <c r="Q1125" i="38"/>
  <c r="S1124" i="38"/>
  <c r="Q1124" i="38"/>
  <c r="S1123" i="38"/>
  <c r="Q1123" i="38"/>
  <c r="S1122" i="38"/>
  <c r="Q1122" i="38"/>
  <c r="S1121" i="38"/>
  <c r="Q1121" i="38"/>
  <c r="S1120" i="38"/>
  <c r="Q1120" i="38"/>
  <c r="S1119" i="38"/>
  <c r="Q1119" i="38"/>
  <c r="S1118" i="38"/>
  <c r="Q1118" i="38"/>
  <c r="S1117" i="38"/>
  <c r="Q1117" i="38"/>
  <c r="S1116" i="38"/>
  <c r="Q1116" i="38"/>
  <c r="S1115" i="38"/>
  <c r="Q1115" i="38"/>
  <c r="S1114" i="38"/>
  <c r="Q1114" i="38"/>
  <c r="S1113" i="38"/>
  <c r="Q1113" i="38"/>
  <c r="S1112" i="38"/>
  <c r="Q1112" i="38"/>
  <c r="S1111" i="38"/>
  <c r="Q1111" i="38"/>
  <c r="S1110" i="38"/>
  <c r="Q1110" i="38"/>
  <c r="S1109" i="38"/>
  <c r="Q1109" i="38"/>
  <c r="S1108" i="38"/>
  <c r="Q1108" i="38"/>
  <c r="S1107" i="38"/>
  <c r="Q1107" i="38"/>
  <c r="S1106" i="38"/>
  <c r="Q1106" i="38"/>
  <c r="S1105" i="38"/>
  <c r="Q1105" i="38"/>
  <c r="S1104" i="38"/>
  <c r="Q1104" i="38"/>
  <c r="S1103" i="38"/>
  <c r="Q1103" i="38"/>
  <c r="S1102" i="38"/>
  <c r="Q1102" i="38"/>
  <c r="S1101" i="38"/>
  <c r="Q1101" i="38"/>
  <c r="S1100" i="38"/>
  <c r="Q1100" i="38"/>
  <c r="S1099" i="38"/>
  <c r="Q1099" i="38"/>
  <c r="S1098" i="38"/>
  <c r="Q1098" i="38"/>
  <c r="S1097" i="38"/>
  <c r="Q1097" i="38"/>
  <c r="S1096" i="38"/>
  <c r="Q1096" i="38"/>
  <c r="S1095" i="38"/>
  <c r="Q1095" i="38"/>
  <c r="S1094" i="38"/>
  <c r="Q1094" i="38"/>
  <c r="S1093" i="38"/>
  <c r="Q1093" i="38"/>
  <c r="S1092" i="38"/>
  <c r="Q1092" i="38"/>
  <c r="S1091" i="38"/>
  <c r="Q1091" i="38"/>
  <c r="S1090" i="38"/>
  <c r="Q1090" i="38"/>
  <c r="S1089" i="38"/>
  <c r="Q1089" i="38"/>
  <c r="S1088" i="38"/>
  <c r="Q1088" i="38"/>
  <c r="S1087" i="38"/>
  <c r="Q1087" i="38"/>
  <c r="S1086" i="38"/>
  <c r="Q1086" i="38"/>
  <c r="S1085" i="38"/>
  <c r="Q1085" i="38"/>
  <c r="S1084" i="38"/>
  <c r="Q1084" i="38"/>
  <c r="S1083" i="38"/>
  <c r="Q1083" i="38"/>
  <c r="S1082" i="38"/>
  <c r="Q1082" i="38"/>
  <c r="S1081" i="38"/>
  <c r="Q1081" i="38"/>
  <c r="S1080" i="38"/>
  <c r="Q1080" i="38"/>
  <c r="S1079" i="38"/>
  <c r="Q1079" i="38"/>
  <c r="S1078" i="38"/>
  <c r="Q1078" i="38"/>
  <c r="S1077" i="38"/>
  <c r="Q1077" i="38"/>
  <c r="S1076" i="38"/>
  <c r="Q1076" i="38"/>
  <c r="S1075" i="38"/>
  <c r="Q1075" i="38"/>
  <c r="S1074" i="38"/>
  <c r="Q1074" i="38"/>
  <c r="S1073" i="38"/>
  <c r="Q1073" i="38"/>
  <c r="S1072" i="38"/>
  <c r="Q1072" i="38"/>
  <c r="S1071" i="38"/>
  <c r="Q1071" i="38"/>
  <c r="S1070" i="38"/>
  <c r="Q1070" i="38"/>
  <c r="S1069" i="38"/>
  <c r="Q1069" i="38"/>
  <c r="S1068" i="38"/>
  <c r="Q1068" i="38"/>
  <c r="S1067" i="38"/>
  <c r="Q1067" i="38"/>
  <c r="S1066" i="38"/>
  <c r="Q1066" i="38"/>
  <c r="S1065" i="38"/>
  <c r="Q1065" i="38"/>
  <c r="S1064" i="38"/>
  <c r="Q1064" i="38"/>
  <c r="S1063" i="38"/>
  <c r="Q1063" i="38"/>
  <c r="S1062" i="38"/>
  <c r="Q1062" i="38"/>
  <c r="S1061" i="38"/>
  <c r="Q1061" i="38"/>
  <c r="S1060" i="38"/>
  <c r="Q1060" i="38"/>
  <c r="S1059" i="38"/>
  <c r="Q1059" i="38"/>
  <c r="S1058" i="38"/>
  <c r="Q1058" i="38"/>
  <c r="S1057" i="38"/>
  <c r="Q1057" i="38"/>
  <c r="S1056" i="38"/>
  <c r="Q1056" i="38"/>
  <c r="S1055" i="38"/>
  <c r="Q1055" i="38"/>
  <c r="S1054" i="38"/>
  <c r="Q1054" i="38"/>
  <c r="S1053" i="38"/>
  <c r="Q1053" i="38"/>
  <c r="S1052" i="38"/>
  <c r="Q1052" i="38"/>
  <c r="S1051" i="38"/>
  <c r="Q1051" i="38"/>
  <c r="S1050" i="38"/>
  <c r="Q1050" i="38"/>
  <c r="S1049" i="38"/>
  <c r="Q1049" i="38"/>
  <c r="S1048" i="38"/>
  <c r="Q1048" i="38"/>
  <c r="S1047" i="38"/>
  <c r="Q1047" i="38"/>
  <c r="S1046" i="38"/>
  <c r="Q1046" i="38"/>
  <c r="S1045" i="38"/>
  <c r="Q1045" i="38"/>
  <c r="S1044" i="38"/>
  <c r="Q1044" i="38"/>
  <c r="S1043" i="38"/>
  <c r="Q1043" i="38"/>
  <c r="S1042" i="38"/>
  <c r="Q1042" i="38"/>
  <c r="S1041" i="38"/>
  <c r="Q1041" i="38"/>
  <c r="S1040" i="38"/>
  <c r="Q1040" i="38"/>
  <c r="S1039" i="38"/>
  <c r="Q1039" i="38"/>
  <c r="S1038" i="38"/>
  <c r="Q1038" i="38"/>
  <c r="S1037" i="38"/>
  <c r="Q1037" i="38"/>
  <c r="S1036" i="38"/>
  <c r="Q1036" i="38"/>
  <c r="S1035" i="38"/>
  <c r="Q1035" i="38"/>
  <c r="S1034" i="38"/>
  <c r="Q1034" i="38"/>
  <c r="S1033" i="38"/>
  <c r="Q1033" i="38"/>
  <c r="S1032" i="38"/>
  <c r="Q1032" i="38"/>
  <c r="S1031" i="38"/>
  <c r="Q1031" i="38"/>
  <c r="S1030" i="38"/>
  <c r="Q1030" i="38"/>
  <c r="S1029" i="38"/>
  <c r="Q1029" i="38"/>
  <c r="S1028" i="38"/>
  <c r="Q1028" i="38"/>
  <c r="S1027" i="38"/>
  <c r="Q1027" i="38"/>
  <c r="S1026" i="38"/>
  <c r="Q1026" i="38"/>
  <c r="S1025" i="38"/>
  <c r="Q1025" i="38"/>
  <c r="S1024" i="38"/>
  <c r="Q1024" i="38"/>
  <c r="S1023" i="38"/>
  <c r="Q1023" i="38"/>
  <c r="S1022" i="38"/>
  <c r="Q1022" i="38"/>
  <c r="S1021" i="38"/>
  <c r="Q1021" i="38"/>
  <c r="S1020" i="38"/>
  <c r="Q1020" i="38"/>
  <c r="S1019" i="38"/>
  <c r="Q1019" i="38"/>
  <c r="S1018" i="38"/>
  <c r="Q1018" i="38"/>
  <c r="S1017" i="38"/>
  <c r="Q1017" i="38"/>
  <c r="S1016" i="38"/>
  <c r="Q1016" i="38"/>
  <c r="S1015" i="38"/>
  <c r="Q1015" i="38"/>
  <c r="S1014" i="38"/>
  <c r="Q1014" i="38"/>
  <c r="S1013" i="38"/>
  <c r="Q1013" i="38"/>
  <c r="S1012" i="38"/>
  <c r="Q1012" i="38"/>
  <c r="S1011" i="38"/>
  <c r="Q1011" i="38"/>
  <c r="S1010" i="38"/>
  <c r="Q1010" i="38"/>
  <c r="S1009" i="38"/>
  <c r="Q1009" i="38"/>
  <c r="S1008" i="38"/>
  <c r="Q1008" i="38"/>
  <c r="S1007" i="38"/>
  <c r="Q1007" i="38"/>
  <c r="S1006" i="38"/>
  <c r="Q1006" i="38"/>
  <c r="S1005" i="38"/>
  <c r="Q1005" i="38"/>
  <c r="S1004" i="38"/>
  <c r="Q1004" i="38"/>
  <c r="S1003" i="38"/>
  <c r="Q1003" i="38"/>
  <c r="S1002" i="38"/>
  <c r="Q1002" i="38"/>
  <c r="S1001" i="38"/>
  <c r="Q1001" i="38"/>
  <c r="S1000" i="38"/>
  <c r="Q1000" i="38"/>
  <c r="S999" i="38"/>
  <c r="Q999" i="38"/>
  <c r="S998" i="38"/>
  <c r="Q998" i="38"/>
  <c r="S997" i="38"/>
  <c r="Q997" i="38"/>
  <c r="S996" i="38"/>
  <c r="Q996" i="38"/>
  <c r="S995" i="38"/>
  <c r="Q995" i="38"/>
  <c r="S994" i="38"/>
  <c r="Q994" i="38"/>
  <c r="S993" i="38"/>
  <c r="Q993" i="38"/>
  <c r="S992" i="38"/>
  <c r="Q992" i="38"/>
  <c r="S991" i="38"/>
  <c r="Q991" i="38"/>
  <c r="S990" i="38"/>
  <c r="Q990" i="38"/>
  <c r="S989" i="38"/>
  <c r="Q989" i="38"/>
  <c r="S988" i="38"/>
  <c r="Q988" i="38"/>
  <c r="S987" i="38"/>
  <c r="Q987" i="38"/>
  <c r="S986" i="38"/>
  <c r="Q986" i="38"/>
  <c r="S985" i="38"/>
  <c r="Q985" i="38"/>
  <c r="S984" i="38"/>
  <c r="Q984" i="38"/>
  <c r="S983" i="38"/>
  <c r="Q983" i="38"/>
  <c r="S982" i="38"/>
  <c r="Q982" i="38"/>
  <c r="S981" i="38"/>
  <c r="Q981" i="38"/>
  <c r="S980" i="38"/>
  <c r="Q980" i="38"/>
  <c r="S979" i="38"/>
  <c r="Q979" i="38"/>
  <c r="S978" i="38"/>
  <c r="Q978" i="38"/>
  <c r="S977" i="38"/>
  <c r="Q977" i="38"/>
  <c r="S976" i="38"/>
  <c r="Q976" i="38"/>
  <c r="S975" i="38"/>
  <c r="Q975" i="38"/>
  <c r="S974" i="38"/>
  <c r="Q974" i="38"/>
  <c r="S973" i="38"/>
  <c r="Q973" i="38"/>
  <c r="S972" i="38"/>
  <c r="Q972" i="38"/>
  <c r="S971" i="38"/>
  <c r="Q971" i="38"/>
  <c r="S970" i="38"/>
  <c r="Q970" i="38"/>
  <c r="S969" i="38"/>
  <c r="Q969" i="38"/>
  <c r="S968" i="38"/>
  <c r="Q968" i="38"/>
  <c r="S967" i="38"/>
  <c r="Q967" i="38"/>
  <c r="S966" i="38"/>
  <c r="Q966" i="38"/>
  <c r="S965" i="38"/>
  <c r="Q965" i="38"/>
  <c r="S964" i="38"/>
  <c r="Q964" i="38"/>
  <c r="S963" i="38"/>
  <c r="Q963" i="38"/>
  <c r="S962" i="38"/>
  <c r="Q962" i="38"/>
  <c r="S961" i="38"/>
  <c r="Q961" i="38"/>
  <c r="S960" i="38"/>
  <c r="Q960" i="38"/>
  <c r="S959" i="38"/>
  <c r="Q959" i="38"/>
  <c r="S958" i="38"/>
  <c r="Q958" i="38"/>
  <c r="S957" i="38"/>
  <c r="Q957" i="38"/>
  <c r="S956" i="38"/>
  <c r="Q956" i="38"/>
  <c r="S955" i="38"/>
  <c r="Q955" i="38"/>
  <c r="S954" i="38"/>
  <c r="Q954" i="38"/>
  <c r="S953" i="38"/>
  <c r="Q953" i="38"/>
  <c r="S952" i="38"/>
  <c r="Q952" i="38"/>
  <c r="S951" i="38"/>
  <c r="Q951" i="38"/>
  <c r="S950" i="38"/>
  <c r="Q950" i="38"/>
  <c r="S949" i="38"/>
  <c r="Q949" i="38"/>
  <c r="S948" i="38"/>
  <c r="Q948" i="38"/>
  <c r="S947" i="38"/>
  <c r="Q947" i="38"/>
  <c r="S946" i="38"/>
  <c r="Q946" i="38"/>
  <c r="S945" i="38"/>
  <c r="Q945" i="38"/>
  <c r="S944" i="38"/>
  <c r="Q944" i="38"/>
  <c r="S943" i="38"/>
  <c r="Q943" i="38"/>
  <c r="S942" i="38"/>
  <c r="Q942" i="38"/>
  <c r="S941" i="38"/>
  <c r="Q941" i="38"/>
  <c r="S940" i="38"/>
  <c r="Q940" i="38"/>
  <c r="S939" i="38"/>
  <c r="Q939" i="38"/>
  <c r="S938" i="38"/>
  <c r="Q938" i="38"/>
  <c r="S937" i="38"/>
  <c r="Q937" i="38"/>
  <c r="S936" i="38"/>
  <c r="Q936" i="38"/>
  <c r="S935" i="38"/>
  <c r="Q935" i="38"/>
  <c r="S934" i="38"/>
  <c r="Q934" i="38"/>
  <c r="S933" i="38"/>
  <c r="Q933" i="38"/>
  <c r="S932" i="38"/>
  <c r="Q932" i="38"/>
  <c r="S931" i="38"/>
  <c r="Q931" i="38"/>
  <c r="S930" i="38"/>
  <c r="Q930" i="38"/>
  <c r="S929" i="38"/>
  <c r="Q929" i="38"/>
  <c r="S928" i="38"/>
  <c r="Q928" i="38"/>
  <c r="S927" i="38"/>
  <c r="Q927" i="38"/>
  <c r="S926" i="38"/>
  <c r="Q926" i="38"/>
  <c r="S925" i="38"/>
  <c r="Q925" i="38"/>
  <c r="S924" i="38"/>
  <c r="Q924" i="38"/>
  <c r="S923" i="38"/>
  <c r="Q923" i="38"/>
  <c r="S922" i="38"/>
  <c r="Q922" i="38"/>
  <c r="S921" i="38"/>
  <c r="Q921" i="38"/>
  <c r="S920" i="38"/>
  <c r="Q920" i="38"/>
  <c r="S919" i="38"/>
  <c r="Q919" i="38"/>
  <c r="S918" i="38"/>
  <c r="Q918" i="38"/>
  <c r="S917" i="38"/>
  <c r="Q917" i="38"/>
  <c r="S916" i="38"/>
  <c r="Q916" i="38"/>
  <c r="S915" i="38"/>
  <c r="Q915" i="38"/>
  <c r="S914" i="38"/>
  <c r="Q914" i="38"/>
  <c r="S913" i="38"/>
  <c r="Q913" i="38"/>
  <c r="S912" i="38"/>
  <c r="Q912" i="38"/>
  <c r="S911" i="38"/>
  <c r="Q911" i="38"/>
  <c r="S910" i="38"/>
  <c r="Q910" i="38"/>
  <c r="S909" i="38"/>
  <c r="Q909" i="38"/>
  <c r="S908" i="38"/>
  <c r="Q908" i="38"/>
  <c r="S907" i="38"/>
  <c r="Q907" i="38"/>
  <c r="S906" i="38"/>
  <c r="Q906" i="38"/>
  <c r="S905" i="38"/>
  <c r="Q905" i="38"/>
  <c r="S904" i="38"/>
  <c r="Q904" i="38"/>
  <c r="S903" i="38"/>
  <c r="Q903" i="38"/>
  <c r="S902" i="38"/>
  <c r="Q902" i="38"/>
  <c r="S901" i="38"/>
  <c r="Q901" i="38"/>
  <c r="S900" i="38"/>
  <c r="Q900" i="38"/>
  <c r="S899" i="38"/>
  <c r="Q899" i="38"/>
  <c r="S898" i="38"/>
  <c r="Q898" i="38"/>
  <c r="S897" i="38"/>
  <c r="Q897" i="38"/>
  <c r="S896" i="38"/>
  <c r="Q896" i="38"/>
  <c r="S895" i="38"/>
  <c r="Q895" i="38"/>
  <c r="S894" i="38"/>
  <c r="Q894" i="38"/>
  <c r="S893" i="38"/>
  <c r="Q893" i="38"/>
  <c r="S892" i="38"/>
  <c r="Q892" i="38"/>
  <c r="S891" i="38"/>
  <c r="Q891" i="38"/>
  <c r="S890" i="38"/>
  <c r="Q890" i="38"/>
  <c r="S889" i="38"/>
  <c r="Q889" i="38"/>
  <c r="S888" i="38"/>
  <c r="Q888" i="38"/>
  <c r="S887" i="38"/>
  <c r="Q887" i="38"/>
  <c r="S886" i="38"/>
  <c r="Q886" i="38"/>
  <c r="S885" i="38"/>
  <c r="Q885" i="38"/>
  <c r="S884" i="38"/>
  <c r="Q884" i="38"/>
  <c r="S883" i="38"/>
  <c r="Q883" i="38"/>
  <c r="S882" i="38"/>
  <c r="Q882" i="38"/>
  <c r="S881" i="38"/>
  <c r="Q881" i="38"/>
  <c r="S880" i="38"/>
  <c r="Q880" i="38"/>
  <c r="S879" i="38"/>
  <c r="Q879" i="38"/>
  <c r="S878" i="38"/>
  <c r="Q878" i="38"/>
  <c r="S877" i="38"/>
  <c r="Q877" i="38"/>
  <c r="S876" i="38"/>
  <c r="Q876" i="38"/>
  <c r="S875" i="38"/>
  <c r="Q875" i="38"/>
  <c r="S874" i="38"/>
  <c r="Q874" i="38"/>
  <c r="S873" i="38"/>
  <c r="Q873" i="38"/>
  <c r="S872" i="38"/>
  <c r="Q872" i="38"/>
  <c r="S871" i="38"/>
  <c r="Q871" i="38"/>
  <c r="S870" i="38"/>
  <c r="Q870" i="38"/>
  <c r="S869" i="38"/>
  <c r="Q869" i="38"/>
  <c r="S868" i="38"/>
  <c r="Q868" i="38"/>
  <c r="S867" i="38"/>
  <c r="Q867" i="38"/>
  <c r="S866" i="38"/>
  <c r="Q866" i="38"/>
  <c r="S865" i="38"/>
  <c r="Q865" i="38"/>
  <c r="S864" i="38"/>
  <c r="Q864" i="38"/>
  <c r="S863" i="38"/>
  <c r="Q863" i="38"/>
  <c r="S862" i="38"/>
  <c r="Q862" i="38"/>
  <c r="S861" i="38"/>
  <c r="Q861" i="38"/>
  <c r="S860" i="38"/>
  <c r="Q860" i="38"/>
  <c r="S859" i="38"/>
  <c r="Q859" i="38"/>
  <c r="S858" i="38"/>
  <c r="Q858" i="38"/>
  <c r="S857" i="38"/>
  <c r="Q857" i="38"/>
  <c r="S856" i="38"/>
  <c r="Q856" i="38"/>
  <c r="S855" i="38"/>
  <c r="Q855" i="38"/>
  <c r="S854" i="38"/>
  <c r="Q854" i="38"/>
  <c r="S853" i="38"/>
  <c r="Q853" i="38"/>
  <c r="S852" i="38"/>
  <c r="Q852" i="38"/>
  <c r="S851" i="38"/>
  <c r="Q851" i="38"/>
  <c r="S850" i="38"/>
  <c r="Q850" i="38"/>
  <c r="S849" i="38"/>
  <c r="Q849" i="38"/>
  <c r="S848" i="38"/>
  <c r="Q848" i="38"/>
  <c r="S847" i="38"/>
  <c r="Q847" i="38"/>
  <c r="S846" i="38"/>
  <c r="Q846" i="38"/>
  <c r="S845" i="38"/>
  <c r="Q845" i="38"/>
  <c r="S844" i="38"/>
  <c r="Q844" i="38"/>
  <c r="S843" i="38"/>
  <c r="Q843" i="38"/>
  <c r="S842" i="38"/>
  <c r="Q842" i="38"/>
  <c r="S841" i="38"/>
  <c r="Q841" i="38"/>
  <c r="S840" i="38"/>
  <c r="Q840" i="38"/>
  <c r="S839" i="38"/>
  <c r="Q839" i="38"/>
  <c r="S838" i="38"/>
  <c r="Q838" i="38"/>
  <c r="S837" i="38"/>
  <c r="Q837" i="38"/>
  <c r="S836" i="38"/>
  <c r="Q836" i="38"/>
  <c r="S835" i="38"/>
  <c r="Q835" i="38"/>
  <c r="S834" i="38"/>
  <c r="Q834" i="38"/>
  <c r="S833" i="38"/>
  <c r="Q833" i="38"/>
  <c r="S832" i="38"/>
  <c r="Q832" i="38"/>
  <c r="S831" i="38"/>
  <c r="Q831" i="38"/>
  <c r="S830" i="38"/>
  <c r="Q830" i="38"/>
  <c r="S829" i="38"/>
  <c r="Q829" i="38"/>
  <c r="S828" i="38"/>
  <c r="Q828" i="38"/>
  <c r="S827" i="38"/>
  <c r="Q827" i="38"/>
  <c r="S826" i="38"/>
  <c r="Q826" i="38"/>
  <c r="S825" i="38"/>
  <c r="Q825" i="38"/>
  <c r="S824" i="38"/>
  <c r="Q824" i="38"/>
  <c r="S823" i="38"/>
  <c r="Q823" i="38"/>
  <c r="S822" i="38"/>
  <c r="Q822" i="38"/>
  <c r="S821" i="38"/>
  <c r="Q821" i="38"/>
  <c r="S820" i="38"/>
  <c r="Q820" i="38"/>
  <c r="S819" i="38"/>
  <c r="Q819" i="38"/>
  <c r="S818" i="38"/>
  <c r="Q818" i="38"/>
  <c r="S817" i="38"/>
  <c r="Q817" i="38"/>
  <c r="S816" i="38"/>
  <c r="Q816" i="38"/>
  <c r="S815" i="38"/>
  <c r="Q815" i="38"/>
  <c r="S814" i="38"/>
  <c r="Q814" i="38"/>
  <c r="S813" i="38"/>
  <c r="Q813" i="38"/>
  <c r="S812" i="38"/>
  <c r="Q812" i="38"/>
  <c r="S811" i="38"/>
  <c r="Q811" i="38"/>
  <c r="S810" i="38"/>
  <c r="Q810" i="38"/>
  <c r="S809" i="38"/>
  <c r="Q809" i="38"/>
  <c r="S808" i="38"/>
  <c r="Q808" i="38"/>
  <c r="S807" i="38"/>
  <c r="Q807" i="38"/>
  <c r="S806" i="38"/>
  <c r="Q806" i="38"/>
  <c r="S805" i="38"/>
  <c r="Q805" i="38"/>
  <c r="S804" i="38"/>
  <c r="Q804" i="38"/>
  <c r="S803" i="38"/>
  <c r="Q803" i="38"/>
  <c r="S802" i="38"/>
  <c r="Q802" i="38"/>
  <c r="S801" i="38"/>
  <c r="Q801" i="38"/>
  <c r="S800" i="38"/>
  <c r="Q800" i="38"/>
  <c r="S799" i="38"/>
  <c r="Q799" i="38"/>
  <c r="S798" i="38"/>
  <c r="Q798" i="38"/>
  <c r="S797" i="38"/>
  <c r="Q797" i="38"/>
  <c r="S796" i="38"/>
  <c r="Q796" i="38"/>
  <c r="S795" i="38"/>
  <c r="Q795" i="38"/>
  <c r="S794" i="38"/>
  <c r="Q794" i="38"/>
  <c r="S793" i="38"/>
  <c r="Q793" i="38"/>
  <c r="S792" i="38"/>
  <c r="Q792" i="38"/>
  <c r="S791" i="38"/>
  <c r="Q791" i="38"/>
  <c r="S790" i="38"/>
  <c r="Q790" i="38"/>
  <c r="S789" i="38"/>
  <c r="Q789" i="38"/>
  <c r="S788" i="38"/>
  <c r="Q788" i="38"/>
  <c r="S787" i="38"/>
  <c r="Q787" i="38"/>
  <c r="S786" i="38"/>
  <c r="Q786" i="38"/>
  <c r="S785" i="38"/>
  <c r="Q785" i="38"/>
  <c r="S784" i="38"/>
  <c r="Q784" i="38"/>
  <c r="S783" i="38"/>
  <c r="Q783" i="38"/>
  <c r="S782" i="38"/>
  <c r="Q782" i="38"/>
  <c r="S781" i="38"/>
  <c r="Q781" i="38"/>
  <c r="S780" i="38"/>
  <c r="Q780" i="38"/>
  <c r="S779" i="38"/>
  <c r="Q779" i="38"/>
  <c r="S778" i="38"/>
  <c r="Q778" i="38"/>
  <c r="S777" i="38"/>
  <c r="Q777" i="38"/>
  <c r="S776" i="38"/>
  <c r="Q776" i="38"/>
  <c r="S775" i="38"/>
  <c r="Q775" i="38"/>
  <c r="S774" i="38"/>
  <c r="Q774" i="38"/>
  <c r="S773" i="38"/>
  <c r="Q773" i="38"/>
  <c r="S772" i="38"/>
  <c r="Q772" i="38"/>
  <c r="S771" i="38"/>
  <c r="Q771" i="38"/>
  <c r="S770" i="38"/>
  <c r="Q770" i="38"/>
  <c r="S769" i="38"/>
  <c r="Q769" i="38"/>
  <c r="S768" i="38"/>
  <c r="Q768" i="38"/>
  <c r="S767" i="38"/>
  <c r="Q767" i="38"/>
  <c r="S766" i="38"/>
  <c r="Q766" i="38"/>
  <c r="S765" i="38"/>
  <c r="Q765" i="38"/>
  <c r="S764" i="38"/>
  <c r="Q764" i="38"/>
  <c r="S763" i="38"/>
  <c r="Q763" i="38"/>
  <c r="S762" i="38"/>
  <c r="Q762" i="38"/>
  <c r="S761" i="38"/>
  <c r="Q761" i="38"/>
  <c r="S760" i="38"/>
  <c r="Q760" i="38"/>
  <c r="S759" i="38"/>
  <c r="Q759" i="38"/>
  <c r="S758" i="38"/>
  <c r="Q758" i="38"/>
  <c r="S757" i="38"/>
  <c r="Q757" i="38"/>
  <c r="S756" i="38"/>
  <c r="Q756" i="38"/>
  <c r="S755" i="38"/>
  <c r="Q755" i="38"/>
  <c r="S754" i="38"/>
  <c r="Q754" i="38"/>
  <c r="S753" i="38"/>
  <c r="Q753" i="38"/>
  <c r="S752" i="38"/>
  <c r="Q752" i="38"/>
  <c r="S751" i="38"/>
  <c r="Q751" i="38"/>
  <c r="S750" i="38"/>
  <c r="Q750" i="38"/>
  <c r="S749" i="38"/>
  <c r="Q749" i="38"/>
  <c r="S748" i="38"/>
  <c r="Q748" i="38"/>
  <c r="S747" i="38"/>
  <c r="Q747" i="38"/>
  <c r="S746" i="38"/>
  <c r="Q746" i="38"/>
  <c r="S745" i="38"/>
  <c r="Q745" i="38"/>
  <c r="S744" i="38"/>
  <c r="Q744" i="38"/>
  <c r="S743" i="38"/>
  <c r="Q743" i="38"/>
  <c r="S742" i="38"/>
  <c r="Q742" i="38"/>
  <c r="S741" i="38"/>
  <c r="Q741" i="38"/>
  <c r="S740" i="38"/>
  <c r="Q740" i="38"/>
  <c r="S739" i="38"/>
  <c r="Q739" i="38"/>
  <c r="S738" i="38"/>
  <c r="Q738" i="38"/>
  <c r="S737" i="38"/>
  <c r="Q737" i="38"/>
  <c r="S736" i="38"/>
  <c r="Q736" i="38"/>
  <c r="S735" i="38"/>
  <c r="Q735" i="38"/>
  <c r="S734" i="38"/>
  <c r="Q734" i="38"/>
  <c r="S733" i="38"/>
  <c r="Q733" i="38"/>
  <c r="S732" i="38"/>
  <c r="Q732" i="38"/>
  <c r="S731" i="38"/>
  <c r="Q731" i="38"/>
  <c r="S730" i="38"/>
  <c r="Q730" i="38"/>
  <c r="S729" i="38"/>
  <c r="Q729" i="38"/>
  <c r="S728" i="38"/>
  <c r="Q728" i="38"/>
  <c r="S727" i="38"/>
  <c r="Q727" i="38"/>
  <c r="S726" i="38"/>
  <c r="Q726" i="38"/>
  <c r="S725" i="38"/>
  <c r="Q725" i="38"/>
  <c r="S724" i="38"/>
  <c r="Q724" i="38"/>
  <c r="S723" i="38"/>
  <c r="Q723" i="38"/>
  <c r="S722" i="38"/>
  <c r="Q722" i="38"/>
  <c r="S721" i="38"/>
  <c r="Q721" i="38"/>
  <c r="S720" i="38"/>
  <c r="Q720" i="38"/>
  <c r="S719" i="38"/>
  <c r="Q719" i="38"/>
  <c r="S718" i="38"/>
  <c r="Q718" i="38"/>
  <c r="S717" i="38"/>
  <c r="Q717" i="38"/>
  <c r="S716" i="38"/>
  <c r="Q716" i="38"/>
  <c r="S715" i="38"/>
  <c r="Q715" i="38"/>
  <c r="S714" i="38"/>
  <c r="Q714" i="38"/>
  <c r="S713" i="38"/>
  <c r="Q713" i="38"/>
  <c r="S712" i="38"/>
  <c r="Q712" i="38"/>
  <c r="S711" i="38"/>
  <c r="Q711" i="38"/>
  <c r="S710" i="38"/>
  <c r="Q710" i="38"/>
  <c r="S709" i="38"/>
  <c r="Q709" i="38"/>
  <c r="S708" i="38"/>
  <c r="Q708" i="38"/>
  <c r="S707" i="38"/>
  <c r="Q707" i="38"/>
  <c r="S706" i="38"/>
  <c r="Q706" i="38"/>
  <c r="S705" i="38"/>
  <c r="Q705" i="38"/>
  <c r="S704" i="38"/>
  <c r="Q704" i="38"/>
  <c r="S703" i="38"/>
  <c r="Q703" i="38"/>
  <c r="S702" i="38"/>
  <c r="Q702" i="38"/>
  <c r="S701" i="38"/>
  <c r="Q701" i="38"/>
  <c r="S700" i="38"/>
  <c r="Q700" i="38"/>
  <c r="S699" i="38"/>
  <c r="Q699" i="38"/>
  <c r="S698" i="38"/>
  <c r="Q698" i="38"/>
  <c r="S697" i="38"/>
  <c r="Q697" i="38"/>
  <c r="S696" i="38"/>
  <c r="Q696" i="38"/>
  <c r="S695" i="38"/>
  <c r="Q695" i="38"/>
  <c r="S694" i="38"/>
  <c r="Q694" i="38"/>
  <c r="S693" i="38"/>
  <c r="Q693" i="38"/>
  <c r="S692" i="38"/>
  <c r="Q692" i="38"/>
  <c r="S691" i="38"/>
  <c r="Q691" i="38"/>
  <c r="S690" i="38"/>
  <c r="Q690" i="38"/>
  <c r="S689" i="38"/>
  <c r="Q689" i="38"/>
  <c r="S688" i="38"/>
  <c r="Q688" i="38"/>
  <c r="S687" i="38"/>
  <c r="Q687" i="38"/>
  <c r="S686" i="38"/>
  <c r="Q686" i="38"/>
  <c r="S685" i="38"/>
  <c r="Q685" i="38"/>
  <c r="S684" i="38"/>
  <c r="Q684" i="38"/>
  <c r="S683" i="38"/>
  <c r="Q683" i="38"/>
  <c r="S682" i="38"/>
  <c r="Q682" i="38"/>
  <c r="S681" i="38"/>
  <c r="Q681" i="38"/>
  <c r="S680" i="38"/>
  <c r="Q680" i="38"/>
  <c r="S679" i="38"/>
  <c r="Q679" i="38"/>
  <c r="S678" i="38"/>
  <c r="Q678" i="38"/>
  <c r="S677" i="38"/>
  <c r="Q677" i="38"/>
  <c r="S676" i="38"/>
  <c r="Q676" i="38"/>
  <c r="S675" i="38"/>
  <c r="Q675" i="38"/>
  <c r="S674" i="38"/>
  <c r="Q674" i="38"/>
  <c r="S673" i="38"/>
  <c r="Q673" i="38"/>
  <c r="S672" i="38"/>
  <c r="Q672" i="38"/>
  <c r="S671" i="38"/>
  <c r="Q671" i="38"/>
  <c r="S670" i="38"/>
  <c r="Q670" i="38"/>
  <c r="S669" i="38"/>
  <c r="Q669" i="38"/>
  <c r="S668" i="38"/>
  <c r="Q668" i="38"/>
  <c r="S667" i="38"/>
  <c r="Q667" i="38"/>
  <c r="S666" i="38"/>
  <c r="Q666" i="38"/>
  <c r="S665" i="38"/>
  <c r="Q665" i="38"/>
  <c r="S664" i="38"/>
  <c r="Q664" i="38"/>
  <c r="S663" i="38"/>
  <c r="Q663" i="38"/>
  <c r="S662" i="38"/>
  <c r="Q662" i="38"/>
  <c r="S661" i="38"/>
  <c r="Q661" i="38"/>
  <c r="S660" i="38"/>
  <c r="Q660" i="38"/>
  <c r="S659" i="38"/>
  <c r="Q659" i="38"/>
  <c r="S658" i="38"/>
  <c r="Q658" i="38"/>
  <c r="S657" i="38"/>
  <c r="Q657" i="38"/>
  <c r="S656" i="38"/>
  <c r="Q656" i="38"/>
  <c r="S655" i="38"/>
  <c r="Q655" i="38"/>
  <c r="S654" i="38"/>
  <c r="Q654" i="38"/>
  <c r="S653" i="38"/>
  <c r="Q653" i="38"/>
  <c r="S652" i="38"/>
  <c r="Q652" i="38"/>
  <c r="S651" i="38"/>
  <c r="Q651" i="38"/>
  <c r="S650" i="38"/>
  <c r="Q650" i="38"/>
  <c r="S649" i="38"/>
  <c r="Q649" i="38"/>
  <c r="S648" i="38"/>
  <c r="Q648" i="38"/>
  <c r="S647" i="38"/>
  <c r="Q647" i="38"/>
  <c r="S646" i="38"/>
  <c r="Q646" i="38"/>
  <c r="S645" i="38"/>
  <c r="Q645" i="38"/>
  <c r="S644" i="38"/>
  <c r="Q644" i="38"/>
  <c r="S643" i="38"/>
  <c r="Q643" i="38"/>
  <c r="S642" i="38"/>
  <c r="Q642" i="38"/>
  <c r="S641" i="38"/>
  <c r="Q641" i="38"/>
  <c r="S640" i="38"/>
  <c r="Q640" i="38"/>
  <c r="S639" i="38"/>
  <c r="Q639" i="38"/>
  <c r="S638" i="38"/>
  <c r="Q638" i="38"/>
  <c r="S637" i="38"/>
  <c r="Q637" i="38"/>
  <c r="S636" i="38"/>
  <c r="Q636" i="38"/>
  <c r="S635" i="38"/>
  <c r="Q635" i="38"/>
  <c r="S634" i="38"/>
  <c r="Q634" i="38"/>
  <c r="S633" i="38"/>
  <c r="Q633" i="38"/>
  <c r="S632" i="38"/>
  <c r="Q632" i="38"/>
  <c r="S631" i="38"/>
  <c r="Q631" i="38"/>
  <c r="S630" i="38"/>
  <c r="Q630" i="38"/>
  <c r="S629" i="38"/>
  <c r="Q629" i="38"/>
  <c r="S628" i="38"/>
  <c r="Q628" i="38"/>
  <c r="S627" i="38"/>
  <c r="Q627" i="38"/>
  <c r="S626" i="38"/>
  <c r="Q626" i="38"/>
  <c r="S625" i="38"/>
  <c r="Q625" i="38"/>
  <c r="S624" i="38"/>
  <c r="Q624" i="38"/>
  <c r="S623" i="38"/>
  <c r="Q623" i="38"/>
  <c r="S622" i="38"/>
  <c r="Q622" i="38"/>
  <c r="S621" i="38"/>
  <c r="Q621" i="38"/>
  <c r="S620" i="38"/>
  <c r="Q620" i="38"/>
  <c r="S619" i="38"/>
  <c r="Q619" i="38"/>
  <c r="S618" i="38"/>
  <c r="Q618" i="38"/>
  <c r="S617" i="38"/>
  <c r="Q617" i="38"/>
  <c r="S616" i="38"/>
  <c r="Q616" i="38"/>
  <c r="S615" i="38"/>
  <c r="Q615" i="38"/>
  <c r="S614" i="38"/>
  <c r="Q614" i="38"/>
  <c r="S613" i="38"/>
  <c r="Q613" i="38"/>
  <c r="S612" i="38"/>
  <c r="Q612" i="38"/>
  <c r="S611" i="38"/>
  <c r="Q611" i="38"/>
  <c r="S610" i="38"/>
  <c r="Q610" i="38"/>
  <c r="S609" i="38"/>
  <c r="Q609" i="38"/>
  <c r="S608" i="38"/>
  <c r="Q608" i="38"/>
  <c r="S607" i="38"/>
  <c r="Q607" i="38"/>
  <c r="S606" i="38"/>
  <c r="Q606" i="38"/>
  <c r="S605" i="38"/>
  <c r="Q605" i="38"/>
  <c r="S604" i="38"/>
  <c r="Q604" i="38"/>
  <c r="S603" i="38"/>
  <c r="Q603" i="38"/>
  <c r="S602" i="38"/>
  <c r="Q602" i="38"/>
  <c r="S601" i="38"/>
  <c r="Q601" i="38"/>
  <c r="S600" i="38"/>
  <c r="Q600" i="38"/>
  <c r="S599" i="38"/>
  <c r="Q599" i="38"/>
  <c r="S598" i="38"/>
  <c r="Q598" i="38"/>
  <c r="S597" i="38"/>
  <c r="Q597" i="38"/>
  <c r="S596" i="38"/>
  <c r="Q596" i="38"/>
  <c r="S595" i="38"/>
  <c r="Q595" i="38"/>
  <c r="S594" i="38"/>
  <c r="Q594" i="38"/>
  <c r="S593" i="38"/>
  <c r="Q593" i="38"/>
  <c r="S592" i="38"/>
  <c r="Q592" i="38"/>
  <c r="S591" i="38"/>
  <c r="Q591" i="38"/>
  <c r="S590" i="38"/>
  <c r="Q590" i="38"/>
  <c r="S589" i="38"/>
  <c r="Q589" i="38"/>
  <c r="S588" i="38"/>
  <c r="Q588" i="38"/>
  <c r="S587" i="38"/>
  <c r="Q587" i="38"/>
  <c r="S586" i="38"/>
  <c r="Q586" i="38"/>
  <c r="S585" i="38"/>
  <c r="Q585" i="38"/>
  <c r="S584" i="38"/>
  <c r="Q584" i="38"/>
  <c r="S583" i="38"/>
  <c r="Q583" i="38"/>
  <c r="S582" i="38"/>
  <c r="Q582" i="38"/>
  <c r="S581" i="38"/>
  <c r="Q581" i="38"/>
  <c r="S580" i="38"/>
  <c r="Q580" i="38"/>
  <c r="S579" i="38"/>
  <c r="Q579" i="38"/>
  <c r="S578" i="38"/>
  <c r="Q578" i="38"/>
  <c r="S577" i="38"/>
  <c r="Q577" i="38"/>
  <c r="S576" i="38"/>
  <c r="Q576" i="38"/>
  <c r="S575" i="38"/>
  <c r="Q575" i="38"/>
  <c r="S574" i="38"/>
  <c r="Q574" i="38"/>
  <c r="S573" i="38"/>
  <c r="Q573" i="38"/>
  <c r="S572" i="38"/>
  <c r="Q572" i="38"/>
  <c r="S571" i="38"/>
  <c r="Q571" i="38"/>
  <c r="S570" i="38"/>
  <c r="Q570" i="38"/>
  <c r="S569" i="38"/>
  <c r="Q569" i="38"/>
  <c r="S568" i="38"/>
  <c r="Q568" i="38"/>
  <c r="S567" i="38"/>
  <c r="Q567" i="38"/>
  <c r="S566" i="38"/>
  <c r="Q566" i="38"/>
  <c r="S565" i="38"/>
  <c r="Q565" i="38"/>
  <c r="S564" i="38"/>
  <c r="Q564" i="38"/>
  <c r="S563" i="38"/>
  <c r="Q563" i="38"/>
  <c r="S562" i="38"/>
  <c r="Q562" i="38"/>
  <c r="S561" i="38"/>
  <c r="Q561" i="38"/>
  <c r="S560" i="38"/>
  <c r="Q560" i="38"/>
  <c r="S559" i="38"/>
  <c r="Q559" i="38"/>
  <c r="S558" i="38"/>
  <c r="Q558" i="38"/>
  <c r="S557" i="38"/>
  <c r="Q557" i="38"/>
  <c r="S556" i="38"/>
  <c r="Q556" i="38"/>
  <c r="S555" i="38"/>
  <c r="Q555" i="38"/>
  <c r="S554" i="38"/>
  <c r="Q554" i="38"/>
  <c r="S553" i="38"/>
  <c r="Q553" i="38"/>
  <c r="S552" i="38"/>
  <c r="Q552" i="38"/>
  <c r="S551" i="38"/>
  <c r="Q551" i="38"/>
  <c r="S550" i="38"/>
  <c r="Q550" i="38"/>
  <c r="S549" i="38"/>
  <c r="Q549" i="38"/>
  <c r="S548" i="38"/>
  <c r="Q548" i="38"/>
  <c r="S547" i="38"/>
  <c r="Q547" i="38"/>
  <c r="S546" i="38"/>
  <c r="Q546" i="38"/>
  <c r="S545" i="38"/>
  <c r="Q545" i="38"/>
  <c r="S544" i="38"/>
  <c r="Q544" i="38"/>
  <c r="S543" i="38"/>
  <c r="Q543" i="38"/>
  <c r="S542" i="38"/>
  <c r="Q542" i="38"/>
  <c r="S541" i="38"/>
  <c r="Q541" i="38"/>
  <c r="S540" i="38"/>
  <c r="Q540" i="38"/>
  <c r="S539" i="38"/>
  <c r="Q539" i="38"/>
  <c r="S538" i="38"/>
  <c r="Q538" i="38"/>
  <c r="S537" i="38"/>
  <c r="Q537" i="38"/>
  <c r="S536" i="38"/>
  <c r="Q536" i="38"/>
  <c r="S535" i="38"/>
  <c r="Q535" i="38"/>
  <c r="S534" i="38"/>
  <c r="Q534" i="38"/>
  <c r="S533" i="38"/>
  <c r="Q533" i="38"/>
  <c r="S532" i="38"/>
  <c r="Q532" i="38"/>
  <c r="S531" i="38"/>
  <c r="Q531" i="38"/>
  <c r="S530" i="38"/>
  <c r="Q530" i="38"/>
  <c r="S529" i="38"/>
  <c r="Q529" i="38"/>
  <c r="S528" i="38"/>
  <c r="Q528" i="38"/>
  <c r="S527" i="38"/>
  <c r="Q527" i="38"/>
  <c r="S526" i="38"/>
  <c r="Q526" i="38"/>
  <c r="S525" i="38"/>
  <c r="Q525" i="38"/>
  <c r="S524" i="38"/>
  <c r="Q524" i="38"/>
  <c r="S523" i="38"/>
  <c r="Q523" i="38"/>
  <c r="S522" i="38"/>
  <c r="Q522" i="38"/>
  <c r="S521" i="38"/>
  <c r="Q521" i="38"/>
  <c r="S520" i="38"/>
  <c r="Q520" i="38"/>
  <c r="S519" i="38"/>
  <c r="Q519" i="38"/>
  <c r="S518" i="38"/>
  <c r="Q518" i="38"/>
  <c r="S517" i="38"/>
  <c r="Q517" i="38"/>
  <c r="S516" i="38"/>
  <c r="Q516" i="38"/>
  <c r="S515" i="38"/>
  <c r="Q515" i="38"/>
  <c r="S514" i="38"/>
  <c r="Q514" i="38"/>
  <c r="S513" i="38"/>
  <c r="Q513" i="38"/>
  <c r="S512" i="38"/>
  <c r="Q512" i="38"/>
  <c r="S511" i="38"/>
  <c r="Q511" i="38"/>
  <c r="S510" i="38"/>
  <c r="Q510" i="38"/>
  <c r="S509" i="38"/>
  <c r="Q509" i="38"/>
  <c r="S508" i="38"/>
  <c r="Q508" i="38"/>
  <c r="S507" i="38"/>
  <c r="Q507" i="38"/>
  <c r="S506" i="38"/>
  <c r="Q506" i="38"/>
  <c r="S505" i="38"/>
  <c r="Q505" i="38"/>
  <c r="S504" i="38"/>
  <c r="Q504" i="38"/>
  <c r="S503" i="38"/>
  <c r="Q503" i="38"/>
  <c r="S502" i="38"/>
  <c r="Q502" i="38"/>
  <c r="S501" i="38"/>
  <c r="Q501" i="38"/>
  <c r="S500" i="38"/>
  <c r="Q500" i="38"/>
  <c r="S499" i="38"/>
  <c r="Q499" i="38"/>
  <c r="S498" i="38"/>
  <c r="Q498" i="38"/>
  <c r="S497" i="38"/>
  <c r="Q497" i="38"/>
  <c r="S496" i="38"/>
  <c r="Q496" i="38"/>
  <c r="S495" i="38"/>
  <c r="Q495" i="38"/>
  <c r="S494" i="38"/>
  <c r="Q494" i="38"/>
  <c r="S493" i="38"/>
  <c r="Q493" i="38"/>
  <c r="S492" i="38"/>
  <c r="Q492" i="38"/>
  <c r="S491" i="38"/>
  <c r="Q491" i="38"/>
  <c r="S490" i="38"/>
  <c r="Q490" i="38"/>
  <c r="S489" i="38"/>
  <c r="Q489" i="38"/>
  <c r="S488" i="38"/>
  <c r="Q488" i="38"/>
  <c r="S487" i="38"/>
  <c r="Q487" i="38"/>
  <c r="S486" i="38"/>
  <c r="Q486" i="38"/>
  <c r="S485" i="38"/>
  <c r="Q485" i="38"/>
  <c r="S484" i="38"/>
  <c r="Q484" i="38"/>
  <c r="S483" i="38"/>
  <c r="Q483" i="38"/>
  <c r="S482" i="38"/>
  <c r="Q482" i="38"/>
  <c r="S481" i="38"/>
  <c r="Q481" i="38"/>
  <c r="S480" i="38"/>
  <c r="Q480" i="38"/>
  <c r="S479" i="38"/>
  <c r="Q479" i="38"/>
  <c r="S478" i="38"/>
  <c r="Q478" i="38"/>
  <c r="S477" i="38"/>
  <c r="Q477" i="38"/>
  <c r="S476" i="38"/>
  <c r="Q476" i="38"/>
  <c r="S475" i="38"/>
  <c r="Q475" i="38"/>
  <c r="S474" i="38"/>
  <c r="Q474" i="38"/>
  <c r="S473" i="38"/>
  <c r="Q473" i="38"/>
  <c r="S472" i="38"/>
  <c r="Q472" i="38"/>
  <c r="S471" i="38"/>
  <c r="Q471" i="38"/>
  <c r="S470" i="38"/>
  <c r="Q470" i="38"/>
  <c r="S469" i="38"/>
  <c r="Q469" i="38"/>
  <c r="S468" i="38"/>
  <c r="Q468" i="38"/>
  <c r="S467" i="38"/>
  <c r="Q467" i="38"/>
  <c r="S466" i="38"/>
  <c r="Q466" i="38"/>
  <c r="S465" i="38"/>
  <c r="Q465" i="38"/>
  <c r="S464" i="38"/>
  <c r="Q464" i="38"/>
  <c r="S463" i="38"/>
  <c r="Q463" i="38"/>
  <c r="S462" i="38"/>
  <c r="Q462" i="38"/>
  <c r="S461" i="38"/>
  <c r="Q461" i="38"/>
  <c r="S460" i="38"/>
  <c r="Q460" i="38"/>
  <c r="S459" i="38"/>
  <c r="Q459" i="38"/>
  <c r="S458" i="38"/>
  <c r="Q458" i="38"/>
  <c r="S457" i="38"/>
  <c r="Q457" i="38"/>
  <c r="S456" i="38"/>
  <c r="Q456" i="38"/>
  <c r="S455" i="38"/>
  <c r="Q455" i="38"/>
  <c r="S454" i="38"/>
  <c r="Q454" i="38"/>
  <c r="S453" i="38"/>
  <c r="Q453" i="38"/>
  <c r="S452" i="38"/>
  <c r="Q452" i="38"/>
  <c r="S451" i="38"/>
  <c r="Q451" i="38"/>
  <c r="S450" i="38"/>
  <c r="Q450" i="38"/>
  <c r="S449" i="38"/>
  <c r="Q449" i="38"/>
  <c r="S448" i="38"/>
  <c r="Q448" i="38"/>
  <c r="S447" i="38"/>
  <c r="Q447" i="38"/>
  <c r="S446" i="38"/>
  <c r="Q446" i="38"/>
  <c r="S445" i="38"/>
  <c r="Q445" i="38"/>
  <c r="S444" i="38"/>
  <c r="Q444" i="38"/>
  <c r="S443" i="38"/>
  <c r="Q443" i="38"/>
  <c r="S442" i="38"/>
  <c r="Q442" i="38"/>
  <c r="S441" i="38"/>
  <c r="Q441" i="38"/>
  <c r="S440" i="38"/>
  <c r="Q440" i="38"/>
  <c r="S439" i="38"/>
  <c r="Q439" i="38"/>
  <c r="S438" i="38"/>
  <c r="Q438" i="38"/>
  <c r="S437" i="38"/>
  <c r="Q437" i="38"/>
  <c r="S436" i="38"/>
  <c r="Q436" i="38"/>
  <c r="S435" i="38"/>
  <c r="Q435" i="38"/>
  <c r="S434" i="38"/>
  <c r="Q434" i="38"/>
  <c r="S433" i="38"/>
  <c r="Q433" i="38"/>
  <c r="S432" i="38"/>
  <c r="Q432" i="38"/>
  <c r="S431" i="38"/>
  <c r="Q431" i="38"/>
  <c r="S430" i="38"/>
  <c r="Q430" i="38"/>
  <c r="S429" i="38"/>
  <c r="Q429" i="38"/>
  <c r="S428" i="38"/>
  <c r="Q428" i="38"/>
  <c r="S427" i="38"/>
  <c r="Q427" i="38"/>
  <c r="S426" i="38"/>
  <c r="Q426" i="38"/>
  <c r="S425" i="38"/>
  <c r="Q425" i="38"/>
  <c r="S424" i="38"/>
  <c r="Q424" i="38"/>
  <c r="S423" i="38"/>
  <c r="Q423" i="38"/>
  <c r="S422" i="38"/>
  <c r="Q422" i="38"/>
  <c r="S421" i="38"/>
  <c r="Q421" i="38"/>
  <c r="S420" i="38"/>
  <c r="Q420" i="38"/>
  <c r="S419" i="38"/>
  <c r="Q419" i="38"/>
  <c r="S418" i="38"/>
  <c r="Q418" i="38"/>
  <c r="S417" i="38"/>
  <c r="Q417" i="38"/>
  <c r="S416" i="38"/>
  <c r="Q416" i="38"/>
  <c r="S415" i="38"/>
  <c r="Q415" i="38"/>
  <c r="S414" i="38"/>
  <c r="Q414" i="38"/>
  <c r="S413" i="38"/>
  <c r="Q413" i="38"/>
  <c r="S412" i="38"/>
  <c r="Q412" i="38"/>
  <c r="S411" i="38"/>
  <c r="Q411" i="38"/>
  <c r="S410" i="38"/>
  <c r="Q410" i="38"/>
  <c r="S409" i="38"/>
  <c r="Q409" i="38"/>
  <c r="S408" i="38"/>
  <c r="Q408" i="38"/>
  <c r="S407" i="38"/>
  <c r="Q407" i="38"/>
  <c r="S406" i="38"/>
  <c r="Q406" i="38"/>
  <c r="S405" i="38"/>
  <c r="Q405" i="38"/>
  <c r="S404" i="38"/>
  <c r="Q404" i="38"/>
  <c r="S403" i="38"/>
  <c r="Q403" i="38"/>
  <c r="S402" i="38"/>
  <c r="Q402" i="38"/>
  <c r="S401" i="38"/>
  <c r="Q401" i="38"/>
  <c r="S400" i="38"/>
  <c r="Q400" i="38"/>
  <c r="S399" i="38"/>
  <c r="Q399" i="38"/>
  <c r="S398" i="38"/>
  <c r="Q398" i="38"/>
  <c r="S397" i="38"/>
  <c r="Q397" i="38"/>
  <c r="S396" i="38"/>
  <c r="Q396" i="38"/>
  <c r="S395" i="38"/>
  <c r="Q395" i="38"/>
  <c r="S394" i="38"/>
  <c r="Q394" i="38"/>
  <c r="S393" i="38"/>
  <c r="Q393" i="38"/>
  <c r="S392" i="38"/>
  <c r="Q392" i="38"/>
  <c r="S391" i="38"/>
  <c r="Q391" i="38"/>
  <c r="S390" i="38"/>
  <c r="Q390" i="38"/>
  <c r="S389" i="38"/>
  <c r="Q389" i="38"/>
  <c r="S388" i="38"/>
  <c r="Q388" i="38"/>
  <c r="S387" i="38"/>
  <c r="Q387" i="38"/>
  <c r="S386" i="38"/>
  <c r="Q386" i="38"/>
  <c r="S385" i="38"/>
  <c r="Q385" i="38"/>
  <c r="S384" i="38"/>
  <c r="Q384" i="38"/>
  <c r="S383" i="38"/>
  <c r="Q383" i="38"/>
  <c r="S382" i="38"/>
  <c r="Q382" i="38"/>
  <c r="S381" i="38"/>
  <c r="Q381" i="38"/>
  <c r="S380" i="38"/>
  <c r="Q380" i="38"/>
  <c r="S379" i="38"/>
  <c r="Q379" i="38"/>
  <c r="S378" i="38"/>
  <c r="Q378" i="38"/>
  <c r="S377" i="38"/>
  <c r="Q377" i="38"/>
  <c r="S376" i="38"/>
  <c r="Q376" i="38"/>
  <c r="S375" i="38"/>
  <c r="Q375" i="38"/>
  <c r="S374" i="38"/>
  <c r="Q374" i="38"/>
  <c r="S373" i="38"/>
  <c r="Q373" i="38"/>
  <c r="S372" i="38"/>
  <c r="Q372" i="38"/>
  <c r="S371" i="38"/>
  <c r="Q371" i="38"/>
  <c r="S370" i="38"/>
  <c r="Q370" i="38"/>
  <c r="S369" i="38"/>
  <c r="Q369" i="38"/>
  <c r="S368" i="38"/>
  <c r="Q368" i="38"/>
  <c r="S367" i="38"/>
  <c r="Q367" i="38"/>
  <c r="S366" i="38"/>
  <c r="Q366" i="38"/>
  <c r="S365" i="38"/>
  <c r="Q365" i="38"/>
  <c r="S364" i="38"/>
  <c r="Q364" i="38"/>
  <c r="S363" i="38"/>
  <c r="Q363" i="38"/>
  <c r="S362" i="38"/>
  <c r="Q362" i="38"/>
  <c r="S361" i="38"/>
  <c r="Q361" i="38"/>
  <c r="S360" i="38"/>
  <c r="Q360" i="38"/>
  <c r="S359" i="38"/>
  <c r="Q359" i="38"/>
  <c r="S358" i="38"/>
  <c r="Q358" i="38"/>
  <c r="S357" i="38"/>
  <c r="Q357" i="38"/>
  <c r="S356" i="38"/>
  <c r="Q356" i="38"/>
  <c r="S355" i="38"/>
  <c r="Q355" i="38"/>
  <c r="S354" i="38"/>
  <c r="Q354" i="38"/>
  <c r="S353" i="38"/>
  <c r="Q353" i="38"/>
  <c r="S352" i="38"/>
  <c r="Q352" i="38"/>
  <c r="S351" i="38"/>
  <c r="Q351" i="38"/>
  <c r="S350" i="38"/>
  <c r="Q350" i="38"/>
  <c r="S349" i="38"/>
  <c r="Q349" i="38"/>
  <c r="S348" i="38"/>
  <c r="Q348" i="38"/>
  <c r="S347" i="38"/>
  <c r="Q347" i="38"/>
  <c r="S346" i="38"/>
  <c r="Q346" i="38"/>
  <c r="S345" i="38"/>
  <c r="Q345" i="38"/>
  <c r="S344" i="38"/>
  <c r="Q344" i="38"/>
  <c r="S343" i="38"/>
  <c r="Q343" i="38"/>
  <c r="S342" i="38"/>
  <c r="Q342" i="38"/>
  <c r="S341" i="38"/>
  <c r="Q341" i="38"/>
  <c r="S340" i="38"/>
  <c r="Q340" i="38"/>
  <c r="S339" i="38"/>
  <c r="Q339" i="38"/>
  <c r="S338" i="38"/>
  <c r="Q338" i="38"/>
  <c r="S337" i="38"/>
  <c r="Q337" i="38"/>
  <c r="S336" i="38"/>
  <c r="Q336" i="38"/>
  <c r="S335" i="38"/>
  <c r="Q335" i="38"/>
  <c r="S334" i="38"/>
  <c r="Q334" i="38"/>
  <c r="S333" i="38"/>
  <c r="Q333" i="38"/>
  <c r="S332" i="38"/>
  <c r="Q332" i="38"/>
  <c r="S331" i="38"/>
  <c r="Q331" i="38"/>
  <c r="S330" i="38"/>
  <c r="Q330" i="38"/>
  <c r="S329" i="38"/>
  <c r="Q329" i="38"/>
  <c r="S328" i="38"/>
  <c r="Q328" i="38"/>
  <c r="S327" i="38"/>
  <c r="Q327" i="38"/>
  <c r="S326" i="38"/>
  <c r="Q326" i="38"/>
  <c r="S325" i="38"/>
  <c r="Q325" i="38"/>
  <c r="S324" i="38"/>
  <c r="Q324" i="38"/>
  <c r="S323" i="38"/>
  <c r="Q323" i="38"/>
  <c r="S322" i="38"/>
  <c r="Q322" i="38"/>
  <c r="S321" i="38"/>
  <c r="Q321" i="38"/>
  <c r="S320" i="38"/>
  <c r="Q320" i="38"/>
  <c r="S319" i="38"/>
  <c r="Q319" i="38"/>
  <c r="S318" i="38"/>
  <c r="Q318" i="38"/>
  <c r="S317" i="38"/>
  <c r="Q317" i="38"/>
  <c r="S316" i="38"/>
  <c r="Q316" i="38"/>
  <c r="S315" i="38"/>
  <c r="Q315" i="38"/>
  <c r="S314" i="38"/>
  <c r="Q314" i="38"/>
  <c r="S313" i="38"/>
  <c r="Q313" i="38"/>
  <c r="S312" i="38"/>
  <c r="Q312" i="38"/>
  <c r="S311" i="38"/>
  <c r="Q311" i="38"/>
  <c r="S310" i="38"/>
  <c r="Q310" i="38"/>
  <c r="S309" i="38"/>
  <c r="Q309" i="38"/>
  <c r="S308" i="38"/>
  <c r="Q308" i="38"/>
  <c r="S307" i="38"/>
  <c r="Q307" i="38"/>
  <c r="S306" i="38"/>
  <c r="Q306" i="38"/>
  <c r="S305" i="38"/>
  <c r="Q305" i="38"/>
  <c r="S304" i="38"/>
  <c r="Q304" i="38"/>
  <c r="S303" i="38"/>
  <c r="Q303" i="38"/>
  <c r="S302" i="38"/>
  <c r="Q302" i="38"/>
  <c r="S301" i="38"/>
  <c r="Q301" i="38"/>
  <c r="S300" i="38"/>
  <c r="Q300" i="38"/>
  <c r="S299" i="38"/>
  <c r="Q299" i="38"/>
  <c r="S298" i="38"/>
  <c r="Q298" i="38"/>
  <c r="S297" i="38"/>
  <c r="Q297" i="38"/>
  <c r="S296" i="38"/>
  <c r="Q296" i="38"/>
  <c r="S295" i="38"/>
  <c r="Q295" i="38"/>
  <c r="S294" i="38"/>
  <c r="Q294" i="38"/>
  <c r="S293" i="38"/>
  <c r="Q293" i="38"/>
  <c r="S292" i="38"/>
  <c r="Q292" i="38"/>
  <c r="S291" i="38"/>
  <c r="Q291" i="38"/>
  <c r="S290" i="38"/>
  <c r="Q290" i="38"/>
  <c r="S289" i="38"/>
  <c r="Q289" i="38"/>
  <c r="S288" i="38"/>
  <c r="Q288" i="38"/>
  <c r="S287" i="38"/>
  <c r="Q287" i="38"/>
  <c r="S286" i="38"/>
  <c r="Q286" i="38"/>
  <c r="S285" i="38"/>
  <c r="Q285" i="38"/>
  <c r="S284" i="38"/>
  <c r="Q284" i="38"/>
  <c r="S283" i="38"/>
  <c r="Q283" i="38"/>
  <c r="S282" i="38"/>
  <c r="Q282" i="38"/>
  <c r="S281" i="38"/>
  <c r="Q281" i="38"/>
  <c r="S280" i="38"/>
  <c r="Q280" i="38"/>
  <c r="S279" i="38"/>
  <c r="Q279" i="38"/>
  <c r="S278" i="38"/>
  <c r="Q278" i="38"/>
  <c r="S277" i="38"/>
  <c r="Q277" i="38"/>
  <c r="S276" i="38"/>
  <c r="Q276" i="38"/>
  <c r="S275" i="38"/>
  <c r="Q275" i="38"/>
  <c r="S274" i="38"/>
  <c r="Q274" i="38"/>
  <c r="S273" i="38"/>
  <c r="Q273" i="38"/>
  <c r="S272" i="38"/>
  <c r="Q272" i="38"/>
  <c r="S271" i="38"/>
  <c r="Q271" i="38"/>
  <c r="S270" i="38"/>
  <c r="Q270" i="38"/>
  <c r="S269" i="38"/>
  <c r="Q269" i="38"/>
  <c r="S268" i="38"/>
  <c r="Q268" i="38"/>
  <c r="S267" i="38"/>
  <c r="Q267" i="38"/>
  <c r="S266" i="38"/>
  <c r="Q266" i="38"/>
  <c r="S265" i="38"/>
  <c r="Q265" i="38"/>
  <c r="S264" i="38"/>
  <c r="Q264" i="38"/>
  <c r="S263" i="38"/>
  <c r="Q263" i="38"/>
  <c r="S262" i="38"/>
  <c r="Q262" i="38"/>
  <c r="S261" i="38"/>
  <c r="Q261" i="38"/>
  <c r="S260" i="38"/>
  <c r="Q260" i="38"/>
  <c r="S259" i="38"/>
  <c r="Q259" i="38"/>
  <c r="S258" i="38"/>
  <c r="Q258" i="38"/>
  <c r="S257" i="38"/>
  <c r="Q257" i="38"/>
  <c r="S256" i="38"/>
  <c r="Q256" i="38"/>
  <c r="S255" i="38"/>
  <c r="Q255" i="38"/>
  <c r="S254" i="38"/>
  <c r="Q254" i="38"/>
  <c r="S253" i="38"/>
  <c r="Q253" i="38"/>
  <c r="S252" i="38"/>
  <c r="Q252" i="38"/>
  <c r="S251" i="38"/>
  <c r="Q251" i="38"/>
  <c r="S250" i="38"/>
  <c r="Q250" i="38"/>
  <c r="S249" i="38"/>
  <c r="Q249" i="38"/>
  <c r="S248" i="38"/>
  <c r="Q248" i="38"/>
  <c r="S247" i="38"/>
  <c r="Q247" i="38"/>
  <c r="S246" i="38"/>
  <c r="Q246" i="38"/>
  <c r="S245" i="38"/>
  <c r="Q245" i="38"/>
  <c r="S244" i="38"/>
  <c r="Q244" i="38"/>
  <c r="S243" i="38"/>
  <c r="Q243" i="38"/>
  <c r="S242" i="38"/>
  <c r="Q242" i="38"/>
  <c r="S241" i="38"/>
  <c r="Q241" i="38"/>
  <c r="S240" i="38"/>
  <c r="Q240" i="38"/>
  <c r="S239" i="38"/>
  <c r="Q239" i="38"/>
  <c r="S238" i="38"/>
  <c r="Q238" i="38"/>
  <c r="S237" i="38"/>
  <c r="Q237" i="38"/>
  <c r="S236" i="38"/>
  <c r="Q236" i="38"/>
  <c r="S235" i="38"/>
  <c r="Q235" i="38"/>
  <c r="S234" i="38"/>
  <c r="Q234" i="38"/>
  <c r="S233" i="38"/>
  <c r="Q233" i="38"/>
  <c r="S232" i="38"/>
  <c r="Q232" i="38"/>
  <c r="S231" i="38"/>
  <c r="Q231" i="38"/>
  <c r="S230" i="38"/>
  <c r="Q230" i="38"/>
  <c r="S229" i="38"/>
  <c r="Q229" i="38"/>
  <c r="S228" i="38"/>
  <c r="Q228" i="38"/>
  <c r="S227" i="38"/>
  <c r="Q227" i="38"/>
  <c r="S226" i="38"/>
  <c r="Q226" i="38"/>
  <c r="S225" i="38"/>
  <c r="Q225" i="38"/>
  <c r="S224" i="38"/>
  <c r="Q224" i="38"/>
  <c r="S223" i="38"/>
  <c r="Q223" i="38"/>
  <c r="S222" i="38"/>
  <c r="Q222" i="38"/>
  <c r="S221" i="38"/>
  <c r="Q221" i="38"/>
  <c r="S220" i="38"/>
  <c r="Q220" i="38"/>
  <c r="S219" i="38"/>
  <c r="Q219" i="38"/>
  <c r="S218" i="38"/>
  <c r="Q218" i="38"/>
  <c r="S217" i="38"/>
  <c r="Q217" i="38"/>
  <c r="S216" i="38"/>
  <c r="Q216" i="38"/>
  <c r="S215" i="38"/>
  <c r="Q215" i="38"/>
  <c r="S214" i="38"/>
  <c r="Q214" i="38"/>
  <c r="S213" i="38"/>
  <c r="Q213" i="38"/>
  <c r="S212" i="38"/>
  <c r="Q212" i="38"/>
  <c r="S211" i="38"/>
  <c r="Q211" i="38"/>
  <c r="S210" i="38"/>
  <c r="Q210" i="38"/>
  <c r="S209" i="38"/>
  <c r="Q209" i="38"/>
  <c r="S208" i="38"/>
  <c r="Q208" i="38"/>
  <c r="S207" i="38"/>
  <c r="Q207" i="38"/>
  <c r="S206" i="38"/>
  <c r="Q206" i="38"/>
  <c r="S205" i="38"/>
  <c r="Q205" i="38"/>
  <c r="S204" i="38"/>
  <c r="Q204" i="38"/>
  <c r="S203" i="38"/>
  <c r="Q203" i="38"/>
  <c r="S202" i="38"/>
  <c r="Q202" i="38"/>
  <c r="S201" i="38"/>
  <c r="Q201" i="38"/>
  <c r="S200" i="38"/>
  <c r="Q200" i="38"/>
  <c r="S199" i="38"/>
  <c r="Q199" i="38"/>
  <c r="S198" i="38"/>
  <c r="Q198" i="38"/>
  <c r="S197" i="38"/>
  <c r="Q197" i="38"/>
  <c r="S196" i="38"/>
  <c r="Q196" i="38"/>
  <c r="S195" i="38"/>
  <c r="Q195" i="38"/>
  <c r="S194" i="38"/>
  <c r="Q194" i="38"/>
  <c r="S193" i="38"/>
  <c r="Q193" i="38"/>
  <c r="S192" i="38"/>
  <c r="Q192" i="38"/>
  <c r="S191" i="38"/>
  <c r="Q191" i="38"/>
  <c r="S190" i="38"/>
  <c r="Q190" i="38"/>
  <c r="S189" i="38"/>
  <c r="Q189" i="38"/>
  <c r="S188" i="38"/>
  <c r="Q188" i="38"/>
  <c r="S187" i="38"/>
  <c r="Q187" i="38"/>
  <c r="S186" i="38"/>
  <c r="Q186" i="38"/>
  <c r="S185" i="38"/>
  <c r="Q185" i="38"/>
  <c r="S184" i="38"/>
  <c r="Q184" i="38"/>
  <c r="S183" i="38"/>
  <c r="Q183" i="38"/>
  <c r="S182" i="38"/>
  <c r="Q182" i="38"/>
  <c r="S181" i="38"/>
  <c r="Q181" i="38"/>
  <c r="S180" i="38"/>
  <c r="Q180" i="38"/>
  <c r="S179" i="38"/>
  <c r="Q179" i="38"/>
  <c r="S178" i="38"/>
  <c r="Q178" i="38"/>
  <c r="S177" i="38"/>
  <c r="Q177" i="38"/>
  <c r="S176" i="38"/>
  <c r="Q176" i="38"/>
  <c r="S175" i="38"/>
  <c r="Q175" i="38"/>
  <c r="S174" i="38"/>
  <c r="Q174" i="38"/>
  <c r="S173" i="38"/>
  <c r="Q173" i="38"/>
  <c r="S172" i="38"/>
  <c r="Q172" i="38"/>
  <c r="S171" i="38"/>
  <c r="Q171" i="38"/>
  <c r="S170" i="38"/>
  <c r="Q170" i="38"/>
  <c r="S169" i="38"/>
  <c r="Q169" i="38"/>
  <c r="S168" i="38"/>
  <c r="Q168" i="38"/>
  <c r="S167" i="38"/>
  <c r="Q167" i="38"/>
  <c r="S166" i="38"/>
  <c r="Q166" i="38"/>
  <c r="S165" i="38"/>
  <c r="Q165" i="38"/>
  <c r="S164" i="38"/>
  <c r="Q164" i="38"/>
  <c r="S163" i="38"/>
  <c r="Q163" i="38"/>
  <c r="S162" i="38"/>
  <c r="Q162" i="38"/>
  <c r="S161" i="38"/>
  <c r="Q161" i="38"/>
  <c r="S160" i="38"/>
  <c r="Q160" i="38"/>
  <c r="S159" i="38"/>
  <c r="Q159" i="38"/>
  <c r="S158" i="38"/>
  <c r="Q158" i="38"/>
  <c r="S157" i="38"/>
  <c r="Q157" i="38"/>
  <c r="S156" i="38"/>
  <c r="Q156" i="38"/>
  <c r="S155" i="38"/>
  <c r="Q155" i="38"/>
  <c r="S154" i="38"/>
  <c r="Q154" i="38"/>
  <c r="S153" i="38"/>
  <c r="Q153" i="38"/>
  <c r="S152" i="38"/>
  <c r="Q152" i="38"/>
  <c r="S151" i="38"/>
  <c r="Q151" i="38"/>
  <c r="S150" i="38"/>
  <c r="Q150" i="38"/>
  <c r="S149" i="38"/>
  <c r="Q149" i="38"/>
  <c r="S148" i="38"/>
  <c r="Q148" i="38"/>
  <c r="S147" i="38"/>
  <c r="Q147" i="38"/>
  <c r="S146" i="38"/>
  <c r="Q146" i="38"/>
  <c r="S145" i="38"/>
  <c r="Q145" i="38"/>
  <c r="S144" i="38"/>
  <c r="Q144" i="38"/>
  <c r="S143" i="38"/>
  <c r="Q143" i="38"/>
  <c r="S142" i="38"/>
  <c r="Q142" i="38"/>
  <c r="S141" i="38"/>
  <c r="Q141" i="38"/>
  <c r="S140" i="38"/>
  <c r="Q140" i="38"/>
  <c r="S139" i="38"/>
  <c r="Q139" i="38"/>
  <c r="S138" i="38"/>
  <c r="Q138" i="38"/>
  <c r="S137" i="38"/>
  <c r="Q137" i="38"/>
  <c r="S136" i="38"/>
  <c r="Q136" i="38"/>
  <c r="S135" i="38"/>
  <c r="Q135" i="38"/>
  <c r="S134" i="38"/>
  <c r="Q134" i="38"/>
  <c r="S133" i="38"/>
  <c r="Q133" i="38"/>
  <c r="S132" i="38"/>
  <c r="Q132" i="38"/>
  <c r="S131" i="38"/>
  <c r="Q131" i="38"/>
  <c r="S130" i="38"/>
  <c r="Q130" i="38"/>
  <c r="S129" i="38"/>
  <c r="Q129" i="38"/>
  <c r="S128" i="38"/>
  <c r="Q128" i="38"/>
  <c r="S127" i="38"/>
  <c r="Q127" i="38"/>
  <c r="S126" i="38"/>
  <c r="Q126" i="38"/>
  <c r="S125" i="38"/>
  <c r="Q125" i="38"/>
  <c r="S124" i="38"/>
  <c r="Q124" i="38"/>
  <c r="S123" i="38"/>
  <c r="Q123" i="38"/>
  <c r="S122" i="38"/>
  <c r="Q122" i="38"/>
  <c r="S121" i="38"/>
  <c r="Q121" i="38"/>
  <c r="S120" i="38"/>
  <c r="Q120" i="38"/>
  <c r="S119" i="38"/>
  <c r="Q119" i="38"/>
  <c r="S118" i="38"/>
  <c r="Q118" i="38"/>
  <c r="S117" i="38"/>
  <c r="Q117" i="38"/>
  <c r="S116" i="38"/>
  <c r="Q116" i="38"/>
  <c r="S115" i="38"/>
  <c r="Q115" i="38"/>
  <c r="S114" i="38"/>
  <c r="Q114" i="38"/>
  <c r="S113" i="38"/>
  <c r="Q113" i="38"/>
  <c r="S112" i="38"/>
  <c r="Q112" i="38"/>
  <c r="S111" i="38"/>
  <c r="Q111" i="38"/>
  <c r="S110" i="38"/>
  <c r="Q110" i="38"/>
  <c r="S109" i="38"/>
  <c r="Q109" i="38"/>
  <c r="S108" i="38"/>
  <c r="Q108" i="38"/>
  <c r="S107" i="38"/>
  <c r="Q107" i="38"/>
  <c r="S106" i="38"/>
  <c r="Q106" i="38"/>
  <c r="S105" i="38"/>
  <c r="Q105" i="38"/>
  <c r="S104" i="38"/>
  <c r="Q104" i="38"/>
  <c r="S103" i="38"/>
  <c r="Q103" i="38"/>
  <c r="S102" i="38"/>
  <c r="Q102" i="38"/>
  <c r="S101" i="38"/>
  <c r="Q101" i="38"/>
  <c r="S100" i="38"/>
  <c r="Q100" i="38"/>
  <c r="S99" i="38"/>
  <c r="Q99" i="38"/>
  <c r="S98" i="38"/>
  <c r="Q98" i="38"/>
  <c r="S97" i="38"/>
  <c r="Q97" i="38"/>
  <c r="S96" i="38"/>
  <c r="Q96" i="38"/>
  <c r="S95" i="38"/>
  <c r="Q95" i="38"/>
  <c r="S94" i="38"/>
  <c r="Q94" i="38"/>
  <c r="S93" i="38"/>
  <c r="Q93" i="38"/>
  <c r="S92" i="38"/>
  <c r="Q92" i="38"/>
  <c r="S91" i="38"/>
  <c r="Q91" i="38"/>
  <c r="S90" i="38"/>
  <c r="Q90" i="38"/>
  <c r="S89" i="38"/>
  <c r="Q89" i="38"/>
  <c r="S88" i="38"/>
  <c r="Q88" i="38"/>
  <c r="S87" i="38"/>
  <c r="Q87" i="38"/>
  <c r="S86" i="38"/>
  <c r="Q86" i="38"/>
  <c r="S85" i="38"/>
  <c r="Q85" i="38"/>
  <c r="S84" i="38"/>
  <c r="Q84" i="38"/>
  <c r="S83" i="38"/>
  <c r="Q83" i="38"/>
  <c r="S82" i="38"/>
  <c r="Q82" i="38"/>
  <c r="S81" i="38"/>
  <c r="Q81" i="38"/>
  <c r="S80" i="38"/>
  <c r="Q80" i="38"/>
  <c r="S79" i="38"/>
  <c r="Q79" i="38"/>
  <c r="S78" i="38"/>
  <c r="Q78" i="38"/>
  <c r="S77" i="38"/>
  <c r="Q77" i="38"/>
  <c r="S76" i="38"/>
  <c r="Q76" i="38"/>
  <c r="S75" i="38"/>
  <c r="Q75" i="38"/>
  <c r="S74" i="38"/>
  <c r="Q74" i="38"/>
  <c r="S73" i="38"/>
  <c r="Q73" i="38"/>
  <c r="S72" i="38"/>
  <c r="Q72" i="38"/>
  <c r="S71" i="38"/>
  <c r="Q71" i="38"/>
  <c r="S70" i="38"/>
  <c r="Q70" i="38"/>
  <c r="S69" i="38"/>
  <c r="Q69" i="38"/>
  <c r="S68" i="38"/>
  <c r="Q68" i="38"/>
  <c r="S67" i="38"/>
  <c r="Q67" i="38"/>
  <c r="S66" i="38"/>
  <c r="Q66" i="38"/>
  <c r="S65" i="38"/>
  <c r="Q65" i="38"/>
  <c r="S64" i="38"/>
  <c r="Q64" i="38"/>
  <c r="S63" i="38"/>
  <c r="Q63" i="38"/>
  <c r="S62" i="38"/>
  <c r="Q62" i="38"/>
  <c r="S61" i="38"/>
  <c r="Q61" i="38"/>
  <c r="S60" i="38"/>
  <c r="Q60" i="38"/>
  <c r="S59" i="38"/>
  <c r="Q59" i="38"/>
  <c r="S58" i="38"/>
  <c r="Q58" i="38"/>
  <c r="S57" i="38"/>
  <c r="Q57" i="38"/>
  <c r="S56" i="38"/>
  <c r="Q56" i="38"/>
  <c r="S55" i="38"/>
  <c r="Q55" i="38"/>
  <c r="S54" i="38"/>
  <c r="Q54" i="38"/>
  <c r="S53" i="38"/>
  <c r="Q53" i="38"/>
  <c r="S52" i="38"/>
  <c r="Q52" i="38"/>
  <c r="S51" i="38"/>
  <c r="Q51" i="38"/>
  <c r="S50" i="38"/>
  <c r="Q50" i="38"/>
  <c r="S49" i="38"/>
  <c r="Q49" i="38"/>
  <c r="S48" i="38"/>
  <c r="Q48" i="38"/>
  <c r="S47" i="38"/>
  <c r="Q47" i="38"/>
  <c r="S46" i="38"/>
  <c r="Q46" i="38"/>
  <c r="S45" i="38"/>
  <c r="Q45" i="38"/>
  <c r="S44" i="38"/>
  <c r="Q44" i="38"/>
  <c r="S43" i="38"/>
  <c r="Q43" i="38"/>
  <c r="S42" i="38"/>
  <c r="Q42" i="38"/>
  <c r="S41" i="38"/>
  <c r="Q41" i="38"/>
  <c r="S40" i="38"/>
  <c r="Q40" i="38"/>
  <c r="S39" i="38"/>
  <c r="Q39" i="38"/>
  <c r="S38" i="38"/>
  <c r="Q38" i="38"/>
  <c r="S37" i="38"/>
  <c r="Q37" i="38"/>
  <c r="S36" i="38"/>
  <c r="Q36" i="38"/>
  <c r="S35" i="38"/>
  <c r="Q35" i="38"/>
  <c r="S34" i="38"/>
  <c r="Q34" i="38"/>
  <c r="S33" i="38"/>
  <c r="Q33" i="38"/>
  <c r="S32" i="38"/>
  <c r="Q32" i="38"/>
  <c r="S31" i="38"/>
  <c r="Q31" i="38"/>
  <c r="S30" i="38"/>
  <c r="Q30" i="38"/>
  <c r="S29" i="38"/>
  <c r="Q29" i="38"/>
  <c r="S28" i="38"/>
  <c r="Q28" i="38"/>
  <c r="S27" i="38"/>
  <c r="Q27" i="38"/>
  <c r="S26" i="38"/>
  <c r="Q26" i="38"/>
  <c r="S25" i="38"/>
  <c r="Q25" i="38"/>
  <c r="S24" i="38"/>
  <c r="Q24" i="38"/>
  <c r="S23" i="38"/>
  <c r="Q23" i="38"/>
  <c r="S22" i="38"/>
  <c r="Q22" i="38"/>
  <c r="S21" i="38"/>
  <c r="Q21" i="38"/>
  <c r="S20" i="38"/>
  <c r="Q20" i="38"/>
  <c r="S19" i="38"/>
  <c r="Q19" i="38"/>
  <c r="S18" i="38"/>
  <c r="Q18" i="38"/>
  <c r="S17" i="38"/>
  <c r="Q17" i="38"/>
  <c r="S16" i="38"/>
  <c r="Q16" i="38"/>
  <c r="S15" i="38"/>
  <c r="Q15" i="38"/>
  <c r="S14" i="38"/>
  <c r="Q14" i="38"/>
  <c r="S13" i="38"/>
  <c r="Q13" i="38"/>
  <c r="S12" i="38"/>
  <c r="Q12" i="38"/>
  <c r="S11" i="38"/>
  <c r="Q11" i="38"/>
  <c r="S10" i="38"/>
  <c r="Q10" i="38"/>
  <c r="S9" i="38"/>
  <c r="Q9" i="38"/>
  <c r="S8" i="38"/>
  <c r="Q8" i="38"/>
  <c r="S7" i="38"/>
  <c r="Q7" i="38"/>
  <c r="S6" i="38"/>
  <c r="Q6" i="38"/>
  <c r="S5" i="38"/>
  <c r="Q5" i="38"/>
  <c r="S4" i="38"/>
  <c r="Q4" i="38"/>
  <c r="S3" i="38"/>
  <c r="Q3" i="38"/>
  <c r="S2" i="38"/>
  <c r="Q2" i="38"/>
  <c r="G9" i="37" l="1"/>
  <c r="G25" i="37"/>
  <c r="G41" i="37"/>
  <c r="G57" i="37"/>
  <c r="G20" i="32"/>
  <c r="G36" i="32"/>
  <c r="G21" i="33"/>
  <c r="G22" i="33"/>
  <c r="G25" i="33"/>
  <c r="G10" i="37"/>
  <c r="G26" i="37"/>
  <c r="G42" i="37"/>
  <c r="G58" i="37"/>
  <c r="G21" i="32"/>
  <c r="G11" i="37"/>
  <c r="G27" i="37"/>
  <c r="G43" i="37"/>
  <c r="G59" i="37"/>
  <c r="G22" i="32"/>
  <c r="G38" i="32"/>
  <c r="G23" i="33"/>
  <c r="G9" i="33"/>
  <c r="G27" i="32"/>
  <c r="G13" i="32"/>
  <c r="G12" i="37"/>
  <c r="G28" i="37"/>
  <c r="G44" i="37"/>
  <c r="G60" i="37"/>
  <c r="G23" i="32"/>
  <c r="G8" i="32"/>
  <c r="G24" i="33"/>
  <c r="G27" i="33"/>
  <c r="G29" i="32"/>
  <c r="G13" i="37"/>
  <c r="G29" i="37"/>
  <c r="G45" i="37"/>
  <c r="G61" i="37"/>
  <c r="G26" i="32"/>
  <c r="G14" i="37"/>
  <c r="G30" i="37"/>
  <c r="G46" i="37"/>
  <c r="G62" i="37"/>
  <c r="G9" i="32"/>
  <c r="G25" i="32"/>
  <c r="G10" i="33"/>
  <c r="G26" i="33"/>
  <c r="G15" i="37"/>
  <c r="G31" i="37"/>
  <c r="G47" i="37"/>
  <c r="G8" i="37"/>
  <c r="G16" i="37"/>
  <c r="G32" i="37"/>
  <c r="G48" i="37"/>
  <c r="G17" i="37"/>
  <c r="G33" i="37"/>
  <c r="G49" i="37"/>
  <c r="G12" i="32"/>
  <c r="G28" i="32"/>
  <c r="G13" i="33"/>
  <c r="G29" i="33"/>
  <c r="G18" i="37"/>
  <c r="G34" i="37"/>
  <c r="G50" i="37"/>
  <c r="G19" i="37"/>
  <c r="G35" i="37"/>
  <c r="G51" i="37"/>
  <c r="G14" i="32"/>
  <c r="G30" i="32"/>
  <c r="G15" i="33"/>
  <c r="G31" i="33"/>
  <c r="G11" i="32"/>
  <c r="G14" i="33"/>
  <c r="G20" i="37"/>
  <c r="G36" i="37"/>
  <c r="G52" i="37"/>
  <c r="G15" i="32"/>
  <c r="G31" i="32"/>
  <c r="G16" i="33"/>
  <c r="G32" i="33"/>
  <c r="G8" i="33"/>
  <c r="G37" i="32"/>
  <c r="G10" i="32"/>
  <c r="G28" i="33"/>
  <c r="G30" i="33"/>
  <c r="G21" i="37"/>
  <c r="G37" i="37"/>
  <c r="G53" i="37"/>
  <c r="G16" i="32"/>
  <c r="G32" i="32"/>
  <c r="G17" i="33"/>
  <c r="G22" i="37"/>
  <c r="G38" i="37"/>
  <c r="G54" i="37"/>
  <c r="G17" i="32"/>
  <c r="G33" i="32"/>
  <c r="G18" i="33"/>
  <c r="G12" i="33"/>
  <c r="G23" i="37"/>
  <c r="G39" i="37"/>
  <c r="G55" i="37"/>
  <c r="G18" i="32"/>
  <c r="G34" i="32"/>
  <c r="G19" i="33"/>
  <c r="G24" i="32"/>
  <c r="G24" i="37"/>
  <c r="G40" i="37"/>
  <c r="G56" i="37"/>
  <c r="G19" i="32"/>
  <c r="G35" i="32"/>
  <c r="G20" i="33"/>
  <c r="G11" i="33"/>
  <c r="AH16" i="29" l="1"/>
  <c r="F12" i="27" l="1"/>
  <c r="F13" i="27" s="1"/>
  <c r="C75" i="27" l="1"/>
  <c r="C68" i="27"/>
  <c r="AO12" i="13" l="1" a="1"/>
  <c r="AO12" i="13" s="1"/>
  <c r="AO15" i="13" a="1"/>
  <c r="AO15" i="13" s="1"/>
  <c r="AO18" i="13" a="1"/>
  <c r="AO18" i="13" s="1"/>
  <c r="B19" i="13" l="1"/>
  <c r="D19" i="13" s="1" a="1"/>
  <c r="D19" i="13" s="1"/>
  <c r="F668" i="27"/>
  <c r="D668" i="27"/>
  <c r="C668" i="27"/>
  <c r="D212" i="27"/>
  <c r="D213" i="27"/>
  <c r="D214" i="27"/>
  <c r="D215" i="27"/>
  <c r="D216" i="27"/>
  <c r="D217" i="27"/>
  <c r="D218" i="27"/>
  <c r="D219" i="27"/>
  <c r="D220" i="27"/>
  <c r="D221" i="27"/>
  <c r="D222" i="27"/>
  <c r="D233" i="27"/>
  <c r="D234" i="27"/>
  <c r="D235" i="27"/>
  <c r="D236" i="27"/>
  <c r="D237" i="27"/>
  <c r="D238" i="27"/>
  <c r="D239" i="27"/>
  <c r="D240" i="27"/>
  <c r="D241" i="27"/>
  <c r="D242" i="27"/>
  <c r="D243" i="27"/>
  <c r="B14" i="13"/>
  <c r="G18" i="13" l="1"/>
  <c r="D18" i="13" s="1" a="1"/>
  <c r="D18" i="13" s="1"/>
  <c r="C62" i="27"/>
  <c r="C66" i="27"/>
  <c r="C71" i="27"/>
  <c r="C76" i="27"/>
  <c r="C80" i="27"/>
  <c r="C84" i="27"/>
  <c r="C88" i="27"/>
  <c r="C92" i="27"/>
  <c r="C96" i="27"/>
  <c r="C100" i="27"/>
  <c r="C104" i="27"/>
  <c r="C108" i="27"/>
  <c r="C112" i="27"/>
  <c r="C116" i="27"/>
  <c r="C120" i="27"/>
  <c r="C124" i="27"/>
  <c r="C128" i="27"/>
  <c r="C132" i="27"/>
  <c r="C136" i="27"/>
  <c r="C140" i="27"/>
  <c r="C144" i="27"/>
  <c r="C148" i="27"/>
  <c r="C152" i="27"/>
  <c r="C156" i="27"/>
  <c r="C160" i="27"/>
  <c r="C164" i="27"/>
  <c r="C168" i="27"/>
  <c r="C172" i="27"/>
  <c r="C176" i="27"/>
  <c r="C180" i="27"/>
  <c r="C184" i="27"/>
  <c r="C188" i="27"/>
  <c r="C192" i="27"/>
  <c r="C196" i="27"/>
  <c r="C200" i="27"/>
  <c r="C204" i="27"/>
  <c r="C208" i="27"/>
  <c r="C212" i="27"/>
  <c r="C216" i="27"/>
  <c r="C220" i="27"/>
  <c r="C224" i="27"/>
  <c r="C228" i="27"/>
  <c r="C232" i="27"/>
  <c r="C236" i="27"/>
  <c r="C240" i="27"/>
  <c r="C244" i="27"/>
  <c r="C248" i="27"/>
  <c r="C252" i="27"/>
  <c r="C256" i="27"/>
  <c r="C260" i="27"/>
  <c r="C264" i="27"/>
  <c r="C268" i="27"/>
  <c r="C63" i="27"/>
  <c r="C67" i="27"/>
  <c r="C72" i="27"/>
  <c r="C77" i="27"/>
  <c r="C81" i="27"/>
  <c r="C85" i="27"/>
  <c r="C89" i="27"/>
  <c r="C93" i="27"/>
  <c r="C97" i="27"/>
  <c r="C101" i="27"/>
  <c r="C105" i="27"/>
  <c r="C109" i="27"/>
  <c r="C113" i="27"/>
  <c r="C117" i="27"/>
  <c r="C121" i="27"/>
  <c r="C125" i="27"/>
  <c r="C129" i="27"/>
  <c r="C133" i="27"/>
  <c r="C137" i="27"/>
  <c r="C141" i="27"/>
  <c r="C145" i="27"/>
  <c r="C149" i="27"/>
  <c r="C153" i="27"/>
  <c r="C157" i="27"/>
  <c r="C161" i="27"/>
  <c r="C165" i="27"/>
  <c r="C169" i="27"/>
  <c r="C173" i="27"/>
  <c r="C177" i="27"/>
  <c r="C181" i="27"/>
  <c r="C185" i="27"/>
  <c r="C189" i="27"/>
  <c r="C193" i="27"/>
  <c r="C197" i="27"/>
  <c r="C201" i="27"/>
  <c r="C205" i="27"/>
  <c r="C209" i="27"/>
  <c r="C213" i="27"/>
  <c r="C217" i="27"/>
  <c r="C221" i="27"/>
  <c r="C225" i="27"/>
  <c r="C229" i="27"/>
  <c r="C233" i="27"/>
  <c r="C237" i="27"/>
  <c r="C241" i="27"/>
  <c r="C245" i="27"/>
  <c r="C249" i="27"/>
  <c r="C253" i="27"/>
  <c r="C257" i="27"/>
  <c r="C261" i="27"/>
  <c r="C265" i="27"/>
  <c r="C269" i="27"/>
  <c r="C64" i="27"/>
  <c r="C69" i="27"/>
  <c r="C73" i="27"/>
  <c r="C78" i="27"/>
  <c r="C82" i="27"/>
  <c r="C86" i="27"/>
  <c r="C65" i="27"/>
  <c r="C83" i="27"/>
  <c r="C94" i="27"/>
  <c r="C102" i="27"/>
  <c r="C110" i="27"/>
  <c r="C118" i="27"/>
  <c r="C126" i="27"/>
  <c r="C134" i="27"/>
  <c r="C142" i="27"/>
  <c r="C150" i="27"/>
  <c r="C158" i="27"/>
  <c r="C166" i="27"/>
  <c r="C174" i="27"/>
  <c r="C182" i="27"/>
  <c r="C190" i="27"/>
  <c r="C198" i="27"/>
  <c r="C206" i="27"/>
  <c r="C214" i="27"/>
  <c r="C222" i="27"/>
  <c r="C230" i="27"/>
  <c r="C238" i="27"/>
  <c r="C246" i="27"/>
  <c r="C254" i="27"/>
  <c r="C262" i="27"/>
  <c r="C270" i="27"/>
  <c r="C274" i="27"/>
  <c r="C278" i="27"/>
  <c r="C282" i="27"/>
  <c r="C286" i="27"/>
  <c r="C290" i="27"/>
  <c r="C294" i="27"/>
  <c r="C297" i="27"/>
  <c r="C301" i="27"/>
  <c r="C305" i="27"/>
  <c r="C309" i="27"/>
  <c r="C313" i="27"/>
  <c r="C317" i="27"/>
  <c r="C321" i="27"/>
  <c r="C325" i="27"/>
  <c r="C329" i="27"/>
  <c r="C333" i="27"/>
  <c r="C337" i="27"/>
  <c r="C341" i="27"/>
  <c r="C345" i="27"/>
  <c r="C349" i="27"/>
  <c r="C353" i="27"/>
  <c r="C357" i="27"/>
  <c r="C361" i="27"/>
  <c r="C365" i="27"/>
  <c r="C369" i="27"/>
  <c r="C373" i="27"/>
  <c r="C377" i="27"/>
  <c r="C381" i="27"/>
  <c r="C385" i="27"/>
  <c r="C389" i="27"/>
  <c r="C393" i="27"/>
  <c r="C397" i="27"/>
  <c r="C401" i="27"/>
  <c r="C405" i="27"/>
  <c r="C409" i="27"/>
  <c r="C413" i="27"/>
  <c r="C417" i="27"/>
  <c r="C421" i="27"/>
  <c r="C425" i="27"/>
  <c r="C429" i="27"/>
  <c r="C433" i="27"/>
  <c r="C437" i="27"/>
  <c r="C441" i="27"/>
  <c r="C445" i="27"/>
  <c r="C449" i="27"/>
  <c r="C453" i="27"/>
  <c r="C457" i="27"/>
  <c r="C461" i="27"/>
  <c r="C465" i="27"/>
  <c r="C469" i="27"/>
  <c r="C473" i="27"/>
  <c r="C477" i="27"/>
  <c r="C481" i="27"/>
  <c r="C70" i="27"/>
  <c r="C87" i="27"/>
  <c r="C95" i="27"/>
  <c r="C103" i="27"/>
  <c r="C111" i="27"/>
  <c r="C119" i="27"/>
  <c r="C127" i="27"/>
  <c r="C135" i="27"/>
  <c r="C143" i="27"/>
  <c r="C151" i="27"/>
  <c r="C159" i="27"/>
  <c r="C167" i="27"/>
  <c r="C175" i="27"/>
  <c r="C183" i="27"/>
  <c r="C191" i="27"/>
  <c r="C199" i="27"/>
  <c r="C207" i="27"/>
  <c r="C215" i="27"/>
  <c r="C223" i="27"/>
  <c r="C231" i="27"/>
  <c r="C239" i="27"/>
  <c r="C247" i="27"/>
  <c r="C255" i="27"/>
  <c r="C263" i="27"/>
  <c r="C271" i="27"/>
  <c r="C275" i="27"/>
  <c r="C279" i="27"/>
  <c r="C283" i="27"/>
  <c r="C287" i="27"/>
  <c r="C291" i="27"/>
  <c r="C298" i="27"/>
  <c r="C302" i="27"/>
  <c r="C306" i="27"/>
  <c r="C310" i="27"/>
  <c r="C314" i="27"/>
  <c r="C318" i="27"/>
  <c r="C322" i="27"/>
  <c r="C326" i="27"/>
  <c r="C330" i="27"/>
  <c r="C334" i="27"/>
  <c r="C338" i="27"/>
  <c r="C342" i="27"/>
  <c r="C346" i="27"/>
  <c r="C350" i="27"/>
  <c r="C354" i="27"/>
  <c r="C358" i="27"/>
  <c r="C362" i="27"/>
  <c r="C366" i="27"/>
  <c r="C370" i="27"/>
  <c r="C374" i="27"/>
  <c r="C378" i="27"/>
  <c r="C382" i="27"/>
  <c r="C386" i="27"/>
  <c r="C390" i="27"/>
  <c r="C394" i="27"/>
  <c r="C398" i="27"/>
  <c r="C402" i="27"/>
  <c r="C406" i="27"/>
  <c r="C410" i="27"/>
  <c r="C414" i="27"/>
  <c r="C418" i="27"/>
  <c r="C422" i="27"/>
  <c r="C426" i="27"/>
  <c r="C430" i="27"/>
  <c r="C434" i="27"/>
  <c r="C438" i="27"/>
  <c r="C442" i="27"/>
  <c r="C446" i="27"/>
  <c r="C450" i="27"/>
  <c r="C454" i="27"/>
  <c r="C458" i="27"/>
  <c r="C462" i="27"/>
  <c r="C466" i="27"/>
  <c r="C470" i="27"/>
  <c r="C474" i="27"/>
  <c r="C478" i="27"/>
  <c r="C74" i="27"/>
  <c r="C90" i="27"/>
  <c r="C98" i="27"/>
  <c r="C106" i="27"/>
  <c r="C114" i="27"/>
  <c r="C122" i="27"/>
  <c r="C130" i="27"/>
  <c r="C138" i="27"/>
  <c r="C146" i="27"/>
  <c r="C154" i="27"/>
  <c r="C162" i="27"/>
  <c r="C170" i="27"/>
  <c r="C178" i="27"/>
  <c r="C186" i="27"/>
  <c r="C194" i="27"/>
  <c r="C202" i="27"/>
  <c r="C210" i="27"/>
  <c r="C218" i="27"/>
  <c r="C226" i="27"/>
  <c r="C234" i="27"/>
  <c r="C242" i="27"/>
  <c r="C250" i="27"/>
  <c r="C258" i="27"/>
  <c r="C266" i="27"/>
  <c r="C272" i="27"/>
  <c r="C276" i="27"/>
  <c r="C280" i="27"/>
  <c r="C284" i="27"/>
  <c r="C288" i="27"/>
  <c r="C292" i="27"/>
  <c r="C295" i="27"/>
  <c r="C299" i="27"/>
  <c r="C303" i="27"/>
  <c r="C307" i="27"/>
  <c r="C311" i="27"/>
  <c r="C315" i="27"/>
  <c r="C319" i="27"/>
  <c r="C323" i="27"/>
  <c r="C327" i="27"/>
  <c r="C331" i="27"/>
  <c r="C335" i="27"/>
  <c r="C339" i="27"/>
  <c r="C343" i="27"/>
  <c r="C347" i="27"/>
  <c r="C351" i="27"/>
  <c r="C355" i="27"/>
  <c r="C359" i="27"/>
  <c r="C363" i="27"/>
  <c r="C367" i="27"/>
  <c r="C371" i="27"/>
  <c r="C375" i="27"/>
  <c r="C379" i="27"/>
  <c r="C383" i="27"/>
  <c r="C387" i="27"/>
  <c r="C391" i="27"/>
  <c r="C395" i="27"/>
  <c r="C399" i="27"/>
  <c r="C403" i="27"/>
  <c r="C407" i="27"/>
  <c r="C411" i="27"/>
  <c r="C415" i="27"/>
  <c r="C419" i="27"/>
  <c r="C423" i="27"/>
  <c r="C427" i="27"/>
  <c r="C431" i="27"/>
  <c r="C435" i="27"/>
  <c r="C439" i="27"/>
  <c r="C443" i="27"/>
  <c r="C447" i="27"/>
  <c r="C451" i="27"/>
  <c r="C455" i="27"/>
  <c r="C459" i="27"/>
  <c r="C463" i="27"/>
  <c r="C467" i="27"/>
  <c r="C471" i="27"/>
  <c r="C475" i="27"/>
  <c r="C91" i="27"/>
  <c r="C123" i="27"/>
  <c r="C155" i="27"/>
  <c r="C187" i="27"/>
  <c r="C219" i="27"/>
  <c r="C251" i="27"/>
  <c r="C277" i="27"/>
  <c r="C293" i="27"/>
  <c r="C308" i="27"/>
  <c r="C324" i="27"/>
  <c r="C340" i="27"/>
  <c r="C356" i="27"/>
  <c r="C372" i="27"/>
  <c r="C388" i="27"/>
  <c r="C404" i="27"/>
  <c r="C420" i="27"/>
  <c r="C436" i="27"/>
  <c r="C452" i="27"/>
  <c r="C468" i="27"/>
  <c r="C480" i="27"/>
  <c r="C485" i="27"/>
  <c r="C489" i="27"/>
  <c r="C493" i="27"/>
  <c r="C497" i="27"/>
  <c r="C501" i="27"/>
  <c r="C505" i="27"/>
  <c r="C509" i="27"/>
  <c r="C513" i="27"/>
  <c r="C517" i="27"/>
  <c r="C521" i="27"/>
  <c r="C525" i="27"/>
  <c r="C529" i="27"/>
  <c r="C533" i="27"/>
  <c r="C537" i="27"/>
  <c r="C541" i="27"/>
  <c r="C545" i="27"/>
  <c r="C549" i="27"/>
  <c r="C553" i="27"/>
  <c r="C557" i="27"/>
  <c r="C561" i="27"/>
  <c r="C565" i="27"/>
  <c r="C569" i="27"/>
  <c r="C573" i="27"/>
  <c r="C577" i="27"/>
  <c r="C581" i="27"/>
  <c r="C585" i="27"/>
  <c r="C589" i="27"/>
  <c r="C593" i="27"/>
  <c r="C597" i="27"/>
  <c r="C601" i="27"/>
  <c r="C605" i="27"/>
  <c r="C609" i="27"/>
  <c r="C613" i="27"/>
  <c r="C617" i="27"/>
  <c r="C621" i="27"/>
  <c r="C625" i="27"/>
  <c r="C629" i="27"/>
  <c r="C633" i="27"/>
  <c r="C637" i="27"/>
  <c r="C641" i="27"/>
  <c r="C645" i="27"/>
  <c r="C649" i="27"/>
  <c r="C653" i="27"/>
  <c r="C657" i="27"/>
  <c r="C661" i="27"/>
  <c r="C665" i="27"/>
  <c r="C670" i="27"/>
  <c r="C674" i="27"/>
  <c r="C678" i="27"/>
  <c r="C99" i="27"/>
  <c r="C131" i="27"/>
  <c r="C163" i="27"/>
  <c r="C195" i="27"/>
  <c r="C227" i="27"/>
  <c r="C259" i="27"/>
  <c r="C281" i="27"/>
  <c r="C296" i="27"/>
  <c r="C312" i="27"/>
  <c r="C328" i="27"/>
  <c r="C344" i="27"/>
  <c r="C360" i="27"/>
  <c r="C376" i="27"/>
  <c r="C392" i="27"/>
  <c r="C408" i="27"/>
  <c r="C424" i="27"/>
  <c r="C440" i="27"/>
  <c r="C456" i="27"/>
  <c r="C472" i="27"/>
  <c r="C482" i="27"/>
  <c r="C486" i="27"/>
  <c r="C490" i="27"/>
  <c r="C494" i="27"/>
  <c r="C498" i="27"/>
  <c r="C502" i="27"/>
  <c r="C506" i="27"/>
  <c r="C510" i="27"/>
  <c r="C514" i="27"/>
  <c r="C518" i="27"/>
  <c r="C522" i="27"/>
  <c r="C526" i="27"/>
  <c r="C530" i="27"/>
  <c r="C534" i="27"/>
  <c r="C538" i="27"/>
  <c r="C542" i="27"/>
  <c r="C546" i="27"/>
  <c r="C550" i="27"/>
  <c r="C554" i="27"/>
  <c r="C558" i="27"/>
  <c r="C562" i="27"/>
  <c r="C566" i="27"/>
  <c r="C570" i="27"/>
  <c r="C574" i="27"/>
  <c r="C578" i="27"/>
  <c r="C582" i="27"/>
  <c r="C586" i="27"/>
  <c r="C590" i="27"/>
  <c r="C594" i="27"/>
  <c r="C598" i="27"/>
  <c r="C602" i="27"/>
  <c r="C606" i="27"/>
  <c r="C610" i="27"/>
  <c r="C614" i="27"/>
  <c r="C618" i="27"/>
  <c r="C622" i="27"/>
  <c r="C626" i="27"/>
  <c r="C630" i="27"/>
  <c r="C634" i="27"/>
  <c r="C638" i="27"/>
  <c r="C642" i="27"/>
  <c r="C646" i="27"/>
  <c r="C650" i="27"/>
  <c r="C654" i="27"/>
  <c r="C658" i="27"/>
  <c r="C662" i="27"/>
  <c r="C666" i="27"/>
  <c r="C671" i="27"/>
  <c r="C675" i="27"/>
  <c r="C679" i="27"/>
  <c r="C107" i="27"/>
  <c r="C139" i="27"/>
  <c r="C171" i="27"/>
  <c r="C203" i="27"/>
  <c r="C235" i="27"/>
  <c r="C267" i="27"/>
  <c r="C285" i="27"/>
  <c r="C300" i="27"/>
  <c r="C316" i="27"/>
  <c r="C332" i="27"/>
  <c r="C348" i="27"/>
  <c r="C364" i="27"/>
  <c r="C380" i="27"/>
  <c r="C396" i="27"/>
  <c r="C412" i="27"/>
  <c r="C428" i="27"/>
  <c r="C444" i="27"/>
  <c r="C460" i="27"/>
  <c r="C476" i="27"/>
  <c r="C483" i="27"/>
  <c r="C487" i="27"/>
  <c r="C491" i="27"/>
  <c r="C495" i="27"/>
  <c r="C499" i="27"/>
  <c r="C503" i="27"/>
  <c r="C507" i="27"/>
  <c r="C511" i="27"/>
  <c r="C515" i="27"/>
  <c r="C519" i="27"/>
  <c r="C523" i="27"/>
  <c r="C527" i="27"/>
  <c r="C531" i="27"/>
  <c r="C535" i="27"/>
  <c r="C539" i="27"/>
  <c r="C543" i="27"/>
  <c r="C547" i="27"/>
  <c r="C551" i="27"/>
  <c r="C555" i="27"/>
  <c r="C559" i="27"/>
  <c r="C563" i="27"/>
  <c r="C567" i="27"/>
  <c r="C571" i="27"/>
  <c r="C575" i="27"/>
  <c r="C579" i="27"/>
  <c r="C583" i="27"/>
  <c r="C587" i="27"/>
  <c r="C591" i="27"/>
  <c r="C595" i="27"/>
  <c r="C599" i="27"/>
  <c r="C603" i="27"/>
  <c r="C607" i="27"/>
  <c r="C611" i="27"/>
  <c r="C615" i="27"/>
  <c r="C619" i="27"/>
  <c r="C623" i="27"/>
  <c r="C627" i="27"/>
  <c r="C631" i="27"/>
  <c r="C635" i="27"/>
  <c r="C639" i="27"/>
  <c r="C643" i="27"/>
  <c r="C647" i="27"/>
  <c r="C651" i="27"/>
  <c r="C655" i="27"/>
  <c r="C659" i="27"/>
  <c r="C663" i="27"/>
  <c r="C667" i="27"/>
  <c r="C672" i="27"/>
  <c r="C676" i="27"/>
  <c r="C179" i="27"/>
  <c r="C289" i="27"/>
  <c r="C352" i="27"/>
  <c r="C416" i="27"/>
  <c r="C479" i="27"/>
  <c r="C496" i="27"/>
  <c r="C512" i="27"/>
  <c r="C528" i="27"/>
  <c r="C544" i="27"/>
  <c r="C560" i="27"/>
  <c r="C576" i="27"/>
  <c r="C592" i="27"/>
  <c r="C608" i="27"/>
  <c r="C624" i="27"/>
  <c r="C640" i="27"/>
  <c r="C656" i="27"/>
  <c r="C673" i="27"/>
  <c r="C79" i="27"/>
  <c r="C211" i="27"/>
  <c r="C304" i="27"/>
  <c r="C368" i="27"/>
  <c r="C432" i="27"/>
  <c r="C484" i="27"/>
  <c r="C500" i="27"/>
  <c r="C516" i="27"/>
  <c r="C532" i="27"/>
  <c r="C548" i="27"/>
  <c r="C564" i="27"/>
  <c r="C580" i="27"/>
  <c r="C596" i="27"/>
  <c r="C612" i="27"/>
  <c r="C628" i="27"/>
  <c r="C644" i="27"/>
  <c r="C660" i="27"/>
  <c r="C677" i="27"/>
  <c r="C115" i="27"/>
  <c r="C243" i="27"/>
  <c r="C320" i="27"/>
  <c r="C384" i="27"/>
  <c r="C448" i="27"/>
  <c r="C488" i="27"/>
  <c r="C504" i="27"/>
  <c r="C520" i="27"/>
  <c r="C536" i="27"/>
  <c r="C552" i="27"/>
  <c r="C568" i="27"/>
  <c r="C584" i="27"/>
  <c r="C600" i="27"/>
  <c r="C616" i="27"/>
  <c r="C632" i="27"/>
  <c r="C648" i="27"/>
  <c r="C664" i="27"/>
  <c r="C147" i="27"/>
  <c r="C273" i="27"/>
  <c r="C336" i="27"/>
  <c r="C400" i="27"/>
  <c r="C464" i="27"/>
  <c r="C492" i="27"/>
  <c r="C508" i="27"/>
  <c r="C524" i="27"/>
  <c r="C540" i="27"/>
  <c r="C556" i="27"/>
  <c r="C572" i="27"/>
  <c r="C588" i="27"/>
  <c r="C604" i="27"/>
  <c r="C620" i="27"/>
  <c r="C636" i="27"/>
  <c r="C652" i="27"/>
  <c r="F10" i="13"/>
  <c r="I3" i="27" l="1"/>
  <c r="I4" i="27"/>
  <c r="I5" i="27"/>
  <c r="I6" i="27"/>
  <c r="I7" i="27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I54" i="27"/>
  <c r="I55" i="27"/>
  <c r="I56" i="27"/>
  <c r="I57" i="27"/>
  <c r="I58" i="27"/>
  <c r="I59" i="27"/>
  <c r="I60" i="27"/>
  <c r="I61" i="27"/>
  <c r="I2" i="27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54" i="27"/>
  <c r="H55" i="27"/>
  <c r="H56" i="27"/>
  <c r="H57" i="27"/>
  <c r="H58" i="27"/>
  <c r="H59" i="27"/>
  <c r="H60" i="27"/>
  <c r="H61" i="27"/>
  <c r="H2" i="27"/>
  <c r="G13" i="13" l="1"/>
  <c r="D13" i="13" s="1" a="1"/>
  <c r="D13" i="13" s="1"/>
  <c r="F13" i="13"/>
  <c r="G16" i="13"/>
  <c r="D16" i="13" s="1" a="1"/>
  <c r="D16" i="13" s="1"/>
  <c r="A120" i="14"/>
  <c r="A121" i="14"/>
  <c r="A122" i="14"/>
  <c r="A123" i="14"/>
  <c r="E66" i="16" l="1"/>
  <c r="E63" i="16"/>
  <c r="D63" i="16"/>
  <c r="E62" i="16"/>
  <c r="D62" i="16"/>
  <c r="E58" i="16"/>
  <c r="D58" i="16"/>
  <c r="E57" i="16"/>
  <c r="D57" i="16"/>
  <c r="E53" i="16"/>
  <c r="D53" i="16"/>
  <c r="E52" i="16"/>
  <c r="D52" i="16"/>
  <c r="E45" i="16"/>
  <c r="D45" i="16"/>
  <c r="E42" i="16"/>
  <c r="D42" i="16"/>
  <c r="C35" i="27"/>
  <c r="G79" i="14"/>
  <c r="G78" i="14"/>
  <c r="G69" i="14"/>
  <c r="G68" i="14"/>
  <c r="G66" i="14"/>
  <c r="G65" i="14"/>
  <c r="G55" i="14"/>
  <c r="G54" i="14"/>
  <c r="G53" i="14"/>
  <c r="G47" i="14"/>
  <c r="G46" i="14"/>
  <c r="G45" i="14"/>
  <c r="G34" i="14"/>
  <c r="G33" i="14"/>
  <c r="G32" i="14"/>
  <c r="G31" i="14"/>
  <c r="G27" i="14"/>
  <c r="G26" i="14"/>
  <c r="D28" i="16"/>
  <c r="E28" i="16"/>
  <c r="D23" i="16"/>
  <c r="E23" i="16"/>
  <c r="D18" i="16"/>
  <c r="E18" i="16"/>
  <c r="E29" i="16"/>
  <c r="D29" i="16"/>
  <c r="E24" i="16"/>
  <c r="D24" i="16"/>
  <c r="E19" i="16"/>
  <c r="D3" i="32" s="1"/>
  <c r="D19" i="16"/>
  <c r="D8" i="16"/>
  <c r="E8" i="16"/>
  <c r="E11" i="16"/>
  <c r="D11" i="16"/>
  <c r="D2" i="37" l="1"/>
  <c r="D54" i="16"/>
  <c r="E54" i="16"/>
  <c r="D3" i="33"/>
  <c r="D59" i="16"/>
  <c r="D48" i="16"/>
  <c r="D70" i="16" s="1"/>
  <c r="D3" i="37"/>
  <c r="E48" i="16"/>
  <c r="C57" i="27"/>
  <c r="C47" i="27"/>
  <c r="C36" i="27"/>
  <c r="C56" i="27"/>
  <c r="C45" i="27"/>
  <c r="D2" i="33"/>
  <c r="C34" i="27"/>
  <c r="C38" i="27"/>
  <c r="C42" i="27"/>
  <c r="C46" i="27"/>
  <c r="C50" i="27"/>
  <c r="C54" i="27"/>
  <c r="C58" i="27"/>
  <c r="C32" i="27"/>
  <c r="C37" i="27"/>
  <c r="C43" i="27"/>
  <c r="C48" i="27"/>
  <c r="C53" i="27"/>
  <c r="C59" i="27"/>
  <c r="C30" i="27"/>
  <c r="C33" i="27"/>
  <c r="C39" i="27"/>
  <c r="C44" i="27"/>
  <c r="C49" i="27"/>
  <c r="C55" i="27"/>
  <c r="C60" i="27"/>
  <c r="C52" i="27"/>
  <c r="C41" i="27"/>
  <c r="C31" i="27"/>
  <c r="C61" i="27"/>
  <c r="C51" i="27"/>
  <c r="C40" i="27"/>
  <c r="D64" i="16"/>
  <c r="E59" i="16"/>
  <c r="E64" i="16"/>
  <c r="AO5" i="13" l="1"/>
  <c r="E68" i="16"/>
  <c r="E70" i="16" s="1"/>
  <c r="F70" i="16" s="1"/>
  <c r="I3" i="16" l="1"/>
  <c r="D14" i="16" s="1"/>
  <c r="E32" i="16"/>
  <c r="D30" i="16"/>
  <c r="E30" i="16"/>
  <c r="D25" i="16"/>
  <c r="E25" i="16"/>
  <c r="D20" i="16"/>
  <c r="E5" i="15" s="1"/>
  <c r="E20" i="16"/>
  <c r="I4" i="16"/>
  <c r="G5" i="13" l="1"/>
  <c r="H5" i="14"/>
  <c r="H2" i="37" s="1"/>
  <c r="D2" i="32"/>
  <c r="E34" i="16"/>
  <c r="F5" i="13"/>
  <c r="G2" i="33" s="1"/>
  <c r="AJ10" i="29"/>
  <c r="E14" i="16"/>
  <c r="F5" i="15"/>
  <c r="D36" i="16"/>
  <c r="G5" i="14"/>
  <c r="G2" i="37" s="1"/>
  <c r="E36" i="16" l="1"/>
  <c r="F36" i="16" s="1"/>
  <c r="H94" i="14"/>
  <c r="H96" i="14" l="1"/>
  <c r="AK15" i="29" l="1"/>
  <c r="AJ15" i="29"/>
  <c r="AJ5" i="29" s="1"/>
  <c r="AJ17" i="29" l="1"/>
  <c r="AJ7" i="29" s="1"/>
  <c r="D32" i="27" s="1"/>
  <c r="F36" i="27"/>
  <c r="F37" i="27" s="1"/>
  <c r="AK5" i="29"/>
  <c r="AJ20" i="29"/>
  <c r="D41" i="27" s="1"/>
  <c r="AK16" i="29"/>
  <c r="AK6" i="29" s="1"/>
  <c r="D40" i="27"/>
  <c r="D36" i="27"/>
  <c r="AK17" i="29"/>
  <c r="AK7" i="29" s="1"/>
  <c r="AJ18" i="29"/>
  <c r="AJ8" i="29" s="1"/>
  <c r="AK18" i="29"/>
  <c r="AK8" i="29" s="1"/>
  <c r="AJ16" i="29"/>
  <c r="AJ6" i="29" s="1"/>
  <c r="D31" i="27" s="1"/>
  <c r="F39" i="27" l="1"/>
  <c r="F38" i="27"/>
  <c r="D37" i="27"/>
  <c r="D39" i="27"/>
  <c r="D38" i="27"/>
  <c r="B11" i="13" l="1"/>
  <c r="B17" i="13"/>
  <c r="H17" i="14"/>
  <c r="D17" i="14" s="1" a="1"/>
  <c r="D17" i="14" s="1"/>
  <c r="G17" i="14"/>
  <c r="H117" i="14" l="1"/>
  <c r="AC2" i="37" s="1"/>
  <c r="G48" i="14"/>
  <c r="G43" i="14"/>
  <c r="H43" i="14"/>
  <c r="H24" i="14"/>
  <c r="G13" i="14"/>
  <c r="H13" i="14"/>
  <c r="G24" i="14" l="1"/>
  <c r="G16" i="14"/>
  <c r="H16" i="14"/>
  <c r="D16" i="14" s="1" a="1"/>
  <c r="D16" i="14" s="1"/>
  <c r="G38" i="14" l="1"/>
  <c r="H38" i="14" l="1"/>
  <c r="G15" i="14" l="1"/>
  <c r="G20" i="14"/>
  <c r="G19" i="14"/>
  <c r="H78" i="14"/>
  <c r="D78" i="14" s="1" a="1"/>
  <c r="D78" i="14" s="1"/>
  <c r="H68" i="14"/>
  <c r="D68" i="14" s="1" a="1"/>
  <c r="D68" i="14" s="1"/>
  <c r="H56" i="14"/>
  <c r="D56" i="14" s="1" a="1"/>
  <c r="D56" i="14" s="1"/>
  <c r="H47" i="14"/>
  <c r="D47" i="14" s="1" a="1"/>
  <c r="D47" i="14" s="1"/>
  <c r="H19" i="14"/>
  <c r="D19" i="14" s="1" a="1"/>
  <c r="D19" i="14" s="1"/>
  <c r="H33" i="14"/>
  <c r="D33" i="14" s="1" a="1"/>
  <c r="D33" i="14" s="1"/>
  <c r="G56" i="14"/>
  <c r="H55" i="14"/>
  <c r="D55" i="14" s="1" a="1"/>
  <c r="D55" i="14" s="1"/>
  <c r="H46" i="14"/>
  <c r="D46" i="14" s="1" a="1"/>
  <c r="D46" i="14" s="1"/>
  <c r="G18" i="14"/>
  <c r="H45" i="14"/>
  <c r="D45" i="14" s="1" a="1"/>
  <c r="D45" i="14" s="1"/>
  <c r="H15" i="14"/>
  <c r="D15" i="14" s="1" a="1"/>
  <c r="D15" i="14" s="1"/>
  <c r="H34" i="14"/>
  <c r="D34" i="14" s="1" a="1"/>
  <c r="D34" i="14" s="1"/>
  <c r="M11" i="37" l="1"/>
  <c r="K11" i="37"/>
  <c r="H79" i="14"/>
  <c r="H69" i="14"/>
  <c r="D69" i="14" s="1" a="1"/>
  <c r="D69" i="14" s="1"/>
  <c r="H66" i="14"/>
  <c r="D66" i="14" s="1" a="1"/>
  <c r="D66" i="14" s="1"/>
  <c r="H54" i="14"/>
  <c r="D54" i="14" s="1" a="1"/>
  <c r="D54" i="14" s="1"/>
  <c r="H32" i="14"/>
  <c r="D32" i="14" s="1" a="1"/>
  <c r="D32" i="14" s="1"/>
  <c r="H31" i="14"/>
  <c r="D31" i="14" s="1" a="1"/>
  <c r="D31" i="14" s="1"/>
  <c r="H27" i="14"/>
  <c r="D27" i="14" s="1" a="1"/>
  <c r="D27" i="14" s="1"/>
  <c r="H26" i="14"/>
  <c r="D26" i="14" s="1" a="1"/>
  <c r="D26" i="14" s="1"/>
  <c r="D79" i="14" l="1" a="1"/>
  <c r="D79" i="14" s="1"/>
  <c r="F53" i="15"/>
  <c r="S2" i="32" s="1"/>
  <c r="C29" i="27" l="1"/>
  <c r="C28" i="27"/>
  <c r="C27" i="27"/>
  <c r="C26" i="27"/>
  <c r="C25" i="27"/>
  <c r="C24" i="27"/>
  <c r="C23" i="27"/>
  <c r="C22" i="27"/>
  <c r="C21" i="27"/>
  <c r="C20" i="27"/>
  <c r="C19" i="27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4" i="27"/>
  <c r="C3" i="27"/>
  <c r="C2" i="27"/>
  <c r="J111" i="29"/>
  <c r="E111" i="29"/>
  <c r="D111" i="29"/>
  <c r="J108" i="29"/>
  <c r="E108" i="29"/>
  <c r="D108" i="29"/>
  <c r="J104" i="29"/>
  <c r="E104" i="29"/>
  <c r="D104" i="29"/>
  <c r="J100" i="29"/>
  <c r="E100" i="29"/>
  <c r="D100" i="29"/>
  <c r="J96" i="29"/>
  <c r="E96" i="29"/>
  <c r="D96" i="29"/>
  <c r="J91" i="29"/>
  <c r="E91" i="29"/>
  <c r="D91" i="29"/>
  <c r="J86" i="29"/>
  <c r="E86" i="29"/>
  <c r="D86" i="29"/>
  <c r="J82" i="29"/>
  <c r="E82" i="29"/>
  <c r="D82" i="29"/>
  <c r="J77" i="29"/>
  <c r="E77" i="29"/>
  <c r="D77" i="29"/>
  <c r="D72" i="29"/>
  <c r="Q19" i="29"/>
  <c r="Q20" i="29"/>
  <c r="F63" i="13" s="1"/>
  <c r="H63" i="13" s="1"/>
  <c r="Q18" i="29"/>
  <c r="E72" i="29"/>
  <c r="E66" i="29"/>
  <c r="D66" i="29"/>
  <c r="D62" i="29"/>
  <c r="E62" i="29"/>
  <c r="D58" i="29"/>
  <c r="J54" i="29"/>
  <c r="E54" i="29"/>
  <c r="D54" i="29"/>
  <c r="D50" i="29"/>
  <c r="E50" i="29"/>
  <c r="D45" i="29"/>
  <c r="E45" i="29"/>
  <c r="D41" i="29"/>
  <c r="J41" i="29"/>
  <c r="E41" i="29"/>
  <c r="J36" i="29"/>
  <c r="E36" i="29"/>
  <c r="D36" i="29"/>
  <c r="J32" i="29"/>
  <c r="E32" i="29"/>
  <c r="D32" i="29"/>
  <c r="D28" i="29"/>
  <c r="O24" i="29"/>
  <c r="N24" i="29"/>
  <c r="E28" i="29"/>
  <c r="P23" i="29"/>
  <c r="D23" i="29"/>
  <c r="Z7" i="29"/>
  <c r="D15" i="27"/>
  <c r="AC19" i="29"/>
  <c r="D17" i="27"/>
  <c r="D16" i="27"/>
  <c r="D18" i="27"/>
  <c r="E23" i="29"/>
  <c r="Z15" i="29"/>
  <c r="D29" i="27" s="1"/>
  <c r="D15" i="29"/>
  <c r="D14" i="27"/>
  <c r="G14" i="29"/>
  <c r="D19" i="27"/>
  <c r="G12" i="29"/>
  <c r="E15" i="29"/>
  <c r="B12" i="29"/>
  <c r="D11" i="29"/>
  <c r="D12" i="27"/>
  <c r="Y7" i="29"/>
  <c r="F21" i="27" s="1"/>
  <c r="AC6" i="29"/>
  <c r="Y6" i="29"/>
  <c r="F20" i="27" s="1"/>
  <c r="J11" i="29"/>
  <c r="E11" i="29"/>
  <c r="H68" i="13"/>
  <c r="F51" i="13"/>
  <c r="G45" i="13"/>
  <c r="S2" i="33" s="1"/>
  <c r="G43" i="13"/>
  <c r="G37" i="13"/>
  <c r="V2" i="33" s="1"/>
  <c r="F20" i="13"/>
  <c r="G15" i="13"/>
  <c r="AO16" i="13" s="1" a="1"/>
  <c r="AO16" i="13" s="1"/>
  <c r="F15" i="13"/>
  <c r="G12" i="13"/>
  <c r="AO13" i="13" s="1" a="1"/>
  <c r="AO13" i="13" s="1"/>
  <c r="F12" i="13"/>
  <c r="F8" i="13"/>
  <c r="G134" i="14"/>
  <c r="G133" i="14"/>
  <c r="G132" i="14"/>
  <c r="G131" i="14"/>
  <c r="G130" i="14"/>
  <c r="H98" i="14"/>
  <c r="G98" i="14"/>
  <c r="P2" i="37"/>
  <c r="H65" i="14"/>
  <c r="D65" i="14" s="1" a="1"/>
  <c r="D65" i="14" s="1"/>
  <c r="G57" i="14"/>
  <c r="H53" i="14"/>
  <c r="D53" i="14" s="1" a="1"/>
  <c r="D53" i="14" s="1"/>
  <c r="F55" i="15"/>
  <c r="P2" i="32" s="1"/>
  <c r="F51" i="15"/>
  <c r="R2" i="32" s="1"/>
  <c r="F49" i="15"/>
  <c r="T2" i="32" s="1"/>
  <c r="E41" i="15"/>
  <c r="D41" i="15" s="1"/>
  <c r="E39" i="15"/>
  <c r="F35" i="15"/>
  <c r="D35" i="15" s="1"/>
  <c r="F33" i="15"/>
  <c r="F31" i="15"/>
  <c r="F27" i="15"/>
  <c r="D27" i="15" s="1"/>
  <c r="E25" i="15"/>
  <c r="D25" i="15" s="1"/>
  <c r="F25" i="15"/>
  <c r="F19" i="15"/>
  <c r="G21" i="30"/>
  <c r="G20" i="30"/>
  <c r="E4" i="30"/>
  <c r="D35" i="27"/>
  <c r="D33" i="27"/>
  <c r="D30" i="27"/>
  <c r="F30" i="27"/>
  <c r="F12" i="14" l="1"/>
  <c r="F41" i="14"/>
  <c r="F87" i="14"/>
  <c r="F84" i="14"/>
  <c r="F73" i="14"/>
  <c r="F61" i="14"/>
  <c r="F28" i="14"/>
  <c r="F51" i="14"/>
  <c r="F17" i="14"/>
  <c r="F78" i="14"/>
  <c r="R2" i="37"/>
  <c r="D34" i="27"/>
  <c r="K96" i="29"/>
  <c r="K111" i="29"/>
  <c r="Z28" i="29"/>
  <c r="D4" i="27" s="1"/>
  <c r="Z8" i="29"/>
  <c r="Z21" i="29" s="1"/>
  <c r="Z14" i="29"/>
  <c r="K91" i="29"/>
  <c r="K108" i="29"/>
  <c r="Y20" i="29"/>
  <c r="F3" i="27" s="1"/>
  <c r="K36" i="29"/>
  <c r="K86" i="29"/>
  <c r="K104" i="29"/>
  <c r="K82" i="29"/>
  <c r="K100" i="29"/>
  <c r="K11" i="29"/>
  <c r="E8" i="15"/>
  <c r="D8" i="15" s="1"/>
  <c r="E12" i="15"/>
  <c r="D12" i="15" s="1"/>
  <c r="E33" i="15"/>
  <c r="D33" i="15" s="1"/>
  <c r="G94" i="14"/>
  <c r="G24" i="13"/>
  <c r="D24" i="13" s="1" a="1"/>
  <c r="D24" i="13" s="1"/>
  <c r="G26" i="13"/>
  <c r="D26" i="13" s="1" a="1"/>
  <c r="D26" i="13" s="1"/>
  <c r="K41" i="29"/>
  <c r="F17" i="15"/>
  <c r="E19" i="15"/>
  <c r="D19" i="15" s="1"/>
  <c r="E23" i="15"/>
  <c r="D23" i="15" s="1"/>
  <c r="G100" i="14"/>
  <c r="G8" i="13"/>
  <c r="D8" i="13" s="1" a="1"/>
  <c r="D8" i="13" s="1"/>
  <c r="E15" i="15"/>
  <c r="D15" i="15" s="1"/>
  <c r="E17" i="15"/>
  <c r="D17" i="15" s="1"/>
  <c r="E27" i="15"/>
  <c r="E35" i="15"/>
  <c r="H57" i="14"/>
  <c r="H74" i="14"/>
  <c r="H102" i="14"/>
  <c r="T2" i="37" s="1"/>
  <c r="H104" i="14"/>
  <c r="U2" i="37" s="1"/>
  <c r="F24" i="13"/>
  <c r="G41" i="13"/>
  <c r="F21" i="15"/>
  <c r="F23" i="15"/>
  <c r="F37" i="15"/>
  <c r="F41" i="15"/>
  <c r="H48" i="14"/>
  <c r="G74" i="14"/>
  <c r="G102" i="14"/>
  <c r="F60" i="14" s="1"/>
  <c r="G20" i="13"/>
  <c r="D20" i="13" s="1" a="1"/>
  <c r="D20" i="13" s="1"/>
  <c r="G22" i="13"/>
  <c r="D22" i="13" s="1" a="1"/>
  <c r="D22" i="13" s="1"/>
  <c r="F12" i="15"/>
  <c r="F29" i="15"/>
  <c r="G96" i="14"/>
  <c r="F62" i="14" s="1"/>
  <c r="G104" i="14"/>
  <c r="F11" i="14" s="1"/>
  <c r="G142" i="14"/>
  <c r="F22" i="13"/>
  <c r="J28" i="29"/>
  <c r="K28" i="29" s="1"/>
  <c r="J50" i="29"/>
  <c r="K50" i="29" s="1"/>
  <c r="E31" i="15"/>
  <c r="D31" i="15" s="1"/>
  <c r="E37" i="15"/>
  <c r="D37" i="15" s="1"/>
  <c r="Q2" i="37"/>
  <c r="F16" i="13"/>
  <c r="F26" i="13"/>
  <c r="J58" i="29"/>
  <c r="J62" i="29"/>
  <c r="K62" i="29" s="1"/>
  <c r="H107" i="14"/>
  <c r="Y2" i="37" s="1"/>
  <c r="H111" i="14"/>
  <c r="Z2" i="37" s="1"/>
  <c r="F61" i="13"/>
  <c r="H61" i="13" s="1"/>
  <c r="Z12" i="29"/>
  <c r="Z25" i="29" s="1"/>
  <c r="K77" i="29"/>
  <c r="E9" i="30"/>
  <c r="E8" i="30"/>
  <c r="E11" i="30"/>
  <c r="E10" i="30"/>
  <c r="E5" i="30"/>
  <c r="F43" i="27"/>
  <c r="F45" i="27"/>
  <c r="F44" i="27"/>
  <c r="F42" i="27"/>
  <c r="H2" i="32"/>
  <c r="G147" i="14"/>
  <c r="P24" i="29"/>
  <c r="C2" i="29"/>
  <c r="C2" i="15"/>
  <c r="D1" i="30"/>
  <c r="C2" i="13"/>
  <c r="H113" i="14"/>
  <c r="W2" i="37" s="1"/>
  <c r="G31" i="13"/>
  <c r="P2" i="33" s="1"/>
  <c r="G49" i="13"/>
  <c r="J23" i="29"/>
  <c r="K23" i="29" s="1"/>
  <c r="E58" i="29"/>
  <c r="D21" i="27"/>
  <c r="Z11" i="29"/>
  <c r="Z10" i="29"/>
  <c r="Z9" i="29"/>
  <c r="Z22" i="29" s="1"/>
  <c r="J45" i="29"/>
  <c r="K45" i="29" s="1"/>
  <c r="F31" i="27"/>
  <c r="F32" i="27"/>
  <c r="F33" i="27"/>
  <c r="F47" i="15"/>
  <c r="Q2" i="32" s="1"/>
  <c r="H115" i="14"/>
  <c r="G136" i="14"/>
  <c r="G33" i="13"/>
  <c r="T2" i="33" s="1"/>
  <c r="G47" i="13"/>
  <c r="U2" i="33" s="1"/>
  <c r="F64" i="13"/>
  <c r="H64" i="13" s="1"/>
  <c r="Z13" i="29"/>
  <c r="Y19" i="29"/>
  <c r="F2" i="27" s="1"/>
  <c r="K32" i="29"/>
  <c r="K54" i="29"/>
  <c r="F15" i="15"/>
  <c r="E21" i="15"/>
  <c r="D21" i="15" s="1"/>
  <c r="H2" i="33"/>
  <c r="F62" i="13"/>
  <c r="H62" i="13" s="1"/>
  <c r="J66" i="29"/>
  <c r="K66" i="29" s="1"/>
  <c r="F8" i="15"/>
  <c r="E29" i="15"/>
  <c r="D29" i="15" s="1"/>
  <c r="F39" i="15"/>
  <c r="D39" i="15" s="1"/>
  <c r="H100" i="14"/>
  <c r="S2" i="37" s="1"/>
  <c r="H109" i="14"/>
  <c r="AB2" i="37" s="1"/>
  <c r="H119" i="14"/>
  <c r="X2" i="37" s="1"/>
  <c r="G35" i="13"/>
  <c r="Q2" i="33" s="1"/>
  <c r="G39" i="13"/>
  <c r="W2" i="33" s="1"/>
  <c r="J15" i="29"/>
  <c r="K15" i="29" s="1"/>
  <c r="J72" i="29"/>
  <c r="K72" i="29" s="1"/>
  <c r="Q17" i="29"/>
  <c r="S23" i="29"/>
  <c r="S24" i="29" s="1"/>
  <c r="D13" i="27" s="1"/>
  <c r="E24" i="13" l="1"/>
  <c r="E18" i="13"/>
  <c r="F68" i="14"/>
  <c r="F18" i="14"/>
  <c r="F77" i="14"/>
  <c r="F76" i="14"/>
  <c r="F82" i="14"/>
  <c r="F40" i="14"/>
  <c r="F85" i="14"/>
  <c r="F54" i="14"/>
  <c r="F65" i="14"/>
  <c r="F67" i="14"/>
  <c r="F59" i="14"/>
  <c r="F45" i="14"/>
  <c r="F23" i="14"/>
  <c r="F50" i="14"/>
  <c r="F31" i="14"/>
  <c r="F52" i="14"/>
  <c r="F42" i="14"/>
  <c r="F37" i="14"/>
  <c r="F27" i="14"/>
  <c r="F47" i="14"/>
  <c r="F30" i="14"/>
  <c r="F16" i="14"/>
  <c r="F29" i="14"/>
  <c r="R2" i="33"/>
  <c r="E16" i="13"/>
  <c r="AS5" i="13"/>
  <c r="E19" i="13"/>
  <c r="E17" i="13" a="1"/>
  <c r="E17" i="13" s="1"/>
  <c r="E14" i="13" a="1"/>
  <c r="E14" i="13" s="1"/>
  <c r="E13" i="13"/>
  <c r="E10" i="13"/>
  <c r="AR5" i="13"/>
  <c r="Q5" i="37"/>
  <c r="U5" i="37"/>
  <c r="T5" i="37"/>
  <c r="R5" i="37"/>
  <c r="S5" i="37"/>
  <c r="P5" i="37"/>
  <c r="F66" i="14"/>
  <c r="F53" i="14"/>
  <c r="F26" i="14"/>
  <c r="F55" i="14"/>
  <c r="F69" i="14"/>
  <c r="F19" i="14"/>
  <c r="F32" i="14"/>
  <c r="F46" i="14"/>
  <c r="F20" i="14"/>
  <c r="F70" i="14"/>
  <c r="F33" i="14"/>
  <c r="F79" i="14"/>
  <c r="F56" i="14"/>
  <c r="F34" i="14"/>
  <c r="G137" i="14"/>
  <c r="G138" i="14" s="1"/>
  <c r="E20" i="13"/>
  <c r="E26" i="13"/>
  <c r="E22" i="13"/>
  <c r="E8" i="13"/>
  <c r="D22" i="27"/>
  <c r="G143" i="14"/>
  <c r="Z24" i="29"/>
  <c r="D8" i="27" s="1"/>
  <c r="D26" i="27"/>
  <c r="K58" i="29"/>
  <c r="F67" i="13"/>
  <c r="H67" i="13" s="1"/>
  <c r="H121" i="14"/>
  <c r="D5" i="27"/>
  <c r="F65" i="13"/>
  <c r="H65" i="13" s="1"/>
  <c r="D24" i="27"/>
  <c r="Z23" i="29"/>
  <c r="G148" i="14"/>
  <c r="F10" i="30"/>
  <c r="E36" i="30"/>
  <c r="D27" i="27"/>
  <c r="Z26" i="29"/>
  <c r="F57" i="15"/>
  <c r="Z6" i="29"/>
  <c r="AB11" i="29" s="1"/>
  <c r="AC11" i="29" s="1"/>
  <c r="D28" i="27"/>
  <c r="D11" i="27"/>
  <c r="Z20" i="29"/>
  <c r="G2" i="32"/>
  <c r="D25" i="27"/>
  <c r="D9" i="27"/>
  <c r="Q23" i="29"/>
  <c r="Q24" i="29" s="1"/>
  <c r="G51" i="13"/>
  <c r="F66" i="13"/>
  <c r="H66" i="13" s="1"/>
  <c r="F8" i="30"/>
  <c r="E17" i="30"/>
  <c r="D23" i="27"/>
  <c r="Z27" i="29"/>
  <c r="F60" i="13"/>
  <c r="H60" i="13" s="1"/>
  <c r="E12" i="30"/>
  <c r="F13" i="30"/>
  <c r="E26" i="30"/>
  <c r="F9" i="30"/>
  <c r="AT5" i="13" l="1"/>
  <c r="AB14" i="29"/>
  <c r="AC14" i="29" s="1"/>
  <c r="AB9" i="29"/>
  <c r="AC9" i="29" s="1"/>
  <c r="E29" i="30"/>
  <c r="E32" i="30"/>
  <c r="E31" i="30"/>
  <c r="E30" i="30"/>
  <c r="F33" i="30"/>
  <c r="E14" i="30"/>
  <c r="D6" i="27"/>
  <c r="D7" i="27"/>
  <c r="D20" i="27"/>
  <c r="AB15" i="29"/>
  <c r="AC15" i="29" s="1"/>
  <c r="Z19" i="29"/>
  <c r="AB26" i="29" s="1"/>
  <c r="AC26" i="29" s="1"/>
  <c r="AB7" i="29"/>
  <c r="AB8" i="29"/>
  <c r="AC8" i="29" s="1"/>
  <c r="AB12" i="29"/>
  <c r="AC12" i="29" s="1"/>
  <c r="AB13" i="29"/>
  <c r="AC13" i="29" s="1"/>
  <c r="E20" i="30"/>
  <c r="F23" i="30"/>
  <c r="E21" i="30"/>
  <c r="E22" i="30"/>
  <c r="D3" i="27"/>
  <c r="D10" i="27"/>
  <c r="F14" i="30"/>
  <c r="E42" i="30"/>
  <c r="E39" i="30"/>
  <c r="F43" i="30"/>
  <c r="E40" i="30"/>
  <c r="E41" i="30"/>
  <c r="AB10" i="29"/>
  <c r="AC10" i="29" s="1"/>
  <c r="AB23" i="29" l="1"/>
  <c r="AC23" i="29" s="1"/>
  <c r="AB20" i="29"/>
  <c r="AC20" i="29" s="1"/>
  <c r="F40" i="30"/>
  <c r="F21" i="30"/>
  <c r="F31" i="30"/>
  <c r="F39" i="30"/>
  <c r="D2" i="27"/>
  <c r="AB28" i="29"/>
  <c r="AC28" i="29" s="1"/>
  <c r="AB22" i="29"/>
  <c r="AC22" i="29" s="1"/>
  <c r="AB21" i="29"/>
  <c r="AC21" i="29" s="1"/>
  <c r="AB24" i="29"/>
  <c r="AC24" i="29" s="1"/>
  <c r="AB25" i="29"/>
  <c r="AC25" i="29" s="1"/>
  <c r="F32" i="30"/>
  <c r="F41" i="30"/>
  <c r="F42" i="30"/>
  <c r="F20" i="30"/>
  <c r="AB27" i="29"/>
  <c r="AC27" i="29" s="1"/>
  <c r="F29" i="30"/>
  <c r="F22" i="30"/>
  <c r="F30" i="30"/>
  <c r="F10" i="15" l="1"/>
  <c r="E10" i="15" l="1"/>
  <c r="F43" i="15"/>
  <c r="E43" i="15" l="1"/>
  <c r="E59" i="15" s="1"/>
  <c r="E60" i="15" s="1"/>
  <c r="D10" i="15"/>
  <c r="H3" i="32"/>
  <c r="M2" i="32"/>
  <c r="F59" i="15"/>
  <c r="G53" i="15" s="1"/>
  <c r="G3" i="32" l="1"/>
  <c r="M18" i="32"/>
  <c r="AB18" i="32" s="1"/>
  <c r="K22" i="32"/>
  <c r="L22" i="32" s="1"/>
  <c r="M27" i="32"/>
  <c r="AB27" i="32" s="1"/>
  <c r="M31" i="32"/>
  <c r="AB31" i="32" s="1"/>
  <c r="M34" i="32"/>
  <c r="AB34" i="32" s="1"/>
  <c r="K38" i="32"/>
  <c r="L38" i="32" s="1"/>
  <c r="M11" i="32"/>
  <c r="AB11" i="32" s="1"/>
  <c r="K16" i="32"/>
  <c r="L16" i="32" s="1"/>
  <c r="K19" i="32"/>
  <c r="L19" i="32" s="1"/>
  <c r="M22" i="32"/>
  <c r="AB22" i="32" s="1"/>
  <c r="M12" i="32"/>
  <c r="AB12" i="32" s="1"/>
  <c r="K32" i="32"/>
  <c r="L32" i="32" s="1"/>
  <c r="M37" i="32"/>
  <c r="AB37" i="32" s="1"/>
  <c r="K35" i="32"/>
  <c r="L35" i="32" s="1"/>
  <c r="M38" i="32"/>
  <c r="AB38" i="32" s="1"/>
  <c r="M28" i="32"/>
  <c r="AB28" i="32" s="1"/>
  <c r="M16" i="32"/>
  <c r="AB16" i="32" s="1"/>
  <c r="M15" i="32"/>
  <c r="AB15" i="32" s="1"/>
  <c r="K36" i="32"/>
  <c r="L36" i="32" s="1"/>
  <c r="K8" i="32"/>
  <c r="K13" i="32"/>
  <c r="L13" i="32" s="1"/>
  <c r="M32" i="32"/>
  <c r="AB32" i="32" s="1"/>
  <c r="K10" i="32"/>
  <c r="L10" i="32" s="1"/>
  <c r="D76" i="27" s="1"/>
  <c r="K28" i="32"/>
  <c r="L28" i="32" s="1"/>
  <c r="K29" i="32"/>
  <c r="L29" i="32" s="1"/>
  <c r="K17" i="32"/>
  <c r="L17" i="32" s="1"/>
  <c r="M19" i="32"/>
  <c r="M23" i="32"/>
  <c r="AB23" i="32" s="1"/>
  <c r="M13" i="32"/>
  <c r="AB13" i="32" s="1"/>
  <c r="K33" i="32"/>
  <c r="L33" i="32" s="1"/>
  <c r="K27" i="32"/>
  <c r="L27" i="32" s="1"/>
  <c r="M35" i="32"/>
  <c r="M8" i="32"/>
  <c r="AB8" i="32" s="1"/>
  <c r="M29" i="32"/>
  <c r="AB29" i="32" s="1"/>
  <c r="K20" i="32"/>
  <c r="L20" i="32" s="1"/>
  <c r="M25" i="32"/>
  <c r="AB25" i="32" s="1"/>
  <c r="K24" i="32"/>
  <c r="L24" i="32" s="1"/>
  <c r="K14" i="32"/>
  <c r="L14" i="32" s="1"/>
  <c r="K25" i="32"/>
  <c r="L25" i="32" s="1"/>
  <c r="K26" i="32"/>
  <c r="L26" i="32" s="1"/>
  <c r="M20" i="32"/>
  <c r="AB20" i="32" s="1"/>
  <c r="K9" i="32"/>
  <c r="L9" i="32" s="1"/>
  <c r="K30" i="32"/>
  <c r="L30" i="32" s="1"/>
  <c r="M17" i="32"/>
  <c r="M36" i="32"/>
  <c r="M24" i="32"/>
  <c r="M14" i="32"/>
  <c r="AB14" i="32" s="1"/>
  <c r="M33" i="32"/>
  <c r="K21" i="32"/>
  <c r="L21" i="32" s="1"/>
  <c r="M9" i="32"/>
  <c r="AB9" i="32" s="1"/>
  <c r="M30" i="32"/>
  <c r="AB30" i="32" s="1"/>
  <c r="K18" i="32"/>
  <c r="L18" i="32" s="1"/>
  <c r="K11" i="32"/>
  <c r="L11" i="32" s="1"/>
  <c r="K37" i="32"/>
  <c r="L37" i="32" s="1"/>
  <c r="M10" i="32"/>
  <c r="K15" i="32"/>
  <c r="L15" i="32" s="1"/>
  <c r="K34" i="32"/>
  <c r="L34" i="32" s="1"/>
  <c r="M21" i="32"/>
  <c r="AB21" i="32" s="1"/>
  <c r="K23" i="32"/>
  <c r="L23" i="32" s="1"/>
  <c r="M26" i="32"/>
  <c r="K31" i="32"/>
  <c r="L31" i="32" s="1"/>
  <c r="K12" i="32"/>
  <c r="L12" i="32" s="1"/>
  <c r="I8" i="32" a="1"/>
  <c r="AW8" i="32"/>
  <c r="L2" i="32"/>
  <c r="H4" i="32"/>
  <c r="I4" i="32" s="1"/>
  <c r="I3" i="32" s="1"/>
  <c r="G19" i="15"/>
  <c r="G51" i="15"/>
  <c r="G12" i="15"/>
  <c r="G47" i="15"/>
  <c r="G14" i="15"/>
  <c r="G25" i="15"/>
  <c r="G41" i="15"/>
  <c r="G27" i="15"/>
  <c r="G35" i="15"/>
  <c r="G39" i="15"/>
  <c r="G23" i="15"/>
  <c r="G29" i="15"/>
  <c r="G31" i="15"/>
  <c r="G37" i="15"/>
  <c r="F60" i="15"/>
  <c r="G60" i="15" s="1"/>
  <c r="G15" i="15"/>
  <c r="G17" i="15"/>
  <c r="G8" i="15"/>
  <c r="G21" i="15"/>
  <c r="G55" i="15"/>
  <c r="G49" i="15"/>
  <c r="G33" i="15"/>
  <c r="G10" i="15"/>
  <c r="K2" i="32"/>
  <c r="G4" i="32"/>
  <c r="X10" i="32" l="1"/>
  <c r="AB10" i="32"/>
  <c r="X36" i="32"/>
  <c r="AB36" i="32"/>
  <c r="X19" i="32"/>
  <c r="AB19" i="32"/>
  <c r="F76" i="27"/>
  <c r="F77" i="27"/>
  <c r="X26" i="32"/>
  <c r="AB26" i="32"/>
  <c r="X33" i="32"/>
  <c r="AB33" i="32"/>
  <c r="X24" i="32"/>
  <c r="AB24" i="32"/>
  <c r="X17" i="32"/>
  <c r="AB17" i="32"/>
  <c r="X35" i="32"/>
  <c r="AB35" i="32"/>
  <c r="X14" i="32"/>
  <c r="X38" i="32"/>
  <c r="X28" i="32"/>
  <c r="X13" i="32"/>
  <c r="X21" i="32"/>
  <c r="X20" i="32"/>
  <c r="X12" i="32"/>
  <c r="X22" i="32"/>
  <c r="X37" i="32"/>
  <c r="K41" i="32"/>
  <c r="X23" i="32"/>
  <c r="X11" i="32"/>
  <c r="X32" i="32"/>
  <c r="X34" i="32"/>
  <c r="X25" i="32"/>
  <c r="L8" i="32"/>
  <c r="AC8" i="32" a="1"/>
  <c r="X31" i="32"/>
  <c r="AW10" i="32"/>
  <c r="X30" i="32"/>
  <c r="X27" i="32"/>
  <c r="F69" i="27"/>
  <c r="F70" i="27"/>
  <c r="X9" i="32"/>
  <c r="X29" i="32"/>
  <c r="X15" i="32"/>
  <c r="X16" i="32"/>
  <c r="X18" i="32"/>
  <c r="AW33" i="32"/>
  <c r="Y33" i="32"/>
  <c r="AW24" i="32"/>
  <c r="Y24" i="32"/>
  <c r="AW29" i="32"/>
  <c r="Y29" i="32"/>
  <c r="AW19" i="32"/>
  <c r="Y19" i="32"/>
  <c r="D109" i="27"/>
  <c r="AW25" i="32"/>
  <c r="Y25" i="32"/>
  <c r="Y20" i="32"/>
  <c r="D117" i="27"/>
  <c r="AW21" i="32"/>
  <c r="Y21" i="32"/>
  <c r="AW15" i="32"/>
  <c r="Y15" i="32"/>
  <c r="D130" i="27"/>
  <c r="AW17" i="32"/>
  <c r="Y17" i="32"/>
  <c r="D146" i="27"/>
  <c r="Y16" i="32"/>
  <c r="AW16" i="32"/>
  <c r="D138" i="27"/>
  <c r="Y13" i="32"/>
  <c r="D101" i="27"/>
  <c r="D85" i="27"/>
  <c r="AW11" i="32"/>
  <c r="Y11" i="32"/>
  <c r="AW9" i="32"/>
  <c r="Y9" i="32"/>
  <c r="D70" i="27"/>
  <c r="AW12" i="32"/>
  <c r="Y12" i="32"/>
  <c r="D93" i="27"/>
  <c r="F63" i="27"/>
  <c r="F62" i="27"/>
  <c r="I8" i="32"/>
  <c r="I35" i="32"/>
  <c r="I19" i="32"/>
  <c r="I34" i="32"/>
  <c r="I18" i="32"/>
  <c r="I33" i="32"/>
  <c r="I17" i="32"/>
  <c r="I32" i="32"/>
  <c r="I16" i="32"/>
  <c r="I31" i="32"/>
  <c r="I15" i="32"/>
  <c r="I30" i="32"/>
  <c r="I14" i="32"/>
  <c r="I29" i="32"/>
  <c r="I13" i="32"/>
  <c r="I28" i="32"/>
  <c r="I12" i="32"/>
  <c r="I27" i="32"/>
  <c r="I11" i="32"/>
  <c r="I26" i="32"/>
  <c r="I10" i="32"/>
  <c r="I25" i="32"/>
  <c r="I9" i="32"/>
  <c r="I24" i="32"/>
  <c r="I23" i="32"/>
  <c r="I38" i="32"/>
  <c r="I22" i="32"/>
  <c r="I37" i="32"/>
  <c r="I21" i="32"/>
  <c r="I36" i="32"/>
  <c r="I20" i="32"/>
  <c r="F85" i="27"/>
  <c r="F84" i="27"/>
  <c r="D129" i="27"/>
  <c r="F129" i="27"/>
  <c r="F130" i="27"/>
  <c r="Y34" i="32"/>
  <c r="AW34" i="32"/>
  <c r="AW38" i="32"/>
  <c r="Y38" i="32"/>
  <c r="AW26" i="32"/>
  <c r="Y26" i="32"/>
  <c r="AW30" i="32"/>
  <c r="Y30" i="32"/>
  <c r="F108" i="27"/>
  <c r="F109" i="27"/>
  <c r="AW18" i="32"/>
  <c r="Y18" i="32"/>
  <c r="D153" i="27"/>
  <c r="Y22" i="32"/>
  <c r="AW22" i="32"/>
  <c r="D137" i="27"/>
  <c r="F138" i="27"/>
  <c r="F137" i="27"/>
  <c r="Y10" i="32"/>
  <c r="D77" i="27"/>
  <c r="D145" i="27"/>
  <c r="F146" i="27"/>
  <c r="F145" i="27"/>
  <c r="AW14" i="32"/>
  <c r="Y14" i="32"/>
  <c r="D122" i="27"/>
  <c r="D92" i="27"/>
  <c r="F92" i="27"/>
  <c r="F93" i="27"/>
  <c r="D100" i="27"/>
  <c r="F101" i="27"/>
  <c r="F100" i="27"/>
  <c r="Y8" i="32"/>
  <c r="D63" i="27"/>
  <c r="M41" i="32"/>
  <c r="M3" i="32" s="1"/>
  <c r="M4" i="32" s="1"/>
  <c r="Y35" i="32"/>
  <c r="AW35" i="32"/>
  <c r="D116" i="27"/>
  <c r="F117" i="27"/>
  <c r="F116" i="27"/>
  <c r="AW36" i="32"/>
  <c r="Y36" i="32"/>
  <c r="AW31" i="32"/>
  <c r="Y31" i="32"/>
  <c r="D121" i="27"/>
  <c r="F122" i="27"/>
  <c r="F121" i="27"/>
  <c r="AW32" i="32"/>
  <c r="Y32" i="32"/>
  <c r="D152" i="27"/>
  <c r="F152" i="27"/>
  <c r="F153" i="27"/>
  <c r="Y27" i="32"/>
  <c r="AW27" i="32"/>
  <c r="Y28" i="32"/>
  <c r="AW28" i="32"/>
  <c r="AW37" i="32"/>
  <c r="Y37" i="32"/>
  <c r="AW23" i="32"/>
  <c r="Y23" i="32"/>
  <c r="K3" i="32"/>
  <c r="D69" i="27"/>
  <c r="G43" i="15"/>
  <c r="G57" i="15"/>
  <c r="X8" i="32" l="1"/>
  <c r="Z8" i="32" s="1"/>
  <c r="L41" i="32"/>
  <c r="L3" i="32" s="1"/>
  <c r="L4" i="32" s="1"/>
  <c r="AC33" i="32"/>
  <c r="AD14" i="32"/>
  <c r="AC13" i="32"/>
  <c r="AH20" i="32"/>
  <c r="AE32" i="32"/>
  <c r="AF13" i="32"/>
  <c r="AC25" i="32"/>
  <c r="AC24" i="32"/>
  <c r="AD11" i="32"/>
  <c r="AF32" i="32"/>
  <c r="AD21" i="32"/>
  <c r="AG8" i="32"/>
  <c r="AC30" i="32"/>
  <c r="AF27" i="32"/>
  <c r="AG15" i="32"/>
  <c r="AF23" i="32"/>
  <c r="AF11" i="32"/>
  <c r="AD16" i="32"/>
  <c r="AG27" i="32"/>
  <c r="AE25" i="32"/>
  <c r="AF12" i="32"/>
  <c r="AG33" i="32"/>
  <c r="AF22" i="32"/>
  <c r="AC10" i="32"/>
  <c r="AE31" i="32"/>
  <c r="AH32" i="32"/>
  <c r="AG30" i="32"/>
  <c r="AD37" i="32"/>
  <c r="AG35" i="32"/>
  <c r="AF17" i="32"/>
  <c r="AG10" i="32"/>
  <c r="AD29" i="32"/>
  <c r="AE8" i="32"/>
  <c r="AE33" i="32"/>
  <c r="AC18" i="32"/>
  <c r="AH22" i="32"/>
  <c r="AE34" i="32"/>
  <c r="AG13" i="32"/>
  <c r="AD23" i="32"/>
  <c r="AC16" i="32"/>
  <c r="AC22" i="32"/>
  <c r="AG25" i="32"/>
  <c r="AH37" i="32"/>
  <c r="AH35" i="32"/>
  <c r="AD36" i="32"/>
  <c r="AF28" i="32"/>
  <c r="AG19" i="32"/>
  <c r="AE27" i="32"/>
  <c r="AE22" i="32"/>
  <c r="AE28" i="32"/>
  <c r="AE18" i="32"/>
  <c r="AD26" i="32"/>
  <c r="AF19" i="32"/>
  <c r="AH18" i="32"/>
  <c r="AE30" i="32"/>
  <c r="AG26" i="32"/>
  <c r="AH13" i="32"/>
  <c r="AF34" i="32"/>
  <c r="AH23" i="32"/>
  <c r="AE11" i="32"/>
  <c r="AG32" i="32"/>
  <c r="AG23" i="32"/>
  <c r="AF16" i="32"/>
  <c r="AG34" i="32"/>
  <c r="AE26" i="32"/>
  <c r="AE9" i="32"/>
  <c r="AH27" i="32"/>
  <c r="AH36" i="32"/>
  <c r="AC32" i="32"/>
  <c r="AG16" i="32"/>
  <c r="AG31" i="32"/>
  <c r="AC12" i="32"/>
  <c r="AE37" i="32"/>
  <c r="AG9" i="32"/>
  <c r="AH21" i="32"/>
  <c r="AF25" i="32"/>
  <c r="AD35" i="32"/>
  <c r="AD28" i="32"/>
  <c r="AC36" i="32"/>
  <c r="AC37" i="32"/>
  <c r="AC35" i="32"/>
  <c r="AD10" i="32"/>
  <c r="AD27" i="32"/>
  <c r="AE24" i="32"/>
  <c r="AG36" i="32"/>
  <c r="AC31" i="32"/>
  <c r="AF18" i="32"/>
  <c r="AH10" i="32"/>
  <c r="AG28" i="32"/>
  <c r="AF9" i="32"/>
  <c r="AC21" i="32"/>
  <c r="AH28" i="32"/>
  <c r="AD22" i="32"/>
  <c r="AF21" i="32"/>
  <c r="AD8" i="32"/>
  <c r="AC28" i="32"/>
  <c r="AD15" i="32"/>
  <c r="AE35" i="32"/>
  <c r="AD25" i="32"/>
  <c r="AG12" i="32"/>
  <c r="AH33" i="32"/>
  <c r="AD12" i="32"/>
  <c r="AF31" i="32"/>
  <c r="AD30" i="32"/>
  <c r="AD24" i="32"/>
  <c r="AC8" i="32"/>
  <c r="AE29" i="32"/>
  <c r="AE36" i="32"/>
  <c r="AF26" i="32"/>
  <c r="AC14" i="32"/>
  <c r="AH14" i="32"/>
  <c r="AH26" i="32"/>
  <c r="AH17" i="32"/>
  <c r="AE15" i="32"/>
  <c r="AC29" i="32"/>
  <c r="AF29" i="32"/>
  <c r="AD19" i="32"/>
  <c r="AC38" i="32"/>
  <c r="AF36" i="32"/>
  <c r="AD20" i="32"/>
  <c r="AD32" i="32"/>
  <c r="AF20" i="32"/>
  <c r="AF30" i="32"/>
  <c r="AH8" i="32"/>
  <c r="AE13" i="32"/>
  <c r="AE19" i="32"/>
  <c r="AH16" i="32"/>
  <c r="AH11" i="32"/>
  <c r="AH24" i="32"/>
  <c r="AD13" i="32"/>
  <c r="AH30" i="32"/>
  <c r="AH25" i="32"/>
  <c r="AF33" i="32"/>
  <c r="AC23" i="32"/>
  <c r="AD17" i="32"/>
  <c r="AF15" i="32"/>
  <c r="AH29" i="32"/>
  <c r="AD18" i="32"/>
  <c r="AD31" i="32"/>
  <c r="AD34" i="32"/>
  <c r="AD38" i="32"/>
  <c r="AD9" i="32"/>
  <c r="AC11" i="32"/>
  <c r="AF10" i="32"/>
  <c r="AF37" i="32"/>
  <c r="AG20" i="32"/>
  <c r="AC9" i="32"/>
  <c r="AC34" i="32"/>
  <c r="AG17" i="32"/>
  <c r="AF14" i="32"/>
  <c r="AG21" i="32"/>
  <c r="AH15" i="32"/>
  <c r="AC17" i="32"/>
  <c r="AE21" i="32"/>
  <c r="AG29" i="32"/>
  <c r="AF35" i="32"/>
  <c r="AH34" i="32"/>
  <c r="AH31" i="32"/>
  <c r="AG14" i="32"/>
  <c r="AE16" i="32"/>
  <c r="AE17" i="32"/>
  <c r="AE23" i="32"/>
  <c r="AE14" i="32"/>
  <c r="AG38" i="32"/>
  <c r="AH38" i="32"/>
  <c r="AH19" i="32"/>
  <c r="AE38" i="32"/>
  <c r="AE12" i="32"/>
  <c r="AD33" i="32"/>
  <c r="AC15" i="32"/>
  <c r="AF24" i="32"/>
  <c r="AC19" i="32"/>
  <c r="AE20" i="32"/>
  <c r="AG24" i="32"/>
  <c r="AC20" i="32"/>
  <c r="AC27" i="32"/>
  <c r="AG37" i="32"/>
  <c r="AG22" i="32"/>
  <c r="AF38" i="32"/>
  <c r="AG11" i="32"/>
  <c r="AG18" i="32"/>
  <c r="AH12" i="32"/>
  <c r="AC26" i="32"/>
  <c r="AF8" i="32"/>
  <c r="AE10" i="32"/>
  <c r="AH9" i="32"/>
  <c r="Z33" i="32"/>
  <c r="Z37" i="32"/>
  <c r="Z38" i="32"/>
  <c r="Z35" i="32"/>
  <c r="Z9" i="32"/>
  <c r="Z36" i="32"/>
  <c r="Z31" i="32"/>
  <c r="Z22" i="32"/>
  <c r="Z26" i="32"/>
  <c r="Z27" i="32"/>
  <c r="Z10" i="32"/>
  <c r="Z18" i="32"/>
  <c r="Z34" i="32"/>
  <c r="Z25" i="32"/>
  <c r="Z24" i="32"/>
  <c r="Z32" i="32"/>
  <c r="Z14" i="32"/>
  <c r="D62" i="27"/>
  <c r="Z12" i="32"/>
  <c r="Z11" i="32"/>
  <c r="Z13" i="32"/>
  <c r="Z15" i="32"/>
  <c r="Z21" i="32"/>
  <c r="AW20" i="32"/>
  <c r="Z29" i="32"/>
  <c r="Z30" i="32"/>
  <c r="Z23" i="32"/>
  <c r="Z28" i="32"/>
  <c r="AW13" i="32"/>
  <c r="Z16" i="32"/>
  <c r="Z17" i="32"/>
  <c r="Z20" i="32"/>
  <c r="G59" i="15"/>
  <c r="AJ10" i="32" l="1"/>
  <c r="AJ33" i="32"/>
  <c r="AI17" i="32"/>
  <c r="AJ22" i="32"/>
  <c r="AJ16" i="32"/>
  <c r="AJ12" i="32"/>
  <c r="AI12" i="32"/>
  <c r="AJ13" i="32"/>
  <c r="AJ30" i="32"/>
  <c r="AJ27" i="32"/>
  <c r="AI20" i="32"/>
  <c r="AJ37" i="32"/>
  <c r="AJ36" i="32"/>
  <c r="AJ21" i="32"/>
  <c r="AJ19" i="32"/>
  <c r="AJ9" i="32"/>
  <c r="AJ32" i="32"/>
  <c r="AJ17" i="32"/>
  <c r="AJ28" i="32"/>
  <c r="AJ11" i="32"/>
  <c r="AJ20" i="32"/>
  <c r="AJ24" i="32"/>
  <c r="AJ15" i="32"/>
  <c r="AJ26" i="32"/>
  <c r="AJ25" i="32"/>
  <c r="AJ14" i="32"/>
  <c r="AJ38" i="32"/>
  <c r="AJ31" i="32"/>
  <c r="AJ34" i="32"/>
  <c r="AJ18" i="32"/>
  <c r="AJ29" i="32"/>
  <c r="AJ23" i="32"/>
  <c r="AJ35" i="32"/>
  <c r="AI18" i="32"/>
  <c r="AI15" i="32"/>
  <c r="AI13" i="32"/>
  <c r="AI10" i="32"/>
  <c r="AI8" i="32"/>
  <c r="AI11" i="32"/>
  <c r="AI19" i="32"/>
  <c r="AJ8" i="32"/>
  <c r="AI14" i="32"/>
  <c r="AI9" i="32"/>
  <c r="AI16" i="32"/>
  <c r="AI28" i="32"/>
  <c r="AI21" i="32"/>
  <c r="AI38" i="32"/>
  <c r="AI31" i="32"/>
  <c r="AI30" i="32"/>
  <c r="AI22" i="32"/>
  <c r="AI27" i="32"/>
  <c r="AI24" i="32"/>
  <c r="AI32" i="32"/>
  <c r="AI23" i="32"/>
  <c r="AI33" i="32"/>
  <c r="AI37" i="32"/>
  <c r="AI29" i="32"/>
  <c r="AI26" i="32"/>
  <c r="AI34" i="32"/>
  <c r="AI36" i="32"/>
  <c r="AI25" i="32"/>
  <c r="AI35" i="32"/>
  <c r="D84" i="27"/>
  <c r="P47" i="32" l="1" a="1"/>
  <c r="S47" i="32" s="1"/>
  <c r="V2" i="32"/>
  <c r="K4" i="32"/>
  <c r="R52" i="32" l="1"/>
  <c r="Q63" i="32"/>
  <c r="P66" i="32"/>
  <c r="Q58" i="32"/>
  <c r="P71" i="32"/>
  <c r="U53" i="32"/>
  <c r="T74" i="32"/>
  <c r="U65" i="32"/>
  <c r="Q56" i="32"/>
  <c r="S60" i="32"/>
  <c r="R69" i="32"/>
  <c r="P61" i="32"/>
  <c r="R67" i="32"/>
  <c r="U56" i="32"/>
  <c r="Q59" i="32"/>
  <c r="R61" i="32"/>
  <c r="Q54" i="32"/>
  <c r="U68" i="32"/>
  <c r="S65" i="32"/>
  <c r="R60" i="32"/>
  <c r="P57" i="32"/>
  <c r="R70" i="32"/>
  <c r="R55" i="32"/>
  <c r="T61" i="32"/>
  <c r="P47" i="32"/>
  <c r="T70" i="32"/>
  <c r="T69" i="32"/>
  <c r="T65" i="32"/>
  <c r="R75" i="32"/>
  <c r="Q74" i="32"/>
  <c r="S74" i="32"/>
  <c r="P62" i="32"/>
  <c r="S53" i="32"/>
  <c r="P49" i="32"/>
  <c r="P67" i="32"/>
  <c r="S54" i="32"/>
  <c r="U77" i="32"/>
  <c r="T73" i="32"/>
  <c r="U48" i="32"/>
  <c r="U57" i="32"/>
  <c r="P74" i="32"/>
  <c r="P59" i="32"/>
  <c r="U73" i="32"/>
  <c r="P50" i="32"/>
  <c r="S63" i="32"/>
  <c r="T51" i="32"/>
  <c r="R65" i="32"/>
  <c r="T48" i="32"/>
  <c r="T66" i="32"/>
  <c r="P68" i="32"/>
  <c r="U67" i="32"/>
  <c r="U70" i="32"/>
  <c r="Q62" i="32"/>
  <c r="S59" i="32"/>
  <c r="P52" i="32"/>
  <c r="U51" i="32"/>
  <c r="R72" i="32"/>
  <c r="Q75" i="32"/>
  <c r="R68" i="32"/>
  <c r="U49" i="32"/>
  <c r="T59" i="32"/>
  <c r="R71" i="32"/>
  <c r="U55" i="32"/>
  <c r="S68" i="32"/>
  <c r="P58" i="32"/>
  <c r="Q67" i="32"/>
  <c r="T76" i="32"/>
  <c r="Q61" i="32"/>
  <c r="R47" i="32"/>
  <c r="P72" i="32"/>
  <c r="Q60" i="32"/>
  <c r="T67" i="32"/>
  <c r="T58" i="32"/>
  <c r="S64" i="32"/>
  <c r="R76" i="32"/>
  <c r="Q49" i="32"/>
  <c r="S72" i="32"/>
  <c r="P63" i="32"/>
  <c r="T53" i="32"/>
  <c r="P77" i="32"/>
  <c r="U71" i="32"/>
  <c r="R64" i="32"/>
  <c r="R62" i="32"/>
  <c r="S77" i="32"/>
  <c r="U58" i="32"/>
  <c r="P75" i="32"/>
  <c r="U75" i="32"/>
  <c r="R59" i="32"/>
  <c r="S52" i="32"/>
  <c r="R54" i="32"/>
  <c r="R77" i="32"/>
  <c r="U61" i="32"/>
  <c r="Q71" i="32"/>
  <c r="R53" i="32"/>
  <c r="R66" i="32"/>
  <c r="Q48" i="32"/>
  <c r="S51" i="32"/>
  <c r="U63" i="32"/>
  <c r="U50" i="32"/>
  <c r="S61" i="32"/>
  <c r="Q72" i="32"/>
  <c r="S69" i="32"/>
  <c r="T52" i="32"/>
  <c r="P56" i="32"/>
  <c r="Q66" i="32"/>
  <c r="P69" i="32"/>
  <c r="S58" i="32"/>
  <c r="Q55" i="32"/>
  <c r="R57" i="32"/>
  <c r="Q50" i="32"/>
  <c r="S70" i="32"/>
  <c r="S73" i="32"/>
  <c r="S67" i="32"/>
  <c r="U64" i="32"/>
  <c r="T72" i="32"/>
  <c r="T47" i="32"/>
  <c r="T55" i="32"/>
  <c r="Q52" i="32"/>
  <c r="R48" i="32"/>
  <c r="P65" i="32"/>
  <c r="R56" i="32"/>
  <c r="S76" i="32"/>
  <c r="P55" i="32"/>
  <c r="T57" i="32"/>
  <c r="P51" i="32"/>
  <c r="S71" i="32"/>
  <c r="R74" i="32"/>
  <c r="Q69" i="32"/>
  <c r="S66" i="32"/>
  <c r="P70" i="32"/>
  <c r="S55" i="32"/>
  <c r="U47" i="32"/>
  <c r="S48" i="32"/>
  <c r="Q77" i="32"/>
  <c r="S75" i="32"/>
  <c r="T56" i="32"/>
  <c r="U54" i="32"/>
  <c r="R58" i="32"/>
  <c r="U66" i="32"/>
  <c r="Q64" i="32"/>
  <c r="T60" i="32"/>
  <c r="P64" i="32"/>
  <c r="U59" i="32"/>
  <c r="U62" i="32"/>
  <c r="T75" i="32"/>
  <c r="P73" i="32"/>
  <c r="P76" i="32"/>
  <c r="T50" i="32"/>
  <c r="T62" i="32"/>
  <c r="T71" i="32"/>
  <c r="R49" i="32"/>
  <c r="S49" i="32"/>
  <c r="P54" i="32"/>
  <c r="U69" i="32"/>
  <c r="T54" i="32"/>
  <c r="U60" i="32"/>
  <c r="T63" i="32"/>
  <c r="U76" i="32"/>
  <c r="U74" i="32"/>
  <c r="R73" i="32"/>
  <c r="P48" i="32"/>
  <c r="Q65" i="32"/>
  <c r="Q68" i="32"/>
  <c r="S56" i="32"/>
  <c r="P53" i="32"/>
  <c r="P60" i="32"/>
  <c r="U52" i="32"/>
  <c r="Q73" i="32"/>
  <c r="Q76" i="32"/>
  <c r="U72" i="32"/>
  <c r="Q70" i="32"/>
  <c r="T64" i="32"/>
  <c r="Q57" i="32"/>
  <c r="R50" i="32"/>
  <c r="Q53" i="32"/>
  <c r="T49" i="32"/>
  <c r="T77" i="32"/>
  <c r="R51" i="32"/>
  <c r="S50" i="32"/>
  <c r="S57" i="32"/>
  <c r="R63" i="32"/>
  <c r="S62" i="32"/>
  <c r="Q47" i="32"/>
  <c r="Q51" i="32"/>
  <c r="T68" i="32"/>
  <c r="V61" i="32"/>
  <c r="W51" i="32" l="1"/>
  <c r="V51" i="32"/>
  <c r="V58" i="32"/>
  <c r="V55" i="32"/>
  <c r="V48" i="32"/>
  <c r="W61" i="32"/>
  <c r="W64" i="32"/>
  <c r="W65" i="32"/>
  <c r="W49" i="32"/>
  <c r="V64" i="32"/>
  <c r="V56" i="32"/>
  <c r="W59" i="32"/>
  <c r="W58" i="32"/>
  <c r="W73" i="32"/>
  <c r="W69" i="32"/>
  <c r="W56" i="32"/>
  <c r="V65" i="32"/>
  <c r="W55" i="32"/>
  <c r="V69" i="32"/>
  <c r="Q79" i="32"/>
  <c r="V63" i="32"/>
  <c r="W50" i="32"/>
  <c r="W77" i="32"/>
  <c r="V57" i="32"/>
  <c r="W70" i="32"/>
  <c r="U79" i="32"/>
  <c r="V53" i="32"/>
  <c r="W54" i="32"/>
  <c r="V49" i="32"/>
  <c r="V62" i="32"/>
  <c r="V59" i="32"/>
  <c r="V60" i="32"/>
  <c r="W67" i="32"/>
  <c r="W71" i="32"/>
  <c r="V73" i="32"/>
  <c r="V47" i="32"/>
  <c r="W53" i="32"/>
  <c r="V50" i="32"/>
  <c r="V70" i="32"/>
  <c r="V71" i="32"/>
  <c r="P79" i="32"/>
  <c r="V54" i="32"/>
  <c r="V76" i="32"/>
  <c r="W74" i="32"/>
  <c r="V77" i="32"/>
  <c r="V66" i="32"/>
  <c r="V68" i="32"/>
  <c r="T79" i="32"/>
  <c r="W47" i="32"/>
  <c r="W52" i="32"/>
  <c r="W57" i="32"/>
  <c r="W48" i="32"/>
  <c r="V52" i="32"/>
  <c r="W76" i="32"/>
  <c r="W75" i="32"/>
  <c r="S79" i="32"/>
  <c r="V74" i="32"/>
  <c r="R79" i="32"/>
  <c r="W66" i="32"/>
  <c r="V72" i="32"/>
  <c r="W62" i="32"/>
  <c r="W68" i="32"/>
  <c r="W60" i="32"/>
  <c r="V67" i="32"/>
  <c r="W72" i="32"/>
  <c r="V75" i="32"/>
  <c r="W63" i="32"/>
  <c r="H18" i="14"/>
  <c r="D18" i="14" s="1" a="1"/>
  <c r="D18" i="14" s="1"/>
  <c r="H20" i="14"/>
  <c r="D20" i="14" s="1" a="1"/>
  <c r="D20" i="14" s="1"/>
  <c r="V79" i="32" l="1"/>
  <c r="W79" i="32"/>
  <c r="K38" i="37"/>
  <c r="L38" i="37" s="1"/>
  <c r="M23" i="37"/>
  <c r="K32" i="37"/>
  <c r="M38" i="37"/>
  <c r="AH38" i="37" s="1"/>
  <c r="M32" i="37"/>
  <c r="K23" i="37"/>
  <c r="AO47" i="32" l="1" a="1"/>
  <c r="AR62" i="32" s="1"/>
  <c r="AG38" i="37"/>
  <c r="AI38" i="37" s="1"/>
  <c r="BQ38" i="37"/>
  <c r="L23" i="37"/>
  <c r="D447" i="27" s="1"/>
  <c r="F448" i="27"/>
  <c r="F447" i="27"/>
  <c r="L32" i="37"/>
  <c r="D539" i="27" s="1"/>
  <c r="F540" i="27"/>
  <c r="F539" i="27"/>
  <c r="AH32" i="37"/>
  <c r="D540" i="27"/>
  <c r="AH23" i="37"/>
  <c r="D448" i="27"/>
  <c r="F15" i="14"/>
  <c r="AS65" i="32" l="1"/>
  <c r="AP61" i="32"/>
  <c r="AP59" i="32"/>
  <c r="AQ75" i="32"/>
  <c r="AT55" i="32"/>
  <c r="AO58" i="32"/>
  <c r="AQ70" i="32"/>
  <c r="AT62" i="32"/>
  <c r="AS64" i="32"/>
  <c r="AP75" i="32"/>
  <c r="AR71" i="32"/>
  <c r="AS53" i="32"/>
  <c r="AR57" i="32"/>
  <c r="AP77" i="32"/>
  <c r="AT48" i="32"/>
  <c r="AR74" i="32"/>
  <c r="AS62" i="32"/>
  <c r="AR76" i="32"/>
  <c r="AO49" i="32"/>
  <c r="AQ66" i="32"/>
  <c r="AO50" i="32"/>
  <c r="AT73" i="32"/>
  <c r="AR53" i="32"/>
  <c r="AO73" i="32"/>
  <c r="AR55" i="32"/>
  <c r="AS77" i="32"/>
  <c r="AP67" i="32"/>
  <c r="AR64" i="32"/>
  <c r="AS47" i="32"/>
  <c r="AP72" i="32"/>
  <c r="AR66" i="32"/>
  <c r="AS73" i="32"/>
  <c r="AP74" i="32"/>
  <c r="AR59" i="32"/>
  <c r="AS75" i="32"/>
  <c r="AQ64" i="32"/>
  <c r="AP48" i="32"/>
  <c r="AO47" i="32"/>
  <c r="AQ51" i="32"/>
  <c r="AS52" i="32"/>
  <c r="AQ49" i="32"/>
  <c r="AT63" i="32"/>
  <c r="AO77" i="32"/>
  <c r="AR56" i="32"/>
  <c r="AS58" i="32"/>
  <c r="AP57" i="32"/>
  <c r="AT58" i="32"/>
  <c r="AO48" i="32"/>
  <c r="AR50" i="32"/>
  <c r="AS57" i="32"/>
  <c r="AP60" i="32"/>
  <c r="AR73" i="32"/>
  <c r="AS59" i="32"/>
  <c r="AP68" i="32"/>
  <c r="AQ59" i="32"/>
  <c r="AO74" i="32"/>
  <c r="AT59" i="32"/>
  <c r="AQ56" i="32"/>
  <c r="AQ71" i="32"/>
  <c r="AT67" i="32"/>
  <c r="AS50" i="32"/>
  <c r="AQ63" i="32"/>
  <c r="AO64" i="32"/>
  <c r="AS54" i="32"/>
  <c r="AR58" i="32"/>
  <c r="AS56" i="32"/>
  <c r="AR54" i="32"/>
  <c r="AP71" i="32"/>
  <c r="AQ65" i="32"/>
  <c r="AT66" i="32"/>
  <c r="AO57" i="32"/>
  <c r="AO67" i="32"/>
  <c r="AS76" i="32"/>
  <c r="AQ69" i="32"/>
  <c r="AP52" i="32"/>
  <c r="AS51" i="32"/>
  <c r="AT53" i="32"/>
  <c r="AQ55" i="32"/>
  <c r="AO68" i="32"/>
  <c r="AP64" i="32"/>
  <c r="AU64" i="32" s="1"/>
  <c r="AT72" i="32"/>
  <c r="AQ57" i="32"/>
  <c r="AO51" i="32"/>
  <c r="AT61" i="32"/>
  <c r="AQ74" i="32"/>
  <c r="AO76" i="32"/>
  <c r="AT76" i="32"/>
  <c r="AQ67" i="32"/>
  <c r="AO62" i="32"/>
  <c r="AT64" i="32"/>
  <c r="AQ68" i="32"/>
  <c r="AT74" i="32"/>
  <c r="AO54" i="32"/>
  <c r="AR69" i="32"/>
  <c r="AO55" i="32"/>
  <c r="AT51" i="32"/>
  <c r="AS60" i="32"/>
  <c r="AR63" i="32"/>
  <c r="AP53" i="32"/>
  <c r="AP73" i="32"/>
  <c r="AQ62" i="32"/>
  <c r="AR65" i="32"/>
  <c r="AT50" i="32"/>
  <c r="AP76" i="32"/>
  <c r="AO72" i="32"/>
  <c r="AS66" i="32"/>
  <c r="AQ52" i="32"/>
  <c r="AR60" i="32"/>
  <c r="AT65" i="32"/>
  <c r="AP55" i="32"/>
  <c r="AO71" i="32"/>
  <c r="AS68" i="32"/>
  <c r="AQ50" i="32"/>
  <c r="AR47" i="32"/>
  <c r="AT75" i="32"/>
  <c r="AP63" i="32"/>
  <c r="AP65" i="32"/>
  <c r="AO60" i="32"/>
  <c r="AO52" i="32"/>
  <c r="AT68" i="32"/>
  <c r="AT70" i="32"/>
  <c r="AR72" i="32"/>
  <c r="AR61" i="32"/>
  <c r="AQ53" i="32"/>
  <c r="AQ61" i="32"/>
  <c r="AS55" i="32"/>
  <c r="AS67" i="32"/>
  <c r="AO61" i="32"/>
  <c r="AP50" i="32"/>
  <c r="AP54" i="32"/>
  <c r="AT60" i="32"/>
  <c r="AT47" i="32"/>
  <c r="AR70" i="32"/>
  <c r="AR68" i="32"/>
  <c r="AQ72" i="32"/>
  <c r="AQ73" i="32"/>
  <c r="AS69" i="32"/>
  <c r="AS49" i="32"/>
  <c r="AO75" i="32"/>
  <c r="AO63" i="32"/>
  <c r="AP49" i="32"/>
  <c r="AP47" i="32"/>
  <c r="AT56" i="32"/>
  <c r="AT57" i="32"/>
  <c r="AR51" i="32"/>
  <c r="AR52" i="32"/>
  <c r="AQ77" i="32"/>
  <c r="AQ47" i="32"/>
  <c r="AS71" i="32"/>
  <c r="AS70" i="32"/>
  <c r="AO66" i="32"/>
  <c r="AO56" i="32"/>
  <c r="AP51" i="32"/>
  <c r="AP69" i="32"/>
  <c r="AT52" i="32"/>
  <c r="AT54" i="32"/>
  <c r="AR48" i="32"/>
  <c r="AR49" i="32"/>
  <c r="AQ58" i="32"/>
  <c r="AQ54" i="32"/>
  <c r="AS74" i="32"/>
  <c r="AS72" i="32"/>
  <c r="AR67" i="32"/>
  <c r="AP70" i="32"/>
  <c r="AS61" i="32"/>
  <c r="AR77" i="32"/>
  <c r="AP66" i="32"/>
  <c r="AS48" i="32"/>
  <c r="AT71" i="32"/>
  <c r="AO65" i="32"/>
  <c r="AQ60" i="32"/>
  <c r="AT77" i="32"/>
  <c r="AP62" i="32"/>
  <c r="AO59" i="32"/>
  <c r="AT49" i="32"/>
  <c r="AQ76" i="32"/>
  <c r="AO53" i="32"/>
  <c r="AT69" i="32"/>
  <c r="AQ48" i="32"/>
  <c r="AO70" i="32"/>
  <c r="AP56" i="32"/>
  <c r="AR75" i="32"/>
  <c r="AP58" i="32"/>
  <c r="AO69" i="32"/>
  <c r="AS63" i="32"/>
  <c r="BQ23" i="37"/>
  <c r="AG23" i="37"/>
  <c r="AI23" i="37" s="1"/>
  <c r="AG32" i="37"/>
  <c r="AI32" i="37" s="1"/>
  <c r="BQ32" i="37"/>
  <c r="AH11" i="37"/>
  <c r="D323" i="27"/>
  <c r="L11" i="37"/>
  <c r="F323" i="27"/>
  <c r="F322" i="27"/>
  <c r="AU62" i="32" l="1"/>
  <c r="AU67" i="32"/>
  <c r="AU74" i="32"/>
  <c r="AU68" i="32"/>
  <c r="AU69" i="32"/>
  <c r="AU71" i="32"/>
  <c r="AU61" i="32"/>
  <c r="AU75" i="32"/>
  <c r="AU70" i="32"/>
  <c r="AU65" i="32"/>
  <c r="AU63" i="32"/>
  <c r="AU72" i="32"/>
  <c r="AU66" i="32"/>
  <c r="AU73" i="32"/>
  <c r="AU60" i="32"/>
  <c r="AU77" i="32"/>
  <c r="AU76" i="32"/>
  <c r="AO8" i="32" a="1"/>
  <c r="AG11" i="37"/>
  <c r="AI11" i="37" s="1"/>
  <c r="BQ11" i="37"/>
  <c r="D322" i="27"/>
  <c r="AQ25" i="32" l="1"/>
  <c r="AO9" i="32"/>
  <c r="AT17" i="32"/>
  <c r="AP14" i="32"/>
  <c r="AT8" i="32"/>
  <c r="AS12" i="32"/>
  <c r="AR14" i="32"/>
  <c r="AQ10" i="32"/>
  <c r="AR15" i="32"/>
  <c r="AT16" i="32"/>
  <c r="AP21" i="32"/>
  <c r="AS11" i="32"/>
  <c r="AQ16" i="32"/>
  <c r="AO15" i="32"/>
  <c r="AS19" i="32"/>
  <c r="AP18" i="32"/>
  <c r="AS18" i="32"/>
  <c r="AS20" i="32"/>
  <c r="AQ27" i="32"/>
  <c r="AR23" i="32"/>
  <c r="AR26" i="32"/>
  <c r="AR37" i="32"/>
  <c r="AP15" i="32"/>
  <c r="AT37" i="32"/>
  <c r="AT28" i="32"/>
  <c r="AT25" i="32"/>
  <c r="AQ31" i="32"/>
  <c r="AT11" i="32"/>
  <c r="AO27" i="32"/>
  <c r="AP9" i="32"/>
  <c r="AP19" i="32"/>
  <c r="AS23" i="32"/>
  <c r="AO16" i="32"/>
  <c r="AQ20" i="32"/>
  <c r="AR27" i="32"/>
  <c r="AT38" i="32"/>
  <c r="AQ24" i="32"/>
  <c r="AP11" i="32"/>
  <c r="AS27" i="32"/>
  <c r="AO20" i="32"/>
  <c r="AT22" i="32"/>
  <c r="AR34" i="32"/>
  <c r="AR32" i="32"/>
  <c r="AO23" i="32"/>
  <c r="AO31" i="32"/>
  <c r="AS8" i="32"/>
  <c r="AT30" i="32"/>
  <c r="AO12" i="32"/>
  <c r="AQ30" i="32"/>
  <c r="AR30" i="32"/>
  <c r="AT31" i="32"/>
  <c r="AR10" i="32"/>
  <c r="AQ9" i="32"/>
  <c r="AQ18" i="32"/>
  <c r="AP32" i="32"/>
  <c r="AS16" i="32"/>
  <c r="AO13" i="32"/>
  <c r="AT33" i="32"/>
  <c r="AP8" i="32"/>
  <c r="AO26" i="32"/>
  <c r="AQ29" i="32"/>
  <c r="AR8" i="32"/>
  <c r="AR33" i="32"/>
  <c r="AP31" i="32"/>
  <c r="AP13" i="32"/>
  <c r="AT12" i="32"/>
  <c r="AR36" i="32"/>
  <c r="AS36" i="32"/>
  <c r="AP37" i="32"/>
  <c r="AO38" i="32"/>
  <c r="AP34" i="32"/>
  <c r="AS22" i="32"/>
  <c r="AS10" i="32"/>
  <c r="AT14" i="32"/>
  <c r="AP17" i="32"/>
  <c r="AP36" i="32"/>
  <c r="AQ36" i="32"/>
  <c r="AQ33" i="32"/>
  <c r="AP30" i="32"/>
  <c r="AS30" i="32"/>
  <c r="AO37" i="32"/>
  <c r="AR17" i="32"/>
  <c r="AP28" i="32"/>
  <c r="AQ38" i="32"/>
  <c r="AT27" i="32"/>
  <c r="AQ14" i="32"/>
  <c r="AS13" i="32"/>
  <c r="AP38" i="32"/>
  <c r="AO21" i="32"/>
  <c r="AP29" i="32"/>
  <c r="AQ35" i="32"/>
  <c r="AS38" i="32"/>
  <c r="AT20" i="32"/>
  <c r="AQ23" i="32"/>
  <c r="AR11" i="32"/>
  <c r="AT32" i="32"/>
  <c r="AQ22" i="32"/>
  <c r="AT9" i="32"/>
  <c r="AO28" i="32"/>
  <c r="AS24" i="32"/>
  <c r="AO14" i="32"/>
  <c r="AR28" i="32"/>
  <c r="AQ12" i="32"/>
  <c r="AP23" i="32"/>
  <c r="AT19" i="32"/>
  <c r="AO8" i="32"/>
  <c r="AT24" i="32"/>
  <c r="AR35" i="32"/>
  <c r="AO22" i="32"/>
  <c r="AO19" i="32"/>
  <c r="AO11" i="32"/>
  <c r="AO32" i="32"/>
  <c r="AT23" i="32"/>
  <c r="AQ32" i="32"/>
  <c r="AR19" i="32"/>
  <c r="AR38" i="32"/>
  <c r="AS15" i="32"/>
  <c r="AT34" i="32"/>
  <c r="AS34" i="32"/>
  <c r="AS28" i="32"/>
  <c r="AT26" i="32"/>
  <c r="AS31" i="32"/>
  <c r="AO33" i="32"/>
  <c r="AQ13" i="32"/>
  <c r="AS14" i="32"/>
  <c r="AR22" i="32"/>
  <c r="AP33" i="32"/>
  <c r="AS35" i="32"/>
  <c r="AS25" i="32"/>
  <c r="AQ28" i="32"/>
  <c r="AR18" i="32"/>
  <c r="AO34" i="32"/>
  <c r="AQ26" i="32"/>
  <c r="AR31" i="32"/>
  <c r="AT29" i="32"/>
  <c r="AP24" i="32"/>
  <c r="AQ34" i="32"/>
  <c r="AS37" i="32"/>
  <c r="AQ37" i="32"/>
  <c r="AR16" i="32"/>
  <c r="AO24" i="32"/>
  <c r="AS29" i="32"/>
  <c r="AR21" i="32"/>
  <c r="AO18" i="32"/>
  <c r="AT36" i="32"/>
  <c r="AS33" i="32"/>
  <c r="AQ17" i="32"/>
  <c r="AR29" i="32"/>
  <c r="AS32" i="32"/>
  <c r="AP22" i="32"/>
  <c r="AR24" i="32"/>
  <c r="AS21" i="32"/>
  <c r="AT10" i="32"/>
  <c r="AS17" i="32"/>
  <c r="AR20" i="32"/>
  <c r="AP26" i="32"/>
  <c r="AO29" i="32"/>
  <c r="AO25" i="32"/>
  <c r="AO36" i="32"/>
  <c r="AO10" i="32"/>
  <c r="AR25" i="32"/>
  <c r="AP25" i="32"/>
  <c r="AP35" i="32"/>
  <c r="AT35" i="32"/>
  <c r="AO35" i="32"/>
  <c r="AS26" i="32"/>
  <c r="AO30" i="32"/>
  <c r="AP20" i="32"/>
  <c r="AP27" i="32"/>
  <c r="AQ15" i="32"/>
  <c r="AT21" i="32"/>
  <c r="AP10" i="32"/>
  <c r="AP12" i="32"/>
  <c r="AR9" i="32"/>
  <c r="AQ21" i="32"/>
  <c r="AT18" i="32"/>
  <c r="AQ8" i="32"/>
  <c r="AT15" i="32"/>
  <c r="AS9" i="32"/>
  <c r="AP16" i="32"/>
  <c r="AQ11" i="32"/>
  <c r="AR12" i="32"/>
  <c r="AT13" i="32"/>
  <c r="AQ19" i="32"/>
  <c r="AR13" i="32"/>
  <c r="AO17" i="32"/>
  <c r="F59" i="13"/>
  <c r="H59" i="13" s="1"/>
  <c r="AU30" i="32" l="1"/>
  <c r="AU35" i="32"/>
  <c r="AU36" i="32"/>
  <c r="AU29" i="32"/>
  <c r="AU28" i="32"/>
  <c r="AU21" i="32"/>
  <c r="AU37" i="32"/>
  <c r="AU31" i="32"/>
  <c r="AU25" i="32"/>
  <c r="AU34" i="32"/>
  <c r="AU32" i="32"/>
  <c r="AU38" i="32"/>
  <c r="AU26" i="32"/>
  <c r="AU23" i="32"/>
  <c r="AU24" i="32"/>
  <c r="AU33" i="32"/>
  <c r="AU27" i="32"/>
  <c r="G10" i="13"/>
  <c r="D10" i="13" s="1" a="1"/>
  <c r="D10" i="13" s="1"/>
  <c r="K9" i="33" l="1"/>
  <c r="L9" i="33" s="1"/>
  <c r="M9" i="33"/>
  <c r="M10" i="33"/>
  <c r="K12" i="33"/>
  <c r="L12" i="33" s="1"/>
  <c r="K13" i="33"/>
  <c r="L13" i="33" s="1"/>
  <c r="M13" i="33"/>
  <c r="M14" i="33"/>
  <c r="K16" i="33"/>
  <c r="L16" i="33" s="1"/>
  <c r="K17" i="33"/>
  <c r="L17" i="33" s="1"/>
  <c r="M17" i="33"/>
  <c r="M18" i="33"/>
  <c r="AE18" i="33" s="1"/>
  <c r="K20" i="33"/>
  <c r="L20" i="33" s="1"/>
  <c r="K21" i="33"/>
  <c r="L21" i="33" s="1"/>
  <c r="M21" i="33"/>
  <c r="M22" i="33"/>
  <c r="AE22" i="33" s="1"/>
  <c r="K24" i="33"/>
  <c r="L24" i="33" s="1"/>
  <c r="K25" i="33"/>
  <c r="L25" i="33" s="1"/>
  <c r="M25" i="33"/>
  <c r="M26" i="33"/>
  <c r="K28" i="33"/>
  <c r="L28" i="33" s="1"/>
  <c r="K29" i="33"/>
  <c r="L29" i="33" s="1"/>
  <c r="BK29" i="33" s="1"/>
  <c r="M29" i="33"/>
  <c r="AE29" i="33" s="1"/>
  <c r="M30" i="33"/>
  <c r="K32" i="33"/>
  <c r="L32" i="33" s="1"/>
  <c r="K10" i="33"/>
  <c r="L10" i="33" s="1"/>
  <c r="K11" i="33"/>
  <c r="L11" i="33" s="1"/>
  <c r="M11" i="33"/>
  <c r="M12" i="33"/>
  <c r="K14" i="33"/>
  <c r="L14" i="33" s="1"/>
  <c r="M15" i="33"/>
  <c r="M16" i="33"/>
  <c r="K18" i="33"/>
  <c r="L18" i="33" s="1"/>
  <c r="K19" i="33"/>
  <c r="L19" i="33" s="1"/>
  <c r="M19" i="33"/>
  <c r="M20" i="33"/>
  <c r="K22" i="33"/>
  <c r="L22" i="33" s="1"/>
  <c r="K23" i="33"/>
  <c r="L23" i="33" s="1"/>
  <c r="M23" i="33"/>
  <c r="M24" i="33"/>
  <c r="K26" i="33"/>
  <c r="L26" i="33" s="1"/>
  <c r="K27" i="33"/>
  <c r="L27" i="33" s="1"/>
  <c r="BG27" i="33" s="1"/>
  <c r="M27" i="33"/>
  <c r="M28" i="33"/>
  <c r="K30" i="33"/>
  <c r="L30" i="33" s="1"/>
  <c r="K31" i="33"/>
  <c r="L31" i="33" s="1"/>
  <c r="M31" i="33"/>
  <c r="M32" i="33"/>
  <c r="AB22" i="33"/>
  <c r="AB18" i="33"/>
  <c r="AB29" i="33"/>
  <c r="K8" i="33"/>
  <c r="M8" i="33"/>
  <c r="AE8" i="33" s="1"/>
  <c r="I8" i="33" a="1"/>
  <c r="G28" i="13"/>
  <c r="G53" i="13" s="1"/>
  <c r="H31" i="13" s="1"/>
  <c r="E11" i="13" a="1"/>
  <c r="E11" i="13" s="1"/>
  <c r="AB31" i="33" l="1"/>
  <c r="AE31" i="33"/>
  <c r="AB27" i="33"/>
  <c r="AE27" i="33"/>
  <c r="AB23" i="33"/>
  <c r="AE23" i="33"/>
  <c r="AB19" i="33"/>
  <c r="AE19" i="33"/>
  <c r="AB15" i="33"/>
  <c r="AE15" i="33"/>
  <c r="AB12" i="33"/>
  <c r="AE12" i="33"/>
  <c r="AB25" i="33"/>
  <c r="AE25" i="33"/>
  <c r="AB21" i="33"/>
  <c r="AE21" i="33"/>
  <c r="AB17" i="33"/>
  <c r="AE17" i="33"/>
  <c r="AB13" i="33"/>
  <c r="AE13" i="33"/>
  <c r="AB9" i="33"/>
  <c r="AE9" i="33"/>
  <c r="AB32" i="33"/>
  <c r="AE32" i="33"/>
  <c r="AB28" i="33"/>
  <c r="AE28" i="33"/>
  <c r="AB24" i="33"/>
  <c r="AE24" i="33"/>
  <c r="AB20" i="33"/>
  <c r="AE20" i="33"/>
  <c r="AB16" i="33"/>
  <c r="AE16" i="33"/>
  <c r="AB11" i="33"/>
  <c r="AE11" i="33"/>
  <c r="AB30" i="33"/>
  <c r="AE30" i="33"/>
  <c r="AB26" i="33"/>
  <c r="AE26" i="33"/>
  <c r="AB14" i="33"/>
  <c r="AE14" i="33"/>
  <c r="AB10" i="33"/>
  <c r="AE10" i="33"/>
  <c r="M35" i="33"/>
  <c r="BG18" i="33"/>
  <c r="L8" i="33"/>
  <c r="D276" i="27"/>
  <c r="AA12" i="33"/>
  <c r="AA13" i="33"/>
  <c r="AA9" i="33"/>
  <c r="AA8" i="33"/>
  <c r="AB8" i="33"/>
  <c r="AA19" i="33"/>
  <c r="AA11" i="33"/>
  <c r="AA16" i="33"/>
  <c r="AA14" i="33"/>
  <c r="AA21" i="33"/>
  <c r="AA20" i="33"/>
  <c r="AA18" i="33"/>
  <c r="AA10" i="33"/>
  <c r="AA17" i="33"/>
  <c r="I9" i="33"/>
  <c r="I30" i="33"/>
  <c r="I14" i="33"/>
  <c r="I24" i="33"/>
  <c r="I8" i="33"/>
  <c r="I19" i="33"/>
  <c r="I25" i="33"/>
  <c r="I26" i="33"/>
  <c r="I10" i="33"/>
  <c r="I20" i="33"/>
  <c r="I31" i="33"/>
  <c r="I15" i="33"/>
  <c r="I21" i="33"/>
  <c r="I22" i="33"/>
  <c r="I32" i="33"/>
  <c r="I16" i="33"/>
  <c r="I27" i="33"/>
  <c r="I11" i="33"/>
  <c r="I17" i="33"/>
  <c r="I18" i="33"/>
  <c r="I28" i="33"/>
  <c r="I12" i="33"/>
  <c r="I23" i="33"/>
  <c r="I29" i="33"/>
  <c r="I13" i="33"/>
  <c r="AA29" i="33"/>
  <c r="AC29" i="33" s="1"/>
  <c r="F244" i="27"/>
  <c r="D245" i="27"/>
  <c r="BP29" i="33"/>
  <c r="BJ29" i="33"/>
  <c r="D255" i="27"/>
  <c r="BI29" i="33"/>
  <c r="BO29" i="33"/>
  <c r="BL29" i="33"/>
  <c r="BM29" i="33"/>
  <c r="BN29" i="33"/>
  <c r="BG29" i="33"/>
  <c r="F245" i="27"/>
  <c r="BH29" i="33"/>
  <c r="BH23" i="33"/>
  <c r="BM23" i="33"/>
  <c r="BO23" i="33"/>
  <c r="BL23" i="33"/>
  <c r="BJ23" i="33"/>
  <c r="BG23" i="33"/>
  <c r="BI23" i="33"/>
  <c r="BK23" i="33"/>
  <c r="BP23" i="33"/>
  <c r="BN23" i="33"/>
  <c r="AA32" i="33"/>
  <c r="BG22" i="33"/>
  <c r="BJ22" i="33"/>
  <c r="BH22" i="33"/>
  <c r="BO22" i="33"/>
  <c r="BM22" i="33"/>
  <c r="BP22" i="33"/>
  <c r="BL22" i="33"/>
  <c r="BK22" i="33"/>
  <c r="BI22" i="33"/>
  <c r="BN22" i="33"/>
  <c r="AA31" i="33"/>
  <c r="BG25" i="33"/>
  <c r="BL25" i="33"/>
  <c r="BJ25" i="33"/>
  <c r="BK25" i="33"/>
  <c r="BP25" i="33"/>
  <c r="BN25" i="33"/>
  <c r="BO25" i="33"/>
  <c r="BI25" i="33"/>
  <c r="BH25" i="33"/>
  <c r="BM25" i="33"/>
  <c r="F202" i="27"/>
  <c r="F201" i="27"/>
  <c r="D202" i="27"/>
  <c r="AA27" i="33"/>
  <c r="BP21" i="33"/>
  <c r="BN21" i="33"/>
  <c r="BI21" i="33"/>
  <c r="BO21" i="33"/>
  <c r="BH21" i="33"/>
  <c r="BG21" i="33"/>
  <c r="BJ21" i="33"/>
  <c r="BK21" i="33"/>
  <c r="BM21" i="33"/>
  <c r="BL21" i="33"/>
  <c r="D266" i="27"/>
  <c r="BI24" i="33"/>
  <c r="BG24" i="33"/>
  <c r="BL24" i="33"/>
  <c r="BM24" i="33"/>
  <c r="BK24" i="33"/>
  <c r="BP24" i="33"/>
  <c r="BJ24" i="33"/>
  <c r="BO24" i="33"/>
  <c r="BN24" i="33"/>
  <c r="BH24" i="33"/>
  <c r="D161" i="27"/>
  <c r="BO31" i="33"/>
  <c r="BI31" i="33"/>
  <c r="BH31" i="33"/>
  <c r="BM31" i="33"/>
  <c r="BG31" i="33"/>
  <c r="BL31" i="33"/>
  <c r="BJ31" i="33"/>
  <c r="BK31" i="33"/>
  <c r="BP31" i="33"/>
  <c r="BN31" i="33"/>
  <c r="AA24" i="33"/>
  <c r="BG14" i="33"/>
  <c r="F266" i="27"/>
  <c r="F265" i="27"/>
  <c r="AA23" i="33"/>
  <c r="BG17" i="33"/>
  <c r="AA26" i="33"/>
  <c r="BK20" i="33"/>
  <c r="BI20" i="33"/>
  <c r="BP20" i="33"/>
  <c r="BN20" i="33"/>
  <c r="BG20" i="33"/>
  <c r="BJ20" i="33"/>
  <c r="BH20" i="33"/>
  <c r="BL20" i="33"/>
  <c r="BO20" i="33"/>
  <c r="BM20" i="33"/>
  <c r="D224" i="27"/>
  <c r="BH26" i="33"/>
  <c r="BJ26" i="33"/>
  <c r="BI26" i="33"/>
  <c r="BK26" i="33"/>
  <c r="BP26" i="33"/>
  <c r="BM26" i="33"/>
  <c r="BO26" i="33"/>
  <c r="BG26" i="33"/>
  <c r="BL26" i="33"/>
  <c r="BN26" i="33"/>
  <c r="BG13" i="33"/>
  <c r="F224" i="27"/>
  <c r="F223" i="27"/>
  <c r="AA22" i="33"/>
  <c r="BJ32" i="33"/>
  <c r="BO32" i="33"/>
  <c r="BN32" i="33"/>
  <c r="BH32" i="33"/>
  <c r="BI32" i="33"/>
  <c r="BG32" i="33"/>
  <c r="BL32" i="33"/>
  <c r="BM32" i="33"/>
  <c r="BK32" i="33"/>
  <c r="BP32" i="33"/>
  <c r="AA25" i="33"/>
  <c r="AO20" i="13" a="1"/>
  <c r="AO20" i="13" s="1"/>
  <c r="AO14" i="13" a="1"/>
  <c r="AO14" i="13" s="1"/>
  <c r="AO19" i="13" a="1"/>
  <c r="AO19" i="13" s="1"/>
  <c r="AO11" i="13" a="1"/>
  <c r="AO11" i="13" s="1"/>
  <c r="AO17" i="13" a="1"/>
  <c r="AO17" i="13" s="1"/>
  <c r="H10" i="13"/>
  <c r="H3" i="33"/>
  <c r="M2" i="33"/>
  <c r="H47" i="13"/>
  <c r="H39" i="13"/>
  <c r="H24" i="13"/>
  <c r="H18" i="13"/>
  <c r="H13" i="13"/>
  <c r="H33" i="13"/>
  <c r="H15" i="13"/>
  <c r="H45" i="13"/>
  <c r="H12" i="13"/>
  <c r="H16" i="13"/>
  <c r="H8" i="13"/>
  <c r="H35" i="13"/>
  <c r="H43" i="13"/>
  <c r="H41" i="13"/>
  <c r="H22" i="13"/>
  <c r="H20" i="13"/>
  <c r="H49" i="13"/>
  <c r="H26" i="13"/>
  <c r="G54" i="13"/>
  <c r="H54" i="13" s="1"/>
  <c r="H37" i="13"/>
  <c r="AC18" i="33" l="1"/>
  <c r="AC16" i="33"/>
  <c r="AC8" i="33"/>
  <c r="AC11" i="33"/>
  <c r="AC9" i="33"/>
  <c r="AC13" i="33"/>
  <c r="AC10" i="33"/>
  <c r="AC14" i="33"/>
  <c r="AC12" i="33"/>
  <c r="AC17" i="33"/>
  <c r="AC26" i="33"/>
  <c r="BQ29" i="33"/>
  <c r="AC24" i="33"/>
  <c r="AC21" i="33"/>
  <c r="AC20" i="33"/>
  <c r="AC31" i="33"/>
  <c r="AC32" i="33"/>
  <c r="AC25" i="33"/>
  <c r="AC22" i="33"/>
  <c r="BQ31" i="33"/>
  <c r="AC27" i="33"/>
  <c r="BK12" i="33"/>
  <c r="BP12" i="33"/>
  <c r="BO12" i="33"/>
  <c r="BN12" i="33"/>
  <c r="BH12" i="33"/>
  <c r="BI12" i="33"/>
  <c r="BL12" i="33"/>
  <c r="BJ12" i="33"/>
  <c r="BM12" i="33"/>
  <c r="BG12" i="33"/>
  <c r="BQ32" i="33"/>
  <c r="AC23" i="33"/>
  <c r="BQ24" i="33"/>
  <c r="BQ26" i="33"/>
  <c r="BQ25" i="33"/>
  <c r="AO21" i="13"/>
  <c r="D223" i="27"/>
  <c r="D265" i="27"/>
  <c r="D182" i="27"/>
  <c r="D201" i="27"/>
  <c r="D244" i="27"/>
  <c r="L2" i="33"/>
  <c r="H4" i="33"/>
  <c r="I4" i="33" s="1"/>
  <c r="I3" i="33" s="1"/>
  <c r="F161" i="27"/>
  <c r="F160" i="27"/>
  <c r="AQ17" i="13"/>
  <c r="H28" i="13"/>
  <c r="H51" i="13"/>
  <c r="M3" i="33" l="1"/>
  <c r="AA30" i="33"/>
  <c r="BG30" i="33"/>
  <c r="AA28" i="33"/>
  <c r="BJ28" i="33"/>
  <c r="BO28" i="33"/>
  <c r="BH28" i="33"/>
  <c r="BG28" i="33"/>
  <c r="BN28" i="33"/>
  <c r="BI28" i="33"/>
  <c r="BL28" i="33"/>
  <c r="BM28" i="33"/>
  <c r="BK28" i="33"/>
  <c r="BP28" i="33"/>
  <c r="D192" i="27"/>
  <c r="D286" i="27"/>
  <c r="F286" i="27"/>
  <c r="F285" i="27"/>
  <c r="F191" i="27"/>
  <c r="F192" i="27"/>
  <c r="BL8" i="33"/>
  <c r="BG8" i="33"/>
  <c r="BO8" i="33"/>
  <c r="BK8" i="33"/>
  <c r="BN8" i="33"/>
  <c r="BJ8" i="33"/>
  <c r="BM8" i="33"/>
  <c r="BH8" i="33"/>
  <c r="BG9" i="33"/>
  <c r="BP8" i="33"/>
  <c r="BI8" i="33"/>
  <c r="D171" i="27"/>
  <c r="F171" i="27"/>
  <c r="F182" i="27"/>
  <c r="F170" i="27"/>
  <c r="F181" i="27"/>
  <c r="D160" i="27"/>
  <c r="D170" i="27"/>
  <c r="H53" i="13"/>
  <c r="BG16" i="33" l="1"/>
  <c r="D285" i="27"/>
  <c r="AC30" i="33"/>
  <c r="BG11" i="33"/>
  <c r="D191" i="27"/>
  <c r="BQ28" i="33"/>
  <c r="AC28" i="33"/>
  <c r="BG10" i="33"/>
  <c r="D181" i="27"/>
  <c r="M4" i="33"/>
  <c r="AU54" i="32" l="1"/>
  <c r="AU59" i="32"/>
  <c r="AU57" i="32"/>
  <c r="AU53" i="32"/>
  <c r="AU50" i="32"/>
  <c r="AU48" i="32"/>
  <c r="AU52" i="32"/>
  <c r="AU58" i="32"/>
  <c r="AU56" i="32"/>
  <c r="AU55" i="32"/>
  <c r="AU51" i="32"/>
  <c r="AU49" i="32"/>
  <c r="AU47" i="32"/>
  <c r="AU22" i="32" l="1"/>
  <c r="P8" i="32" a="1"/>
  <c r="Q8" i="32" l="1"/>
  <c r="S38" i="32"/>
  <c r="BA38" i="32" s="1"/>
  <c r="Q33" i="32"/>
  <c r="AY33" i="32" s="1"/>
  <c r="U27" i="32"/>
  <c r="BC27" i="32" s="1"/>
  <c r="S22" i="32"/>
  <c r="BA22" i="32" s="1"/>
  <c r="Q17" i="32"/>
  <c r="AY17" i="32" s="1"/>
  <c r="U11" i="32"/>
  <c r="BC11" i="32" s="1"/>
  <c r="T36" i="32"/>
  <c r="BB36" i="32" s="1"/>
  <c r="R31" i="32"/>
  <c r="AZ31" i="32" s="1"/>
  <c r="P26" i="32"/>
  <c r="AX26" i="32" s="1"/>
  <c r="T20" i="32"/>
  <c r="BB20" i="32" s="1"/>
  <c r="R15" i="32"/>
  <c r="AZ15" i="32" s="1"/>
  <c r="P10" i="32"/>
  <c r="AX10" i="32" s="1"/>
  <c r="Q35" i="32"/>
  <c r="AY35" i="32" s="1"/>
  <c r="U29" i="32"/>
  <c r="BC29" i="32" s="1"/>
  <c r="S24" i="32"/>
  <c r="BA24" i="32" s="1"/>
  <c r="Q19" i="32"/>
  <c r="AY19" i="32" s="1"/>
  <c r="U13" i="32"/>
  <c r="BC13" i="32" s="1"/>
  <c r="S8" i="32"/>
  <c r="T34" i="32"/>
  <c r="BB34" i="32" s="1"/>
  <c r="R29" i="32"/>
  <c r="AZ29" i="32" s="1"/>
  <c r="P24" i="32"/>
  <c r="AX24" i="32" s="1"/>
  <c r="T18" i="32"/>
  <c r="BB18" i="32" s="1"/>
  <c r="R13" i="32"/>
  <c r="AZ13" i="32" s="1"/>
  <c r="P8" i="32"/>
  <c r="R36" i="32"/>
  <c r="AZ36" i="32" s="1"/>
  <c r="T33" i="32"/>
  <c r="BB33" i="32" s="1"/>
  <c r="P31" i="32"/>
  <c r="AX31" i="32" s="1"/>
  <c r="R28" i="32"/>
  <c r="AZ28" i="32" s="1"/>
  <c r="T25" i="32"/>
  <c r="BB25" i="32" s="1"/>
  <c r="P23" i="32"/>
  <c r="AX23" i="32" s="1"/>
  <c r="R20" i="32"/>
  <c r="AZ20" i="32" s="1"/>
  <c r="T17" i="32"/>
  <c r="BB17" i="32" s="1"/>
  <c r="P15" i="32"/>
  <c r="AX15" i="32" s="1"/>
  <c r="R12" i="32"/>
  <c r="AZ12" i="32" s="1"/>
  <c r="T9" i="32"/>
  <c r="BB9" i="32" s="1"/>
  <c r="Q38" i="32"/>
  <c r="AY38" i="32" s="1"/>
  <c r="S35" i="32"/>
  <c r="BA35" i="32" s="1"/>
  <c r="U32" i="32"/>
  <c r="BC32" i="32" s="1"/>
  <c r="Q30" i="32"/>
  <c r="AY30" i="32" s="1"/>
  <c r="S27" i="32"/>
  <c r="BA27" i="32" s="1"/>
  <c r="U24" i="32"/>
  <c r="BC24" i="32" s="1"/>
  <c r="Q22" i="32"/>
  <c r="AY22" i="32" s="1"/>
  <c r="S19" i="32"/>
  <c r="BA19" i="32" s="1"/>
  <c r="U16" i="32"/>
  <c r="BC16" i="32" s="1"/>
  <c r="Q14" i="32"/>
  <c r="AY14" i="32" s="1"/>
  <c r="S11" i="32"/>
  <c r="BA11" i="32" s="1"/>
  <c r="U8" i="32"/>
  <c r="Q37" i="32"/>
  <c r="AY37" i="32" s="1"/>
  <c r="U31" i="32"/>
  <c r="BC31" i="32" s="1"/>
  <c r="S26" i="32"/>
  <c r="BA26" i="32" s="1"/>
  <c r="Q21" i="32"/>
  <c r="AY21" i="32" s="1"/>
  <c r="U15" i="32"/>
  <c r="BC15" i="32" s="1"/>
  <c r="S10" i="32"/>
  <c r="BA10" i="32" s="1"/>
  <c r="R35" i="32"/>
  <c r="AZ35" i="32" s="1"/>
  <c r="P30" i="32"/>
  <c r="AX30" i="32" s="1"/>
  <c r="T24" i="32"/>
  <c r="BB24" i="32" s="1"/>
  <c r="R19" i="32"/>
  <c r="AZ19" i="32" s="1"/>
  <c r="P14" i="32"/>
  <c r="AX14" i="32" s="1"/>
  <c r="T8" i="32"/>
  <c r="U33" i="32"/>
  <c r="BC33" i="32" s="1"/>
  <c r="S28" i="32"/>
  <c r="BA28" i="32" s="1"/>
  <c r="Q23" i="32"/>
  <c r="AY23" i="32" s="1"/>
  <c r="U17" i="32"/>
  <c r="BC17" i="32" s="1"/>
  <c r="S12" i="32"/>
  <c r="BA12" i="32" s="1"/>
  <c r="T38" i="32"/>
  <c r="BB38" i="32" s="1"/>
  <c r="R33" i="32"/>
  <c r="AZ33" i="32" s="1"/>
  <c r="P28" i="32"/>
  <c r="AX28" i="32" s="1"/>
  <c r="T22" i="32"/>
  <c r="BB22" i="32" s="1"/>
  <c r="R17" i="32"/>
  <c r="AZ17" i="32" s="1"/>
  <c r="P12" i="32"/>
  <c r="AX12" i="32" s="1"/>
  <c r="R38" i="32"/>
  <c r="AZ38" i="32" s="1"/>
  <c r="T35" i="32"/>
  <c r="BB35" i="32" s="1"/>
  <c r="P33" i="32"/>
  <c r="AX33" i="32" s="1"/>
  <c r="R30" i="32"/>
  <c r="AZ30" i="32" s="1"/>
  <c r="T27" i="32"/>
  <c r="BB27" i="32" s="1"/>
  <c r="P25" i="32"/>
  <c r="AX25" i="32" s="1"/>
  <c r="R22" i="32"/>
  <c r="AZ22" i="32" s="1"/>
  <c r="T19" i="32"/>
  <c r="BB19" i="32" s="1"/>
  <c r="P17" i="32"/>
  <c r="AX17" i="32" s="1"/>
  <c r="R14" i="32"/>
  <c r="AZ14" i="32" s="1"/>
  <c r="T11" i="32"/>
  <c r="BB11" i="32" s="1"/>
  <c r="P9" i="32"/>
  <c r="AX9" i="32" s="1"/>
  <c r="S37" i="32"/>
  <c r="BA37" i="32" s="1"/>
  <c r="U34" i="32"/>
  <c r="BC34" i="32" s="1"/>
  <c r="Q32" i="32"/>
  <c r="AY32" i="32" s="1"/>
  <c r="S29" i="32"/>
  <c r="BA29" i="32" s="1"/>
  <c r="U26" i="32"/>
  <c r="BC26" i="32" s="1"/>
  <c r="Q24" i="32"/>
  <c r="AY24" i="32" s="1"/>
  <c r="S21" i="32"/>
  <c r="BA21" i="32" s="1"/>
  <c r="U18" i="32"/>
  <c r="BC18" i="32" s="1"/>
  <c r="Q16" i="32"/>
  <c r="AY16" i="32" s="1"/>
  <c r="S13" i="32"/>
  <c r="BA13" i="32" s="1"/>
  <c r="U10" i="32"/>
  <c r="BC10" i="32" s="1"/>
  <c r="U35" i="32"/>
  <c r="BC35" i="32" s="1"/>
  <c r="S30" i="32"/>
  <c r="BA30" i="32" s="1"/>
  <c r="Q25" i="32"/>
  <c r="AY25" i="32" s="1"/>
  <c r="U19" i="32"/>
  <c r="BC19" i="32" s="1"/>
  <c r="S14" i="32"/>
  <c r="BA14" i="32" s="1"/>
  <c r="Q9" i="32"/>
  <c r="AY9" i="32" s="1"/>
  <c r="P34" i="32"/>
  <c r="AX34" i="32" s="1"/>
  <c r="T28" i="32"/>
  <c r="BB28" i="32" s="1"/>
  <c r="R23" i="32"/>
  <c r="AZ23" i="32" s="1"/>
  <c r="P18" i="32"/>
  <c r="AX18" i="32" s="1"/>
  <c r="T12" i="32"/>
  <c r="BB12" i="32" s="1"/>
  <c r="U37" i="32"/>
  <c r="BC37" i="32" s="1"/>
  <c r="S32" i="32"/>
  <c r="BA32" i="32" s="1"/>
  <c r="Q27" i="32"/>
  <c r="AY27" i="32" s="1"/>
  <c r="U21" i="32"/>
  <c r="BC21" i="32" s="1"/>
  <c r="S16" i="32"/>
  <c r="BA16" i="32" s="1"/>
  <c r="Q11" i="32"/>
  <c r="AY11" i="32" s="1"/>
  <c r="R37" i="32"/>
  <c r="AZ37" i="32" s="1"/>
  <c r="P32" i="32"/>
  <c r="AX32" i="32" s="1"/>
  <c r="T26" i="32"/>
  <c r="BB26" i="32" s="1"/>
  <c r="R21" i="32"/>
  <c r="AZ21" i="32" s="1"/>
  <c r="P16" i="32"/>
  <c r="AX16" i="32" s="1"/>
  <c r="T10" i="32"/>
  <c r="BB10" i="32" s="1"/>
  <c r="T37" i="32"/>
  <c r="BB37" i="32" s="1"/>
  <c r="P35" i="32"/>
  <c r="AX35" i="32" s="1"/>
  <c r="R32" i="32"/>
  <c r="AZ32" i="32" s="1"/>
  <c r="T29" i="32"/>
  <c r="BB29" i="32" s="1"/>
  <c r="P27" i="32"/>
  <c r="AX27" i="32" s="1"/>
  <c r="R24" i="32"/>
  <c r="AZ24" i="32" s="1"/>
  <c r="T21" i="32"/>
  <c r="BB21" i="32" s="1"/>
  <c r="P19" i="32"/>
  <c r="AX19" i="32" s="1"/>
  <c r="R16" i="32"/>
  <c r="AZ16" i="32" s="1"/>
  <c r="T13" i="32"/>
  <c r="BB13" i="32" s="1"/>
  <c r="P11" i="32"/>
  <c r="AX11" i="32" s="1"/>
  <c r="R8" i="32"/>
  <c r="U36" i="32"/>
  <c r="BC36" i="32" s="1"/>
  <c r="Q34" i="32"/>
  <c r="AY34" i="32" s="1"/>
  <c r="S31" i="32"/>
  <c r="BA31" i="32" s="1"/>
  <c r="U28" i="32"/>
  <c r="BC28" i="32" s="1"/>
  <c r="Q26" i="32"/>
  <c r="AY26" i="32" s="1"/>
  <c r="S23" i="32"/>
  <c r="BA23" i="32" s="1"/>
  <c r="U20" i="32"/>
  <c r="BC20" i="32" s="1"/>
  <c r="Q18" i="32"/>
  <c r="AY18" i="32" s="1"/>
  <c r="S15" i="32"/>
  <c r="BA15" i="32" s="1"/>
  <c r="U12" i="32"/>
  <c r="BC12" i="32" s="1"/>
  <c r="Q10" i="32"/>
  <c r="AY10" i="32" s="1"/>
  <c r="S34" i="32"/>
  <c r="BA34" i="32" s="1"/>
  <c r="Q29" i="32"/>
  <c r="AY29" i="32" s="1"/>
  <c r="U23" i="32"/>
  <c r="BC23" i="32" s="1"/>
  <c r="S18" i="32"/>
  <c r="BA18" i="32" s="1"/>
  <c r="Q13" i="32"/>
  <c r="AY13" i="32" s="1"/>
  <c r="P38" i="32"/>
  <c r="AX38" i="32" s="1"/>
  <c r="T32" i="32"/>
  <c r="BB32" i="32" s="1"/>
  <c r="R27" i="32"/>
  <c r="AZ27" i="32" s="1"/>
  <c r="P22" i="32"/>
  <c r="AX22" i="32" s="1"/>
  <c r="T16" i="32"/>
  <c r="BB16" i="32" s="1"/>
  <c r="R11" i="32"/>
  <c r="AZ11" i="32" s="1"/>
  <c r="S36" i="32"/>
  <c r="BA36" i="32" s="1"/>
  <c r="Q31" i="32"/>
  <c r="AY31" i="32" s="1"/>
  <c r="U25" i="32"/>
  <c r="BC25" i="32" s="1"/>
  <c r="S20" i="32"/>
  <c r="BA20" i="32" s="1"/>
  <c r="Q15" i="32"/>
  <c r="AY15" i="32" s="1"/>
  <c r="U9" i="32"/>
  <c r="BC9" i="32" s="1"/>
  <c r="P36" i="32"/>
  <c r="AX36" i="32" s="1"/>
  <c r="T30" i="32"/>
  <c r="BB30" i="32" s="1"/>
  <c r="R25" i="32"/>
  <c r="AZ25" i="32" s="1"/>
  <c r="P20" i="32"/>
  <c r="AX20" i="32" s="1"/>
  <c r="T14" i="32"/>
  <c r="BB14" i="32" s="1"/>
  <c r="R9" i="32"/>
  <c r="AZ9" i="32" s="1"/>
  <c r="P37" i="32"/>
  <c r="AX37" i="32" s="1"/>
  <c r="R34" i="32"/>
  <c r="AZ34" i="32" s="1"/>
  <c r="T31" i="32"/>
  <c r="BB31" i="32" s="1"/>
  <c r="P29" i="32"/>
  <c r="AX29" i="32" s="1"/>
  <c r="R26" i="32"/>
  <c r="AZ26" i="32" s="1"/>
  <c r="T23" i="32"/>
  <c r="BB23" i="32" s="1"/>
  <c r="P21" i="32"/>
  <c r="AX21" i="32" s="1"/>
  <c r="R18" i="32"/>
  <c r="AZ18" i="32" s="1"/>
  <c r="T15" i="32"/>
  <c r="BB15" i="32" s="1"/>
  <c r="P13" i="32"/>
  <c r="AX13" i="32" s="1"/>
  <c r="R10" i="32"/>
  <c r="AZ10" i="32" s="1"/>
  <c r="U38" i="32"/>
  <c r="BC38" i="32" s="1"/>
  <c r="Q36" i="32"/>
  <c r="AY36" i="32" s="1"/>
  <c r="S33" i="32"/>
  <c r="BA33" i="32" s="1"/>
  <c r="U30" i="32"/>
  <c r="BC30" i="32" s="1"/>
  <c r="Q28" i="32"/>
  <c r="AY28" i="32" s="1"/>
  <c r="S25" i="32"/>
  <c r="BA25" i="32" s="1"/>
  <c r="U22" i="32"/>
  <c r="BC22" i="32" s="1"/>
  <c r="Q20" i="32"/>
  <c r="AY20" i="32" s="1"/>
  <c r="S17" i="32"/>
  <c r="BA17" i="32" s="1"/>
  <c r="U14" i="32"/>
  <c r="BC14" i="32" s="1"/>
  <c r="Q12" i="32"/>
  <c r="AY12" i="32" s="1"/>
  <c r="S9" i="32"/>
  <c r="BA9" i="32" s="1"/>
  <c r="AU13" i="32"/>
  <c r="AU12" i="32"/>
  <c r="AU20" i="32"/>
  <c r="AU9" i="32"/>
  <c r="AU14" i="32"/>
  <c r="AU17" i="32"/>
  <c r="AU19" i="32"/>
  <c r="AU15" i="32"/>
  <c r="AU18" i="32"/>
  <c r="AU11" i="32"/>
  <c r="AU10" i="32"/>
  <c r="AU16" i="32"/>
  <c r="AU8" i="32"/>
  <c r="T41" i="32" l="1"/>
  <c r="T3" i="32" s="1"/>
  <c r="U41" i="32"/>
  <c r="U3" i="32" s="1"/>
  <c r="S41" i="32"/>
  <c r="S3" i="32" s="1"/>
  <c r="R41" i="32"/>
  <c r="R3" i="32" s="1"/>
  <c r="P41" i="32"/>
  <c r="P3" i="32" s="1"/>
  <c r="Q41" i="32"/>
  <c r="Q3" i="32" s="1"/>
  <c r="BD36" i="32"/>
  <c r="BD37" i="32"/>
  <c r="BD28" i="32"/>
  <c r="BD29" i="32"/>
  <c r="BD35" i="32"/>
  <c r="BD9" i="32"/>
  <c r="BD21" i="32"/>
  <c r="BD19" i="32"/>
  <c r="BD11" i="32"/>
  <c r="BD18" i="32"/>
  <c r="BD16" i="32"/>
  <c r="BD17" i="32"/>
  <c r="BD30" i="32"/>
  <c r="BD31" i="32"/>
  <c r="BD14" i="32"/>
  <c r="BD23" i="32"/>
  <c r="BD20" i="32"/>
  <c r="BD38" i="32"/>
  <c r="BD27" i="32"/>
  <c r="BD32" i="32"/>
  <c r="BD33" i="32"/>
  <c r="BD15" i="32"/>
  <c r="BD26" i="32"/>
  <c r="BD12" i="32"/>
  <c r="BD13" i="32"/>
  <c r="BD22" i="32"/>
  <c r="BD34" i="32"/>
  <c r="BD24" i="32"/>
  <c r="BD25" i="32"/>
  <c r="BD10" i="32"/>
  <c r="D131" i="27"/>
  <c r="BC8" i="32"/>
  <c r="BB8" i="32"/>
  <c r="D64" i="27"/>
  <c r="D75" i="27"/>
  <c r="D73" i="27"/>
  <c r="BA8" i="32"/>
  <c r="D71" i="27"/>
  <c r="D68" i="27"/>
  <c r="D66" i="27"/>
  <c r="D87" i="27" l="1"/>
  <c r="D111" i="27"/>
  <c r="D142" i="27"/>
  <c r="D128" i="27"/>
  <c r="D114" i="27"/>
  <c r="D134" i="27"/>
  <c r="D107" i="27"/>
  <c r="D88" i="27"/>
  <c r="D159" i="27"/>
  <c r="D158" i="27"/>
  <c r="D135" i="27"/>
  <c r="D97" i="27"/>
  <c r="D136" i="27"/>
  <c r="D132" i="27"/>
  <c r="D90" i="27"/>
  <c r="D157" i="27"/>
  <c r="D82" i="27"/>
  <c r="D103" i="27"/>
  <c r="D83" i="27"/>
  <c r="D143" i="27"/>
  <c r="D99" i="27"/>
  <c r="D139" i="27"/>
  <c r="D113" i="27"/>
  <c r="D148" i="27"/>
  <c r="D126" i="27"/>
  <c r="D81" i="27"/>
  <c r="D156" i="27"/>
  <c r="D105" i="27"/>
  <c r="D154" i="27"/>
  <c r="D124" i="27"/>
  <c r="D151" i="27"/>
  <c r="D140" i="27"/>
  <c r="D150" i="27"/>
  <c r="D133" i="27"/>
  <c r="D141" i="27"/>
  <c r="D102" i="27"/>
  <c r="D95" i="27"/>
  <c r="D112" i="27"/>
  <c r="D144" i="27"/>
  <c r="D98" i="27"/>
  <c r="D78" i="27"/>
  <c r="D89" i="27"/>
  <c r="D96" i="27"/>
  <c r="D86" i="27"/>
  <c r="D115" i="27"/>
  <c r="D74" i="27"/>
  <c r="D79" i="27"/>
  <c r="D119" i="27"/>
  <c r="D72" i="27"/>
  <c r="D104" i="27"/>
  <c r="D67" i="27"/>
  <c r="D147" i="27"/>
  <c r="D106" i="27"/>
  <c r="D125" i="27"/>
  <c r="V19" i="32"/>
  <c r="D120" i="27"/>
  <c r="D110" i="27"/>
  <c r="AY8" i="32"/>
  <c r="D65" i="27"/>
  <c r="D123" i="27"/>
  <c r="V9" i="32"/>
  <c r="D80" i="27"/>
  <c r="D94" i="27"/>
  <c r="V18" i="32"/>
  <c r="V10" i="32"/>
  <c r="D91" i="27"/>
  <c r="V16" i="32"/>
  <c r="D127" i="27"/>
  <c r="V13" i="32"/>
  <c r="V15" i="32"/>
  <c r="V17" i="32"/>
  <c r="D149" i="27"/>
  <c r="AX8" i="32"/>
  <c r="V12" i="32"/>
  <c r="V14" i="32"/>
  <c r="D155" i="27"/>
  <c r="V20" i="32"/>
  <c r="V8" i="32"/>
  <c r="AZ8" i="32"/>
  <c r="D118" i="27"/>
  <c r="V11" i="32"/>
  <c r="Y2" i="33" l="1"/>
  <c r="V22" i="32" l="1"/>
  <c r="V23" i="32"/>
  <c r="U4" i="32"/>
  <c r="T4" i="32"/>
  <c r="Q4" i="32"/>
  <c r="V24" i="32"/>
  <c r="V25" i="32"/>
  <c r="S4" i="32"/>
  <c r="R4" i="32"/>
  <c r="V21" i="32"/>
  <c r="V26" i="32"/>
  <c r="P4" i="32" l="1"/>
  <c r="V3" i="32"/>
  <c r="V4" i="32" s="1"/>
  <c r="V32" i="32" l="1"/>
  <c r="V29" i="32"/>
  <c r="V27" i="32"/>
  <c r="V30" i="32"/>
  <c r="V28" i="32"/>
  <c r="V31" i="32"/>
  <c r="D108" i="27" l="1"/>
  <c r="V35" i="32" l="1"/>
  <c r="V34" i="32"/>
  <c r="V33" i="32"/>
  <c r="V37" i="32"/>
  <c r="V38" i="32"/>
  <c r="V36" i="32"/>
  <c r="Z19" i="32"/>
  <c r="F18" i="13"/>
  <c r="K15" i="33" l="1"/>
  <c r="L15" i="33" s="1"/>
  <c r="V41" i="32"/>
  <c r="BD8" i="32"/>
  <c r="F28" i="13"/>
  <c r="L35" i="33" l="1"/>
  <c r="K35" i="33"/>
  <c r="AF8" i="33" a="1"/>
  <c r="F275" i="27"/>
  <c r="F276" i="27"/>
  <c r="K3" i="33"/>
  <c r="BG19" i="33"/>
  <c r="F255" i="27"/>
  <c r="F254" i="27"/>
  <c r="F53" i="13"/>
  <c r="F54" i="13" s="1"/>
  <c r="G3" i="33"/>
  <c r="K2" i="33" s="1"/>
  <c r="L3" i="33" l="1"/>
  <c r="AA15" i="33"/>
  <c r="AC15" i="33" s="1"/>
  <c r="AF8" i="33"/>
  <c r="AM8" i="33"/>
  <c r="AL9" i="33"/>
  <c r="AK10" i="33"/>
  <c r="AJ11" i="33"/>
  <c r="AI12" i="33"/>
  <c r="AH13" i="33"/>
  <c r="AP17" i="13" s="1"/>
  <c r="AG14" i="33"/>
  <c r="AF15" i="33"/>
  <c r="AN15" i="33"/>
  <c r="AM16" i="33"/>
  <c r="AL17" i="33"/>
  <c r="AK18" i="33"/>
  <c r="AJ19" i="33"/>
  <c r="AI20" i="33"/>
  <c r="AF21" i="33"/>
  <c r="AK21" i="33"/>
  <c r="AG22" i="33"/>
  <c r="AM22" i="33"/>
  <c r="AI23" i="33"/>
  <c r="AN23" i="33"/>
  <c r="AK24" i="33"/>
  <c r="AG25" i="33"/>
  <c r="AL25" i="33"/>
  <c r="AI26" i="33"/>
  <c r="AN26" i="33"/>
  <c r="AJ27" i="33"/>
  <c r="AG28" i="33"/>
  <c r="AL28" i="33"/>
  <c r="AH29" i="33"/>
  <c r="AN29" i="33"/>
  <c r="AJ30" i="33"/>
  <c r="AF31" i="33"/>
  <c r="AL31" i="33"/>
  <c r="AH32" i="33"/>
  <c r="AM32" i="33"/>
  <c r="AH8" i="33"/>
  <c r="AG9" i="33"/>
  <c r="AF10" i="33"/>
  <c r="AN10" i="33"/>
  <c r="AM11" i="33"/>
  <c r="AL12" i="33"/>
  <c r="AK13" i="33"/>
  <c r="AJ14" i="33"/>
  <c r="AI15" i="33"/>
  <c r="AH16" i="33"/>
  <c r="AG17" i="33"/>
  <c r="AF18" i="33"/>
  <c r="AN18" i="33"/>
  <c r="AM19" i="33"/>
  <c r="AK20" i="33"/>
  <c r="AG21" i="33"/>
  <c r="AL21" i="33"/>
  <c r="AI22" i="33"/>
  <c r="AN22" i="33"/>
  <c r="AJ23" i="33"/>
  <c r="AG24" i="33"/>
  <c r="AL24" i="33"/>
  <c r="AH25" i="33"/>
  <c r="AN25" i="33"/>
  <c r="AJ26" i="33"/>
  <c r="AF27" i="33"/>
  <c r="AL27" i="33"/>
  <c r="AH28" i="33"/>
  <c r="AM28" i="33"/>
  <c r="AJ29" i="33"/>
  <c r="AF30" i="33"/>
  <c r="AK30" i="33"/>
  <c r="AH31" i="33"/>
  <c r="AM31" i="33"/>
  <c r="AI32" i="33"/>
  <c r="AI8" i="33"/>
  <c r="AH9" i="33"/>
  <c r="AP11" i="13" s="1"/>
  <c r="AG10" i="33"/>
  <c r="AF11" i="33"/>
  <c r="AN11" i="33"/>
  <c r="AM12" i="33"/>
  <c r="AL13" i="33"/>
  <c r="AK14" i="33"/>
  <c r="AJ15" i="33"/>
  <c r="AI16" i="33"/>
  <c r="AH17" i="33"/>
  <c r="AG18" i="33"/>
  <c r="AF19" i="33"/>
  <c r="AN19" i="33"/>
  <c r="AL8" i="33"/>
  <c r="AH12" i="33"/>
  <c r="AP14" i="13" s="1"/>
  <c r="AM15" i="33"/>
  <c r="AI19" i="33"/>
  <c r="AH21" i="33"/>
  <c r="AJ22" i="33"/>
  <c r="AL23" i="33"/>
  <c r="AM24" i="33"/>
  <c r="AF26" i="33"/>
  <c r="AH27" i="33"/>
  <c r="AI28" i="33"/>
  <c r="AK29" i="33"/>
  <c r="AM30" i="33"/>
  <c r="AN31" i="33"/>
  <c r="AK9" i="33"/>
  <c r="AG13" i="33"/>
  <c r="AL16" i="33"/>
  <c r="AH20" i="33"/>
  <c r="AJ21" i="33"/>
  <c r="AK22" i="33"/>
  <c r="AM23" i="33"/>
  <c r="AF25" i="33"/>
  <c r="AG26" i="33"/>
  <c r="AI27" i="33"/>
  <c r="AK28" i="33"/>
  <c r="AL29" i="33"/>
  <c r="AN30" i="33"/>
  <c r="AG32" i="33"/>
  <c r="AJ10" i="33"/>
  <c r="AF14" i="33"/>
  <c r="AK17" i="33"/>
  <c r="AL20" i="33"/>
  <c r="AN21" i="33"/>
  <c r="AF23" i="33"/>
  <c r="AH24" i="33"/>
  <c r="AJ25" i="33"/>
  <c r="AK26" i="33"/>
  <c r="AM27" i="33"/>
  <c r="AF29" i="33"/>
  <c r="AG30" i="33"/>
  <c r="AI31" i="33"/>
  <c r="AK32" i="33"/>
  <c r="AI11" i="33"/>
  <c r="AN14" i="33"/>
  <c r="AJ18" i="33"/>
  <c r="AM20" i="33"/>
  <c r="AF22" i="33"/>
  <c r="AH23" i="33"/>
  <c r="AI24" i="33"/>
  <c r="AK25" i="33"/>
  <c r="AM26" i="33"/>
  <c r="AN27" i="33"/>
  <c r="AG29" i="33"/>
  <c r="AI30" i="33"/>
  <c r="AJ31" i="33"/>
  <c r="AL32" i="33"/>
  <c r="AG20" i="33"/>
  <c r="AI18" i="33"/>
  <c r="AK16" i="33"/>
  <c r="AM14" i="33"/>
  <c r="AF13" i="33"/>
  <c r="AH11" i="33"/>
  <c r="AJ9" i="33"/>
  <c r="AN32" i="33"/>
  <c r="AG31" i="33"/>
  <c r="AI29" i="33"/>
  <c r="AK27" i="33"/>
  <c r="AM25" i="33"/>
  <c r="AF24" i="33"/>
  <c r="AH22" i="33"/>
  <c r="AJ20" i="33"/>
  <c r="AL18" i="33"/>
  <c r="AN16" i="33"/>
  <c r="AG15" i="33"/>
  <c r="AI13" i="33"/>
  <c r="AK11" i="33"/>
  <c r="AM9" i="33"/>
  <c r="AL19" i="33"/>
  <c r="AN17" i="33"/>
  <c r="AG16" i="33"/>
  <c r="AI14" i="33"/>
  <c r="AK12" i="33"/>
  <c r="AM10" i="33"/>
  <c r="AF9" i="33"/>
  <c r="AJ32" i="33"/>
  <c r="AL30" i="33"/>
  <c r="AN28" i="33"/>
  <c r="AG27" i="33"/>
  <c r="AI25" i="33"/>
  <c r="AK23" i="33"/>
  <c r="AM21" i="33"/>
  <c r="AF20" i="33"/>
  <c r="AH18" i="33"/>
  <c r="AJ16" i="33"/>
  <c r="AL14" i="33"/>
  <c r="AN12" i="33"/>
  <c r="AG11" i="33"/>
  <c r="AI9" i="33"/>
  <c r="AH19" i="33"/>
  <c r="AJ17" i="33"/>
  <c r="AL15" i="33"/>
  <c r="AN13" i="33"/>
  <c r="AG12" i="33"/>
  <c r="AI10" i="33"/>
  <c r="AK8" i="33"/>
  <c r="AF32" i="33"/>
  <c r="AH30" i="33"/>
  <c r="AJ28" i="33"/>
  <c r="AL26" i="33"/>
  <c r="AN24" i="33"/>
  <c r="AG23" i="33"/>
  <c r="AI21" i="33"/>
  <c r="AK19" i="33"/>
  <c r="AM17" i="33"/>
  <c r="AF16" i="33"/>
  <c r="AH14" i="33"/>
  <c r="AJ12" i="33"/>
  <c r="AL10" i="33"/>
  <c r="AN8" i="33"/>
  <c r="AM18" i="33"/>
  <c r="AF17" i="33"/>
  <c r="AH15" i="33"/>
  <c r="AJ13" i="33"/>
  <c r="AL11" i="33"/>
  <c r="AN9" i="33"/>
  <c r="AG8" i="33"/>
  <c r="AK31" i="33"/>
  <c r="AM29" i="33"/>
  <c r="AF28" i="33"/>
  <c r="AH26" i="33"/>
  <c r="AJ24" i="33"/>
  <c r="AL22" i="33"/>
  <c r="AN20" i="33"/>
  <c r="AG19" i="33"/>
  <c r="AI17" i="33"/>
  <c r="AK15" i="33"/>
  <c r="AM13" i="33"/>
  <c r="AF12" i="33"/>
  <c r="AH10" i="33"/>
  <c r="AJ8" i="33"/>
  <c r="BG15" i="33"/>
  <c r="D275" i="27"/>
  <c r="D254" i="27"/>
  <c r="G4" i="33"/>
  <c r="AP20" i="33" l="1"/>
  <c r="AP22" i="33"/>
  <c r="AP32" i="33"/>
  <c r="AP14" i="33"/>
  <c r="AP10" i="33"/>
  <c r="AP19" i="33"/>
  <c r="AP29" i="33"/>
  <c r="AP13" i="33"/>
  <c r="AP28" i="33"/>
  <c r="AP24" i="33"/>
  <c r="AO31" i="33"/>
  <c r="AP31" i="33"/>
  <c r="AO26" i="33"/>
  <c r="AO30" i="33"/>
  <c r="AO27" i="33"/>
  <c r="AP27" i="33"/>
  <c r="AO29" i="33"/>
  <c r="AP25" i="33"/>
  <c r="AP23" i="33"/>
  <c r="AP26" i="33"/>
  <c r="AO28" i="33"/>
  <c r="AP18" i="33"/>
  <c r="AP17" i="33"/>
  <c r="AP21" i="33"/>
  <c r="AO24" i="33"/>
  <c r="AO25" i="33"/>
  <c r="AO32" i="33"/>
  <c r="AP12" i="33"/>
  <c r="AP30" i="33"/>
  <c r="AP11" i="33"/>
  <c r="AP15" i="33"/>
  <c r="AP9" i="33"/>
  <c r="AP16" i="33"/>
  <c r="AP21" i="13"/>
  <c r="AS19" i="13" s="1"/>
  <c r="AO11" i="33"/>
  <c r="AO23" i="33"/>
  <c r="AO14" i="33"/>
  <c r="AO13" i="33"/>
  <c r="AO20" i="33"/>
  <c r="AO9" i="33"/>
  <c r="AO19" i="33"/>
  <c r="AO18" i="33"/>
  <c r="AO10" i="33"/>
  <c r="AO15" i="33"/>
  <c r="AO22" i="33"/>
  <c r="AO16" i="33"/>
  <c r="AO8" i="33"/>
  <c r="AP8" i="33"/>
  <c r="AC19" i="33"/>
  <c r="AO17" i="33"/>
  <c r="AO21" i="33"/>
  <c r="AO12" i="33"/>
  <c r="P42" i="33" l="1" a="1"/>
  <c r="X45" i="33" s="1"/>
  <c r="AT19" i="13"/>
  <c r="AU19" i="13" s="1"/>
  <c r="AV19" i="13" s="1"/>
  <c r="AT12" i="13"/>
  <c r="AT17" i="13"/>
  <c r="AR18" i="13"/>
  <c r="AR14" i="13"/>
  <c r="AS15" i="13"/>
  <c r="AS16" i="13"/>
  <c r="AT16" i="13"/>
  <c r="AT14" i="13"/>
  <c r="AR15" i="13"/>
  <c r="AR17" i="13"/>
  <c r="AS12" i="13"/>
  <c r="AS17" i="13"/>
  <c r="AS11" i="13"/>
  <c r="AT20" i="13"/>
  <c r="AR13" i="13"/>
  <c r="AR11" i="13"/>
  <c r="AS14" i="13"/>
  <c r="AT13" i="13"/>
  <c r="AR12" i="13"/>
  <c r="AS20" i="13"/>
  <c r="AS18" i="13"/>
  <c r="AT18" i="13"/>
  <c r="AR20" i="13"/>
  <c r="AS13" i="13"/>
  <c r="AT15" i="13"/>
  <c r="AT11" i="13"/>
  <c r="AR16" i="13"/>
  <c r="AR19" i="13"/>
  <c r="R64" i="33" l="1"/>
  <c r="W42" i="33"/>
  <c r="P55" i="33"/>
  <c r="P60" i="33"/>
  <c r="W56" i="33"/>
  <c r="Q65" i="33"/>
  <c r="U49" i="33"/>
  <c r="W45" i="33"/>
  <c r="V45" i="33"/>
  <c r="W44" i="33"/>
  <c r="P47" i="33"/>
  <c r="V60" i="33"/>
  <c r="U45" i="33"/>
  <c r="P57" i="33"/>
  <c r="T60" i="33"/>
  <c r="V62" i="33"/>
  <c r="S55" i="33"/>
  <c r="U54" i="33"/>
  <c r="V53" i="33"/>
  <c r="V57" i="33"/>
  <c r="W57" i="33"/>
  <c r="T66" i="33"/>
  <c r="U52" i="33"/>
  <c r="U55" i="33"/>
  <c r="X57" i="33"/>
  <c r="V50" i="33"/>
  <c r="T63" i="33"/>
  <c r="S64" i="33"/>
  <c r="U66" i="33"/>
  <c r="S54" i="33"/>
  <c r="X62" i="33"/>
  <c r="R46" i="33"/>
  <c r="Q49" i="33"/>
  <c r="Q52" i="33"/>
  <c r="Q42" i="33"/>
  <c r="Q44" i="33"/>
  <c r="T46" i="33"/>
  <c r="X48" i="33"/>
  <c r="R51" i="33"/>
  <c r="U53" i="33"/>
  <c r="P56" i="33"/>
  <c r="S43" i="33"/>
  <c r="V46" i="33"/>
  <c r="W49" i="33"/>
  <c r="X52" i="33"/>
  <c r="Q56" i="33"/>
  <c r="T58" i="33"/>
  <c r="X60" i="33"/>
  <c r="R63" i="33"/>
  <c r="U65" i="33"/>
  <c r="V43" i="33"/>
  <c r="W46" i="33"/>
  <c r="X49" i="33"/>
  <c r="Q53" i="33"/>
  <c r="R56" i="33"/>
  <c r="V58" i="33"/>
  <c r="P61" i="33"/>
  <c r="S63" i="33"/>
  <c r="W65" i="33"/>
  <c r="W43" i="33"/>
  <c r="X46" i="33"/>
  <c r="R50" i="33"/>
  <c r="S53" i="33"/>
  <c r="T56" i="33"/>
  <c r="W58" i="33"/>
  <c r="Q61" i="33"/>
  <c r="U63" i="33"/>
  <c r="X65" i="33"/>
  <c r="P44" i="33"/>
  <c r="R47" i="33"/>
  <c r="S50" i="33"/>
  <c r="T53" i="33"/>
  <c r="U56" i="33"/>
  <c r="X58" i="33"/>
  <c r="S61" i="33"/>
  <c r="V63" i="33"/>
  <c r="P66" i="33"/>
  <c r="P63" i="33"/>
  <c r="X55" i="33"/>
  <c r="W48" i="33"/>
  <c r="X63" i="33"/>
  <c r="X47" i="33"/>
  <c r="U62" i="33"/>
  <c r="T55" i="33"/>
  <c r="S48" i="33"/>
  <c r="V65" i="33"/>
  <c r="T51" i="33"/>
  <c r="R65" i="33"/>
  <c r="Q58" i="33"/>
  <c r="P51" i="33"/>
  <c r="X43" i="33"/>
  <c r="S42" i="33"/>
  <c r="V44" i="33"/>
  <c r="Q47" i="33"/>
  <c r="T49" i="33"/>
  <c r="W51" i="33"/>
  <c r="R54" i="33"/>
  <c r="P42" i="33"/>
  <c r="R44" i="33"/>
  <c r="S47" i="33"/>
  <c r="T50" i="33"/>
  <c r="W53" i="33"/>
  <c r="V56" i="33"/>
  <c r="Q59" i="33"/>
  <c r="T61" i="33"/>
  <c r="W63" i="33"/>
  <c r="R66" i="33"/>
  <c r="T44" i="33"/>
  <c r="U47" i="33"/>
  <c r="W50" i="33"/>
  <c r="X53" i="33"/>
  <c r="X56" i="33"/>
  <c r="R59" i="33"/>
  <c r="U61" i="33"/>
  <c r="P64" i="33"/>
  <c r="S66" i="33"/>
  <c r="U44" i="33"/>
  <c r="W47" i="33"/>
  <c r="X50" i="33"/>
  <c r="T47" i="33"/>
  <c r="S56" i="33"/>
  <c r="U42" i="33"/>
  <c r="U58" i="33"/>
  <c r="U46" i="33"/>
  <c r="R57" i="33"/>
  <c r="Q66" i="33"/>
  <c r="S60" i="33"/>
  <c r="U50" i="33"/>
  <c r="T59" i="33"/>
  <c r="V66" i="33"/>
  <c r="Q63" i="33"/>
  <c r="Q60" i="33"/>
  <c r="Q57" i="33"/>
  <c r="V52" i="33"/>
  <c r="V48" i="33"/>
  <c r="X44" i="33"/>
  <c r="S65" i="33"/>
  <c r="S62" i="33"/>
  <c r="S59" i="33"/>
  <c r="V55" i="33"/>
  <c r="V51" i="33"/>
  <c r="T45" i="33"/>
  <c r="U64" i="33"/>
  <c r="W59" i="33"/>
  <c r="V54" i="33"/>
  <c r="T48" i="33"/>
  <c r="W66" i="33"/>
  <c r="P62" i="33"/>
  <c r="S57" i="33"/>
  <c r="S51" i="33"/>
  <c r="P45" i="33"/>
  <c r="W54" i="33"/>
  <c r="P50" i="33"/>
  <c r="S45" i="33"/>
  <c r="R49" i="33"/>
  <c r="X59" i="33"/>
  <c r="Q46" i="33"/>
  <c r="Q62" i="33"/>
  <c r="Q50" i="33"/>
  <c r="P59" i="33"/>
  <c r="S44" i="33"/>
  <c r="T43" i="33"/>
  <c r="S52" i="33"/>
  <c r="R61" i="33"/>
  <c r="T65" i="33"/>
  <c r="T62" i="33"/>
  <c r="U59" i="33"/>
  <c r="W55" i="33"/>
  <c r="P52" i="33"/>
  <c r="P48" i="33"/>
  <c r="R43" i="33"/>
  <c r="V64" i="33"/>
  <c r="W61" i="33"/>
  <c r="R58" i="33"/>
  <c r="X54" i="33"/>
  <c r="S49" i="33"/>
  <c r="Q43" i="33"/>
  <c r="W62" i="33"/>
  <c r="P58" i="33"/>
  <c r="R52" i="33"/>
  <c r="P46" i="33"/>
  <c r="P65" i="33"/>
  <c r="R60" i="33"/>
  <c r="R55" i="33"/>
  <c r="P49" i="33"/>
  <c r="T42" i="33"/>
  <c r="P53" i="33"/>
  <c r="R48" i="33"/>
  <c r="U43" i="33"/>
  <c r="W52" i="33"/>
  <c r="V61" i="33"/>
  <c r="V49" i="33"/>
  <c r="P43" i="33"/>
  <c r="X51" i="33"/>
  <c r="W60" i="33"/>
  <c r="R53" i="33"/>
  <c r="R45" i="33"/>
  <c r="Q54" i="33"/>
  <c r="W64" i="33"/>
  <c r="X64" i="33"/>
  <c r="X61" i="33"/>
  <c r="S58" i="33"/>
  <c r="Q55" i="33"/>
  <c r="Q51" i="33"/>
  <c r="S46" i="33"/>
  <c r="R42" i="33"/>
  <c r="Q64" i="33"/>
  <c r="U60" i="33"/>
  <c r="U57" i="33"/>
  <c r="P54" i="33"/>
  <c r="U48" i="33"/>
  <c r="X66" i="33"/>
  <c r="R62" i="33"/>
  <c r="T57" i="33"/>
  <c r="U51" i="33"/>
  <c r="Q45" i="33"/>
  <c r="T64" i="33"/>
  <c r="V59" i="33"/>
  <c r="T54" i="33"/>
  <c r="Q48" i="33"/>
  <c r="V42" i="33"/>
  <c r="T52" i="33"/>
  <c r="V47" i="33"/>
  <c r="X42" i="33"/>
  <c r="AU12" i="13"/>
  <c r="AV12" i="13" s="1"/>
  <c r="AU18" i="13"/>
  <c r="AV18" i="13" s="1"/>
  <c r="AU14" i="13"/>
  <c r="AV14" i="13" s="1"/>
  <c r="AU20" i="13"/>
  <c r="AV20" i="13" s="1"/>
  <c r="AU17" i="13"/>
  <c r="AV17" i="13" s="1"/>
  <c r="AU13" i="13"/>
  <c r="AV13" i="13" s="1"/>
  <c r="AR21" i="13"/>
  <c r="AS21" i="13"/>
  <c r="AU11" i="13"/>
  <c r="AU15" i="13"/>
  <c r="AV15" i="13" s="1"/>
  <c r="AT21" i="13"/>
  <c r="AU16" i="13"/>
  <c r="AV16" i="13" s="1"/>
  <c r="P68" i="33" l="1"/>
  <c r="Z42" i="33"/>
  <c r="Z65" i="33"/>
  <c r="Z43" i="33"/>
  <c r="Z53" i="33"/>
  <c r="Z49" i="33"/>
  <c r="Z54" i="33"/>
  <c r="Z48" i="33"/>
  <c r="Z59" i="33"/>
  <c r="Z62" i="33"/>
  <c r="Z51" i="33"/>
  <c r="Z63" i="33"/>
  <c r="Z57" i="33"/>
  <c r="Z60" i="33"/>
  <c r="Z46" i="33"/>
  <c r="Z58" i="33"/>
  <c r="Z52" i="33"/>
  <c r="Z50" i="33"/>
  <c r="Z45" i="33"/>
  <c r="Z64" i="33"/>
  <c r="Z66" i="33"/>
  <c r="Z44" i="33"/>
  <c r="Z61" i="33"/>
  <c r="Z56" i="33"/>
  <c r="Z47" i="33"/>
  <c r="Z55" i="33"/>
  <c r="X68" i="33"/>
  <c r="Y63" i="33"/>
  <c r="V68" i="33"/>
  <c r="Y59" i="33"/>
  <c r="Y66" i="33"/>
  <c r="Y61" i="33"/>
  <c r="W68" i="33"/>
  <c r="Y60" i="33"/>
  <c r="Y58" i="33"/>
  <c r="Y62" i="33"/>
  <c r="S68" i="33"/>
  <c r="Q68" i="33"/>
  <c r="R68" i="33"/>
  <c r="T68" i="33"/>
  <c r="U68" i="33"/>
  <c r="Y64" i="33"/>
  <c r="Y65" i="33"/>
  <c r="Y51" i="33"/>
  <c r="Y50" i="33"/>
  <c r="Y43" i="33"/>
  <c r="Y55" i="33"/>
  <c r="Y44" i="33"/>
  <c r="Y45" i="33"/>
  <c r="Y48" i="33"/>
  <c r="Y47" i="33"/>
  <c r="Y49" i="33"/>
  <c r="Y46" i="33"/>
  <c r="Y54" i="33"/>
  <c r="Y53" i="33"/>
  <c r="Y56" i="33"/>
  <c r="Y57" i="33"/>
  <c r="Y52" i="33"/>
  <c r="Y42" i="33"/>
  <c r="AU21" i="13"/>
  <c r="AV11" i="13"/>
  <c r="AV21" i="13" s="1"/>
  <c r="Z68" i="33" l="1" a="1"/>
  <c r="Z68" i="33" s="1"/>
  <c r="AU42" i="33" s="1" a="1"/>
  <c r="Y68" i="33"/>
  <c r="BQ20" i="33"/>
  <c r="BQ21" i="33"/>
  <c r="BQ22" i="33"/>
  <c r="BQ23" i="33"/>
  <c r="AE2" i="37"/>
  <c r="AU42" i="33" l="1"/>
  <c r="BB42" i="33"/>
  <c r="BA43" i="33"/>
  <c r="AZ44" i="33"/>
  <c r="AY45" i="33"/>
  <c r="AX46" i="33"/>
  <c r="AW47" i="33"/>
  <c r="AV48" i="33"/>
  <c r="AU49" i="33"/>
  <c r="BC49" i="33"/>
  <c r="BB50" i="33"/>
  <c r="BA51" i="33"/>
  <c r="AZ52" i="33"/>
  <c r="AY53" i="33"/>
  <c r="AX54" i="33"/>
  <c r="AU55" i="33"/>
  <c r="AZ55" i="33"/>
  <c r="AV56" i="33"/>
  <c r="BB56" i="33"/>
  <c r="AX57" i="33"/>
  <c r="BC57" i="33"/>
  <c r="AZ58" i="33"/>
  <c r="AV59" i="33"/>
  <c r="BA59" i="33"/>
  <c r="AX60" i="33"/>
  <c r="BC60" i="33"/>
  <c r="AY61" i="33"/>
  <c r="AV62" i="33"/>
  <c r="BA62" i="33"/>
  <c r="AW63" i="33"/>
  <c r="BC63" i="33"/>
  <c r="AY64" i="33"/>
  <c r="AU65" i="33"/>
  <c r="BA65" i="33"/>
  <c r="AW66" i="33"/>
  <c r="BB66" i="33"/>
  <c r="AW42" i="33"/>
  <c r="AV43" i="33"/>
  <c r="AU44" i="33"/>
  <c r="BC44" i="33"/>
  <c r="BB45" i="33"/>
  <c r="BA46" i="33"/>
  <c r="AZ47" i="33"/>
  <c r="AY48" i="33"/>
  <c r="AX49" i="33"/>
  <c r="AW50" i="33"/>
  <c r="AV51" i="33"/>
  <c r="AU52" i="33"/>
  <c r="BC52" i="33"/>
  <c r="BB53" i="33"/>
  <c r="AZ54" i="33"/>
  <c r="AV55" i="33"/>
  <c r="BA55" i="33"/>
  <c r="AX56" i="33"/>
  <c r="BC56" i="33"/>
  <c r="AY57" i="33"/>
  <c r="AV58" i="33"/>
  <c r="BA58" i="33"/>
  <c r="AW59" i="33"/>
  <c r="BC59" i="33"/>
  <c r="AY60" i="33"/>
  <c r="AU61" i="33"/>
  <c r="BA61" i="33"/>
  <c r="AW62" i="33"/>
  <c r="BB62" i="33"/>
  <c r="AY63" i="33"/>
  <c r="AU64" i="33"/>
  <c r="AZ64" i="33"/>
  <c r="AW65" i="33"/>
  <c r="BB65" i="33"/>
  <c r="AX66" i="33"/>
  <c r="AX42" i="33"/>
  <c r="AW43" i="33"/>
  <c r="AV44" i="33"/>
  <c r="AU45" i="33"/>
  <c r="BC45" i="33"/>
  <c r="BB46" i="33"/>
  <c r="BA47" i="33"/>
  <c r="AZ48" i="33"/>
  <c r="AY49" i="33"/>
  <c r="AX50" i="33"/>
  <c r="AW51" i="33"/>
  <c r="AV52" i="33"/>
  <c r="AU53" i="33"/>
  <c r="BC53" i="33"/>
  <c r="BA42" i="33"/>
  <c r="AW46" i="33"/>
  <c r="BB49" i="33"/>
  <c r="AX53" i="33"/>
  <c r="AW55" i="33"/>
  <c r="AY56" i="33"/>
  <c r="BA57" i="33"/>
  <c r="BB58" i="33"/>
  <c r="AU60" i="33"/>
  <c r="AW61" i="33"/>
  <c r="AX62" i="33"/>
  <c r="AZ63" i="33"/>
  <c r="BB64" i="33"/>
  <c r="BC65" i="33"/>
  <c r="AX64" i="33"/>
  <c r="BA66" i="33"/>
  <c r="AZ43" i="33"/>
  <c r="AV47" i="33"/>
  <c r="BA50" i="33"/>
  <c r="AW54" i="33"/>
  <c r="AY55" i="33"/>
  <c r="AZ56" i="33"/>
  <c r="BB57" i="33"/>
  <c r="AU59" i="33"/>
  <c r="AV60" i="33"/>
  <c r="AX61" i="33"/>
  <c r="AZ62" i="33"/>
  <c r="BA63" i="33"/>
  <c r="BC64" i="33"/>
  <c r="AV66" i="33"/>
  <c r="AY44" i="33"/>
  <c r="AU48" i="33"/>
  <c r="AZ51" i="33"/>
  <c r="BA54" i="33"/>
  <c r="BC55" i="33"/>
  <c r="AU57" i="33"/>
  <c r="AW58" i="33"/>
  <c r="AY59" i="33"/>
  <c r="AZ60" i="33"/>
  <c r="BB61" i="33"/>
  <c r="AU63" i="33"/>
  <c r="AV64" i="33"/>
  <c r="AX65" i="33"/>
  <c r="AZ66" i="33"/>
  <c r="AX45" i="33"/>
  <c r="BC48" i="33"/>
  <c r="AY52" i="33"/>
  <c r="BB54" i="33"/>
  <c r="AU56" i="33"/>
  <c r="AW57" i="33"/>
  <c r="AX58" i="33"/>
  <c r="AZ59" i="33"/>
  <c r="BB60" i="33"/>
  <c r="BC61" i="33"/>
  <c r="AV63" i="33"/>
  <c r="AY65" i="33"/>
  <c r="BA53" i="33"/>
  <c r="BC51" i="33"/>
  <c r="AV50" i="33"/>
  <c r="AX48" i="33"/>
  <c r="AZ46" i="33"/>
  <c r="BB44" i="33"/>
  <c r="AU43" i="33"/>
  <c r="AY66" i="33"/>
  <c r="BA64" i="33"/>
  <c r="BC62" i="33"/>
  <c r="AV61" i="33"/>
  <c r="AX59" i="33"/>
  <c r="AZ57" i="33"/>
  <c r="BB55" i="33"/>
  <c r="AU54" i="33"/>
  <c r="AW52" i="33"/>
  <c r="AY50" i="33"/>
  <c r="BA48" i="33"/>
  <c r="BC46" i="33"/>
  <c r="AV45" i="33"/>
  <c r="AX43" i="33"/>
  <c r="AW53" i="33"/>
  <c r="AY51" i="33"/>
  <c r="BA49" i="33"/>
  <c r="BC47" i="33"/>
  <c r="AV46" i="33"/>
  <c r="AX44" i="33"/>
  <c r="AZ42" i="33"/>
  <c r="AU66" i="33"/>
  <c r="AW64" i="33"/>
  <c r="AY62" i="33"/>
  <c r="BA60" i="33"/>
  <c r="BC58" i="33"/>
  <c r="AV57" i="33"/>
  <c r="AX55" i="33"/>
  <c r="AZ53" i="33"/>
  <c r="BB51" i="33"/>
  <c r="AU50" i="33"/>
  <c r="AW48" i="33"/>
  <c r="AY46" i="33"/>
  <c r="BA44" i="33"/>
  <c r="BC42" i="33"/>
  <c r="BB52" i="33"/>
  <c r="AU51" i="33"/>
  <c r="AW49" i="33"/>
  <c r="AY47" i="33"/>
  <c r="BA45" i="33"/>
  <c r="BC43" i="33"/>
  <c r="AV42" i="33"/>
  <c r="AZ65" i="33"/>
  <c r="BB63" i="33"/>
  <c r="AU62" i="33"/>
  <c r="AW60" i="33"/>
  <c r="AY58" i="33"/>
  <c r="BA56" i="33"/>
  <c r="BC54" i="33"/>
  <c r="AV53" i="33"/>
  <c r="AX51" i="33"/>
  <c r="AZ49" i="33"/>
  <c r="BB47" i="33"/>
  <c r="AU46" i="33"/>
  <c r="AW44" i="33"/>
  <c r="AY42" i="33"/>
  <c r="AV54" i="33"/>
  <c r="AX52" i="33"/>
  <c r="AZ50" i="33"/>
  <c r="BB48" i="33"/>
  <c r="AU47" i="33"/>
  <c r="AW45" i="33"/>
  <c r="AY43" i="33"/>
  <c r="BC66" i="33"/>
  <c r="AV65" i="33"/>
  <c r="AX63" i="33"/>
  <c r="AZ61" i="33"/>
  <c r="BB59" i="33"/>
  <c r="AU58" i="33"/>
  <c r="AW56" i="33"/>
  <c r="AY54" i="33"/>
  <c r="BA52" i="33"/>
  <c r="BC50" i="33"/>
  <c r="AV49" i="33"/>
  <c r="AX47" i="33"/>
  <c r="AZ45" i="33"/>
  <c r="BB43" i="33"/>
  <c r="BN14" i="33"/>
  <c r="BQ12" i="33"/>
  <c r="BQ8" i="33"/>
  <c r="BD58" i="33" l="1"/>
  <c r="BD62" i="33"/>
  <c r="BD47" i="33"/>
  <c r="BD51" i="33"/>
  <c r="BD50" i="33"/>
  <c r="BD57" i="33"/>
  <c r="BD48" i="33"/>
  <c r="BD59" i="33"/>
  <c r="BD45" i="33"/>
  <c r="BD64" i="33"/>
  <c r="BD44" i="33"/>
  <c r="BD65" i="33"/>
  <c r="BD49" i="33"/>
  <c r="BD42" i="33"/>
  <c r="BD46" i="33"/>
  <c r="BD66" i="33"/>
  <c r="BD54" i="33"/>
  <c r="BD43" i="33"/>
  <c r="BD56" i="33"/>
  <c r="BD63" i="33"/>
  <c r="BD60" i="33"/>
  <c r="BD53" i="33"/>
  <c r="BD61" i="33"/>
  <c r="BD52" i="33"/>
  <c r="BD55" i="33"/>
  <c r="AU8" i="33" a="1"/>
  <c r="AZ9" i="33" s="1"/>
  <c r="AY68" i="33"/>
  <c r="BA68" i="33"/>
  <c r="AZ68" i="33"/>
  <c r="BC68" i="33"/>
  <c r="AW68" i="33"/>
  <c r="AV68" i="33"/>
  <c r="BB68" i="33"/>
  <c r="AX68" i="33"/>
  <c r="AU68" i="33"/>
  <c r="BD68" i="33" l="1"/>
  <c r="AW25" i="33"/>
  <c r="BC8" i="33"/>
  <c r="AZ32" i="33"/>
  <c r="AW28" i="33"/>
  <c r="AX17" i="33"/>
  <c r="AV11" i="33"/>
  <c r="BA30" i="33"/>
  <c r="AY10" i="33"/>
  <c r="AU20" i="33"/>
  <c r="BC17" i="33"/>
  <c r="BB14" i="33"/>
  <c r="AY28" i="33"/>
  <c r="AZ18" i="33"/>
  <c r="BC13" i="33"/>
  <c r="AU28" i="33"/>
  <c r="AY21" i="33"/>
  <c r="AY17" i="33"/>
  <c r="AU23" i="33"/>
  <c r="BA17" i="33"/>
  <c r="AZ17" i="33"/>
  <c r="AX11" i="33"/>
  <c r="AV14" i="33"/>
  <c r="AW16" i="33"/>
  <c r="AV27" i="33"/>
  <c r="AX9" i="33"/>
  <c r="AW21" i="33"/>
  <c r="BA27" i="33"/>
  <c r="AU13" i="33"/>
  <c r="BB11" i="33"/>
  <c r="AW11" i="33"/>
  <c r="AX29" i="33"/>
  <c r="BC23" i="33"/>
  <c r="AX10" i="33"/>
  <c r="AW20" i="33"/>
  <c r="BA26" i="33"/>
  <c r="AZ16" i="33"/>
  <c r="BA12" i="33"/>
  <c r="AW18" i="33"/>
  <c r="AZ12" i="33"/>
  <c r="BA25" i="33"/>
  <c r="AV12" i="33"/>
  <c r="AU15" i="33"/>
  <c r="AU9" i="33"/>
  <c r="AW26" i="33"/>
  <c r="AU29" i="33"/>
  <c r="AW19" i="33"/>
  <c r="BA21" i="33"/>
  <c r="BC28" i="33"/>
  <c r="AZ25" i="33"/>
  <c r="AY13" i="33"/>
  <c r="BC9" i="33"/>
  <c r="BC12" i="33"/>
  <c r="AY26" i="33"/>
  <c r="AU11" i="33"/>
  <c r="BC16" i="33"/>
  <c r="AX18" i="33"/>
  <c r="AU10" i="33"/>
  <c r="BC22" i="33"/>
  <c r="AV19" i="33"/>
  <c r="AU8" i="33"/>
  <c r="AV24" i="33"/>
  <c r="AU27" i="33"/>
  <c r="BA22" i="33"/>
  <c r="AZ31" i="33"/>
  <c r="BC20" i="33"/>
  <c r="AY18" i="33"/>
  <c r="AW23" i="33"/>
  <c r="AV17" i="33"/>
  <c r="BB13" i="33"/>
  <c r="AZ26" i="33"/>
  <c r="AY19" i="33"/>
  <c r="AV28" i="33"/>
  <c r="AV29" i="33"/>
  <c r="AX8" i="33"/>
  <c r="AZ20" i="33"/>
  <c r="AV22" i="33"/>
  <c r="BC19" i="33"/>
  <c r="AX21" i="33"/>
  <c r="AW15" i="33"/>
  <c r="AX19" i="33"/>
  <c r="BB26" i="33"/>
  <c r="BB12" i="33"/>
  <c r="AV15" i="33"/>
  <c r="BA11" i="33"/>
  <c r="AU16" i="33"/>
  <c r="AU22" i="33"/>
  <c r="AX28" i="33"/>
  <c r="BB21" i="33"/>
  <c r="BA28" i="33"/>
  <c r="BA18" i="33"/>
  <c r="AV26" i="33"/>
  <c r="AX15" i="33"/>
  <c r="BC18" i="33"/>
  <c r="AX12" i="33"/>
  <c r="BA14" i="33"/>
  <c r="AU26" i="33"/>
  <c r="AX27" i="33"/>
  <c r="AY24" i="33"/>
  <c r="BA24" i="33"/>
  <c r="AU19" i="33"/>
  <c r="AY22" i="33"/>
  <c r="AY23" i="33"/>
  <c r="BB18" i="33"/>
  <c r="AX32" i="33"/>
  <c r="AW14" i="33"/>
  <c r="BC29" i="33"/>
  <c r="BB22" i="33"/>
  <c r="AW9" i="33"/>
  <c r="AX24" i="33"/>
  <c r="AY12" i="33"/>
  <c r="AW22" i="33"/>
  <c r="AV8" i="33"/>
  <c r="BB19" i="33"/>
  <c r="BA16" i="33"/>
  <c r="BC31" i="33"/>
  <c r="AZ24" i="33"/>
  <c r="AW30" i="33"/>
  <c r="BC25" i="33"/>
  <c r="AZ14" i="33"/>
  <c r="AU18" i="33"/>
  <c r="AV23" i="33"/>
  <c r="BC30" i="33"/>
  <c r="AV16" i="33"/>
  <c r="AZ30" i="33"/>
  <c r="BC10" i="33"/>
  <c r="AZ27" i="33"/>
  <c r="AX26" i="33"/>
  <c r="BA8" i="33"/>
  <c r="BA23" i="33"/>
  <c r="BB9" i="33"/>
  <c r="BC21" i="33"/>
  <c r="AY8" i="33"/>
  <c r="AZ22" i="33"/>
  <c r="AV13" i="33"/>
  <c r="AW32" i="33"/>
  <c r="AZ21" i="33"/>
  <c r="BB25" i="33"/>
  <c r="AU30" i="33"/>
  <c r="BA31" i="33"/>
  <c r="AZ15" i="33"/>
  <c r="AY20" i="33"/>
  <c r="AU14" i="33"/>
  <c r="AZ10" i="33"/>
  <c r="AV9" i="33"/>
  <c r="AY14" i="33"/>
  <c r="AY31" i="33"/>
  <c r="BB24" i="33"/>
  <c r="AZ28" i="33"/>
  <c r="BB16" i="33"/>
  <c r="BB29" i="33"/>
  <c r="AV31" i="33"/>
  <c r="AW13" i="33"/>
  <c r="AZ8" i="33"/>
  <c r="AV25" i="33"/>
  <c r="AZ19" i="33"/>
  <c r="AZ23" i="33"/>
  <c r="BB17" i="33"/>
  <c r="BA10" i="33"/>
  <c r="AY15" i="33"/>
  <c r="BB15" i="33"/>
  <c r="AY11" i="33"/>
  <c r="BA20" i="33"/>
  <c r="AY9" i="33"/>
  <c r="AY30" i="33"/>
  <c r="AU24" i="33"/>
  <c r="AU31" i="33"/>
  <c r="BC32" i="33"/>
  <c r="AX20" i="33"/>
  <c r="BC24" i="33"/>
  <c r="BB28" i="33"/>
  <c r="AX25" i="33"/>
  <c r="AY29" i="33"/>
  <c r="AV32" i="33"/>
  <c r="AU17" i="33"/>
  <c r="BB20" i="33"/>
  <c r="AW17" i="33"/>
  <c r="BC14" i="33"/>
  <c r="AW24" i="33"/>
  <c r="AY32" i="33"/>
  <c r="AX22" i="33"/>
  <c r="BB27" i="33"/>
  <c r="AW29" i="33"/>
  <c r="AV20" i="33"/>
  <c r="BC15" i="33"/>
  <c r="AY27" i="33"/>
  <c r="AU21" i="33"/>
  <c r="AV21" i="33"/>
  <c r="AX14" i="33"/>
  <c r="AX13" i="33"/>
  <c r="AX30" i="33"/>
  <c r="AV10" i="33"/>
  <c r="BA19" i="33"/>
  <c r="AU12" i="33"/>
  <c r="BA9" i="33"/>
  <c r="AW12" i="33"/>
  <c r="AU25" i="33"/>
  <c r="AW31" i="33"/>
  <c r="AY16" i="33"/>
  <c r="BB8" i="33"/>
  <c r="AV18" i="33"/>
  <c r="BA32" i="33"/>
  <c r="AW10" i="33"/>
  <c r="AX31" i="33"/>
  <c r="BC11" i="33"/>
  <c r="AX16" i="33"/>
  <c r="AU32" i="33"/>
  <c r="AZ29" i="33"/>
  <c r="BC27" i="33"/>
  <c r="AX23" i="33"/>
  <c r="AW8" i="33"/>
  <c r="BA29" i="33"/>
  <c r="BB30" i="33"/>
  <c r="BB23" i="33"/>
  <c r="BB10" i="33"/>
  <c r="BB32" i="33"/>
  <c r="AY25" i="33"/>
  <c r="BA15" i="33"/>
  <c r="BB31" i="33"/>
  <c r="AW27" i="33"/>
  <c r="AV30" i="33"/>
  <c r="BA13" i="33"/>
  <c r="BC26" i="33"/>
  <c r="AZ13" i="33"/>
  <c r="AZ11" i="33"/>
  <c r="P8" i="33" l="1" a="1"/>
  <c r="X19" i="33" s="1"/>
  <c r="G63" i="14"/>
  <c r="G89" i="14" s="1"/>
  <c r="P23" i="33" l="1"/>
  <c r="R32" i="33"/>
  <c r="W23" i="33"/>
  <c r="X32" i="33"/>
  <c r="Q16" i="33"/>
  <c r="BI16" i="33" s="1"/>
  <c r="T16" i="33"/>
  <c r="Q24" i="33"/>
  <c r="Q23" i="33"/>
  <c r="V11" i="33"/>
  <c r="P31" i="33"/>
  <c r="V21" i="33"/>
  <c r="P30" i="33"/>
  <c r="V18" i="33"/>
  <c r="T18" i="33"/>
  <c r="X9" i="33"/>
  <c r="P18" i="33"/>
  <c r="S24" i="33"/>
  <c r="X16" i="33"/>
  <c r="BP16" i="33" s="1"/>
  <c r="S26" i="33"/>
  <c r="S19" i="33"/>
  <c r="R11" i="33"/>
  <c r="P11" i="33"/>
  <c r="R24" i="33"/>
  <c r="V9" i="33"/>
  <c r="T12" i="33"/>
  <c r="V15" i="33"/>
  <c r="W10" i="33"/>
  <c r="T15" i="33"/>
  <c r="X27" i="33"/>
  <c r="V23" i="33"/>
  <c r="U11" i="33"/>
  <c r="X10" i="33"/>
  <c r="P21" i="33"/>
  <c r="W13" i="33"/>
  <c r="W11" i="33"/>
  <c r="R13" i="33"/>
  <c r="P26" i="33"/>
  <c r="U14" i="33"/>
  <c r="V20" i="33"/>
  <c r="R23" i="33"/>
  <c r="V14" i="33"/>
  <c r="U19" i="33"/>
  <c r="S8" i="33"/>
  <c r="W30" i="33"/>
  <c r="T14" i="33"/>
  <c r="T24" i="33"/>
  <c r="W17" i="33"/>
  <c r="BO17" i="33" s="1"/>
  <c r="Q29" i="33"/>
  <c r="P19" i="33"/>
  <c r="R29" i="33"/>
  <c r="X25" i="33"/>
  <c r="X20" i="33"/>
  <c r="P20" i="33"/>
  <c r="Q15" i="33"/>
  <c r="X18" i="33"/>
  <c r="X30" i="33"/>
  <c r="R16" i="33"/>
  <c r="U22" i="33"/>
  <c r="X26" i="33"/>
  <c r="X31" i="33"/>
  <c r="P15" i="33"/>
  <c r="Q13" i="33"/>
  <c r="R30" i="33"/>
  <c r="R28" i="33"/>
  <c r="U13" i="33"/>
  <c r="R25" i="33"/>
  <c r="U24" i="33"/>
  <c r="T22" i="33"/>
  <c r="X28" i="33"/>
  <c r="T11" i="33"/>
  <c r="Q30" i="33"/>
  <c r="Q25" i="33"/>
  <c r="W20" i="33"/>
  <c r="W12" i="33"/>
  <c r="V32" i="33"/>
  <c r="T9" i="33"/>
  <c r="T20" i="33"/>
  <c r="W26" i="33"/>
  <c r="R20" i="33"/>
  <c r="S25" i="33"/>
  <c r="V31" i="33"/>
  <c r="Q12" i="33"/>
  <c r="U31" i="33"/>
  <c r="Q8" i="33"/>
  <c r="V27" i="33"/>
  <c r="U15" i="33"/>
  <c r="T28" i="33"/>
  <c r="X23" i="33"/>
  <c r="W16" i="33"/>
  <c r="BO16" i="33" s="1"/>
  <c r="W8" i="33"/>
  <c r="W28" i="33"/>
  <c r="V24" i="33"/>
  <c r="X21" i="33"/>
  <c r="Q31" i="33"/>
  <c r="W9" i="33"/>
  <c r="S14" i="33"/>
  <c r="T32" i="33"/>
  <c r="R19" i="33"/>
  <c r="R10" i="33"/>
  <c r="W29" i="33"/>
  <c r="Q18" i="33"/>
  <c r="V28" i="33"/>
  <c r="T19" i="33"/>
  <c r="X14" i="33"/>
  <c r="T21" i="33"/>
  <c r="W21" i="33"/>
  <c r="W19" i="33"/>
  <c r="V8" i="33"/>
  <c r="T8" i="33"/>
  <c r="U9" i="33"/>
  <c r="T25" i="33"/>
  <c r="X22" i="33"/>
  <c r="P27" i="33"/>
  <c r="S31" i="33"/>
  <c r="V13" i="33"/>
  <c r="Q22" i="33"/>
  <c r="X24" i="33"/>
  <c r="R8" i="33"/>
  <c r="W15" i="33"/>
  <c r="P17" i="33"/>
  <c r="BH17" i="33" s="1"/>
  <c r="X29" i="33"/>
  <c r="Q9" i="33"/>
  <c r="P25" i="33"/>
  <c r="S29" i="33"/>
  <c r="Q20" i="33"/>
  <c r="U25" i="33"/>
  <c r="V29" i="33"/>
  <c r="U10" i="33"/>
  <c r="U18" i="33"/>
  <c r="W24" i="33"/>
  <c r="U29" i="33"/>
  <c r="R18" i="33"/>
  <c r="T27" i="33"/>
  <c r="P9" i="33"/>
  <c r="P32" i="33"/>
  <c r="S13" i="33"/>
  <c r="S15" i="33"/>
  <c r="W14" i="33"/>
  <c r="R15" i="33"/>
  <c r="U23" i="33"/>
  <c r="Q28" i="33"/>
  <c r="S10" i="33"/>
  <c r="P28" i="33"/>
  <c r="R12" i="33"/>
  <c r="U20" i="33"/>
  <c r="P12" i="33"/>
  <c r="S21" i="33"/>
  <c r="U26" i="33"/>
  <c r="U21" i="33"/>
  <c r="Q14" i="33"/>
  <c r="T31" i="33"/>
  <c r="S27" i="33"/>
  <c r="U16" i="33"/>
  <c r="BM16" i="33" s="1"/>
  <c r="W25" i="33"/>
  <c r="S30" i="33"/>
  <c r="U12" i="33"/>
  <c r="V30" i="33"/>
  <c r="Q11" i="33"/>
  <c r="T17" i="33"/>
  <c r="BL17" i="33" s="1"/>
  <c r="U17" i="33"/>
  <c r="BM17" i="33" s="1"/>
  <c r="S22" i="33"/>
  <c r="P16" i="33"/>
  <c r="BH16" i="33" s="1"/>
  <c r="R26" i="33"/>
  <c r="T10" i="33"/>
  <c r="U27" i="33"/>
  <c r="Q17" i="33"/>
  <c r="BI17" i="33" s="1"/>
  <c r="S18" i="33"/>
  <c r="U32" i="33"/>
  <c r="T26" i="33"/>
  <c r="V17" i="33"/>
  <c r="BN17" i="33" s="1"/>
  <c r="U30" i="33"/>
  <c r="T23" i="33"/>
  <c r="S12" i="33"/>
  <c r="W27" i="33"/>
  <c r="S20" i="33"/>
  <c r="W32" i="33"/>
  <c r="V25" i="33"/>
  <c r="S16" i="33"/>
  <c r="BK16" i="33" s="1"/>
  <c r="V10" i="33"/>
  <c r="BN10" i="33" s="1"/>
  <c r="P14" i="33"/>
  <c r="Q19" i="33"/>
  <c r="T13" i="33"/>
  <c r="V26" i="33"/>
  <c r="T29" i="33"/>
  <c r="P10" i="33"/>
  <c r="U8" i="33"/>
  <c r="W22" i="33"/>
  <c r="X12" i="33"/>
  <c r="Q27" i="33"/>
  <c r="V16" i="33"/>
  <c r="BN16" i="33" s="1"/>
  <c r="X17" i="33"/>
  <c r="BP17" i="33" s="1"/>
  <c r="Q32" i="33"/>
  <c r="R22" i="33"/>
  <c r="S11" i="33"/>
  <c r="P13" i="33"/>
  <c r="R27" i="33"/>
  <c r="W31" i="33"/>
  <c r="P22" i="33"/>
  <c r="R9" i="33"/>
  <c r="Q26" i="33"/>
  <c r="R17" i="33"/>
  <c r="BJ17" i="33" s="1"/>
  <c r="T30" i="33"/>
  <c r="S23" i="33"/>
  <c r="X11" i="33"/>
  <c r="S28" i="33"/>
  <c r="R21" i="33"/>
  <c r="P8" i="33"/>
  <c r="Q21" i="33"/>
  <c r="V19" i="33"/>
  <c r="R31" i="33"/>
  <c r="W18" i="33"/>
  <c r="X15" i="33"/>
  <c r="P24" i="33"/>
  <c r="S9" i="33"/>
  <c r="X8" i="33"/>
  <c r="Q10" i="33"/>
  <c r="P29" i="33"/>
  <c r="V12" i="33"/>
  <c r="S17" i="33"/>
  <c r="BK17" i="33" s="1"/>
  <c r="R14" i="33"/>
  <c r="S32" i="33"/>
  <c r="U28" i="33"/>
  <c r="X13" i="33"/>
  <c r="V22" i="33"/>
  <c r="H63" i="14"/>
  <c r="G3" i="37"/>
  <c r="G123" i="14"/>
  <c r="G124" i="14" s="1"/>
  <c r="G70" i="14"/>
  <c r="G90" i="14" s="1"/>
  <c r="G91" i="14" s="1"/>
  <c r="BQ17" i="33" l="1"/>
  <c r="G4" i="37"/>
  <c r="H4" i="37" s="1"/>
  <c r="K2" i="37"/>
  <c r="H89" i="14"/>
  <c r="H70" i="14"/>
  <c r="H90" i="14" l="1"/>
  <c r="H91" i="14" s="1"/>
  <c r="D70" i="14" a="1"/>
  <c r="D70" i="14" s="1"/>
  <c r="M2" i="37"/>
  <c r="H3" i="37"/>
  <c r="H123" i="14"/>
  <c r="I8" i="14" s="1"/>
  <c r="M56" i="37" l="1"/>
  <c r="AH56" i="37" s="1"/>
  <c r="K39" i="37"/>
  <c r="M8" i="37"/>
  <c r="M10" i="37"/>
  <c r="M24" i="37"/>
  <c r="K16" i="37"/>
  <c r="K35" i="37"/>
  <c r="L35" i="37" s="1"/>
  <c r="M44" i="37"/>
  <c r="M26" i="37"/>
  <c r="M60" i="37"/>
  <c r="AH60" i="37" s="1"/>
  <c r="K56" i="37"/>
  <c r="L56" i="37" s="1"/>
  <c r="M29" i="37"/>
  <c r="M43" i="37"/>
  <c r="K50" i="37"/>
  <c r="K59" i="37"/>
  <c r="L59" i="37" s="1"/>
  <c r="K19" i="37"/>
  <c r="K40" i="37"/>
  <c r="K20" i="37"/>
  <c r="K10" i="37"/>
  <c r="M33" i="37"/>
  <c r="AH33" i="37" s="1"/>
  <c r="K29" i="37"/>
  <c r="M49" i="37"/>
  <c r="AH49" i="37" s="1"/>
  <c r="K31" i="37"/>
  <c r="K13" i="37"/>
  <c r="M57" i="37"/>
  <c r="AH57" i="37" s="1"/>
  <c r="M22" i="37"/>
  <c r="K48" i="37"/>
  <c r="M54" i="37"/>
  <c r="AH54" i="37" s="1"/>
  <c r="K45" i="37"/>
  <c r="M19" i="37"/>
  <c r="K9" i="37"/>
  <c r="M35" i="37"/>
  <c r="AH35" i="37" s="1"/>
  <c r="M53" i="37"/>
  <c r="AH53" i="37" s="1"/>
  <c r="K57" i="37"/>
  <c r="L57" i="37" s="1"/>
  <c r="K33" i="37"/>
  <c r="L33" i="37" s="1"/>
  <c r="I8" i="37" a="1"/>
  <c r="K41" i="37"/>
  <c r="K15" i="37"/>
  <c r="K61" i="37"/>
  <c r="L61" i="37" s="1"/>
  <c r="M51" i="37"/>
  <c r="AH51" i="37" s="1"/>
  <c r="M30" i="37"/>
  <c r="M16" i="37"/>
  <c r="M31" i="37"/>
  <c r="M48" i="37"/>
  <c r="K22" i="37"/>
  <c r="M36" i="37"/>
  <c r="AH36" i="37" s="1"/>
  <c r="K58" i="37"/>
  <c r="L58" i="37" s="1"/>
  <c r="M25" i="37"/>
  <c r="M21" i="37"/>
  <c r="K62" i="37"/>
  <c r="L62" i="37" s="1"/>
  <c r="K42" i="37"/>
  <c r="K43" i="37"/>
  <c r="K17" i="37"/>
  <c r="M14" i="37"/>
  <c r="M41" i="37"/>
  <c r="K37" i="37"/>
  <c r="L37" i="37" s="1"/>
  <c r="K21" i="37"/>
  <c r="K46" i="37"/>
  <c r="L46" i="37" s="1"/>
  <c r="K12" i="37"/>
  <c r="K47" i="37"/>
  <c r="L47" i="37" s="1"/>
  <c r="M9" i="37"/>
  <c r="M20" i="37"/>
  <c r="M61" i="37"/>
  <c r="AH61" i="37" s="1"/>
  <c r="K51" i="37"/>
  <c r="L51" i="37" s="1"/>
  <c r="K49" i="37"/>
  <c r="M37" i="37"/>
  <c r="AH37" i="37" s="1"/>
  <c r="K30" i="37"/>
  <c r="K25" i="37"/>
  <c r="K52" i="37"/>
  <c r="L52" i="37" s="1"/>
  <c r="M15" i="37"/>
  <c r="K18" i="37"/>
  <c r="M34" i="37"/>
  <c r="AH34" i="37" s="1"/>
  <c r="K8" i="37"/>
  <c r="M40" i="37"/>
  <c r="M62" i="37"/>
  <c r="AH62" i="37" s="1"/>
  <c r="K60" i="37"/>
  <c r="L60" i="37" s="1"/>
  <c r="K14" i="37"/>
  <c r="K27" i="37"/>
  <c r="M13" i="37"/>
  <c r="K54" i="37"/>
  <c r="L54" i="37" s="1"/>
  <c r="M55" i="37"/>
  <c r="AH55" i="37" s="1"/>
  <c r="M39" i="37"/>
  <c r="M58" i="37"/>
  <c r="AH58" i="37" s="1"/>
  <c r="M42" i="37"/>
  <c r="M18" i="37"/>
  <c r="M27" i="37"/>
  <c r="M17" i="37"/>
  <c r="M12" i="37"/>
  <c r="K26" i="37"/>
  <c r="M45" i="37"/>
  <c r="AH45" i="37" s="1"/>
  <c r="K24" i="37"/>
  <c r="K53" i="37"/>
  <c r="L53" i="37" s="1"/>
  <c r="K28" i="37"/>
  <c r="M50" i="37"/>
  <c r="AH50" i="37" s="1"/>
  <c r="K55" i="37"/>
  <c r="L55" i="37" s="1"/>
  <c r="K44" i="37"/>
  <c r="M28" i="37"/>
  <c r="M52" i="37"/>
  <c r="AH52" i="37" s="1"/>
  <c r="K34" i="37"/>
  <c r="L34" i="37" s="1"/>
  <c r="M59" i="37"/>
  <c r="AH59" i="37" s="1"/>
  <c r="M46" i="37"/>
  <c r="AH46" i="37" s="1"/>
  <c r="K36" i="37"/>
  <c r="L36" i="37" s="1"/>
  <c r="M47" i="37"/>
  <c r="AH47" i="37" s="1"/>
  <c r="I83" i="14"/>
  <c r="I82" i="14"/>
  <c r="I84" i="14"/>
  <c r="I88" i="14"/>
  <c r="I87" i="14"/>
  <c r="I86" i="14"/>
  <c r="I80" i="14"/>
  <c r="I85" i="14"/>
  <c r="I76" i="14"/>
  <c r="I77" i="14"/>
  <c r="I67" i="14"/>
  <c r="I73" i="14"/>
  <c r="I71" i="14"/>
  <c r="I52" i="14"/>
  <c r="I50" i="14"/>
  <c r="I51" i="14"/>
  <c r="I42" i="14"/>
  <c r="I40" i="14"/>
  <c r="I41" i="14"/>
  <c r="I35" i="14"/>
  <c r="I30" i="14"/>
  <c r="I37" i="14"/>
  <c r="I29" i="14"/>
  <c r="I28" i="14"/>
  <c r="I21" i="14"/>
  <c r="I23" i="14"/>
  <c r="L50" i="37"/>
  <c r="L49" i="37"/>
  <c r="I70" i="14"/>
  <c r="I10" i="14"/>
  <c r="I11" i="14"/>
  <c r="I12" i="14"/>
  <c r="I17" i="14"/>
  <c r="I57" i="14"/>
  <c r="I56" i="14"/>
  <c r="I100" i="14"/>
  <c r="I107" i="14"/>
  <c r="I65" i="14"/>
  <c r="I34" i="14"/>
  <c r="I113" i="14"/>
  <c r="I69" i="14"/>
  <c r="I33" i="14"/>
  <c r="I111" i="14"/>
  <c r="I68" i="14"/>
  <c r="I98" i="14"/>
  <c r="I27" i="14"/>
  <c r="I104" i="14"/>
  <c r="I26" i="14"/>
  <c r="I48" i="14"/>
  <c r="I47" i="14"/>
  <c r="I96" i="14"/>
  <c r="I94" i="14"/>
  <c r="I38" i="14"/>
  <c r="I109" i="14"/>
  <c r="I66" i="14"/>
  <c r="I55" i="14"/>
  <c r="I102" i="14"/>
  <c r="I32" i="14"/>
  <c r="I43" i="14"/>
  <c r="I19" i="14"/>
  <c r="H124" i="14"/>
  <c r="I124" i="14" s="1"/>
  <c r="I24" i="14"/>
  <c r="I15" i="14"/>
  <c r="I79" i="14"/>
  <c r="I54" i="14"/>
  <c r="I117" i="14"/>
  <c r="I31" i="14"/>
  <c r="I115" i="14"/>
  <c r="I13" i="14"/>
  <c r="I78" i="14"/>
  <c r="I46" i="14"/>
  <c r="I119" i="14"/>
  <c r="I74" i="14"/>
  <c r="I45" i="14"/>
  <c r="I16" i="14"/>
  <c r="I53" i="14"/>
  <c r="I18" i="14"/>
  <c r="I20" i="14"/>
  <c r="I63" i="14"/>
  <c r="I4" i="37"/>
  <c r="I3" i="37" s="1"/>
  <c r="L2" i="37"/>
  <c r="BT55" i="37" l="1"/>
  <c r="CC55" i="37"/>
  <c r="CF55" i="37"/>
  <c r="CD55" i="37"/>
  <c r="BX55" i="37"/>
  <c r="AG55" i="37"/>
  <c r="AI55" i="37" s="1"/>
  <c r="CG55" i="37"/>
  <c r="BS55" i="37"/>
  <c r="BW55" i="37"/>
  <c r="BZ55" i="37"/>
  <c r="BQ55" i="37"/>
  <c r="CE55" i="37"/>
  <c r="BV55" i="37"/>
  <c r="CA55" i="37"/>
  <c r="CB55" i="37"/>
  <c r="BU55" i="37"/>
  <c r="AH13" i="37"/>
  <c r="D343" i="27"/>
  <c r="BU58" i="37"/>
  <c r="BS58" i="37"/>
  <c r="CE58" i="37"/>
  <c r="BT58" i="37"/>
  <c r="BX58" i="37"/>
  <c r="BV58" i="37"/>
  <c r="CD58" i="37"/>
  <c r="AG58" i="37"/>
  <c r="AI58" i="37" s="1"/>
  <c r="CF58" i="37"/>
  <c r="BZ58" i="37"/>
  <c r="BQ58" i="37"/>
  <c r="BW58" i="37"/>
  <c r="CB58" i="37"/>
  <c r="CC58" i="37"/>
  <c r="CA58" i="37"/>
  <c r="CG58" i="37"/>
  <c r="L9" i="37"/>
  <c r="F303" i="27"/>
  <c r="F304" i="27"/>
  <c r="CC59" i="37"/>
  <c r="CD59" i="37"/>
  <c r="CG59" i="37"/>
  <c r="BS59" i="37"/>
  <c r="BQ59" i="37"/>
  <c r="CA59" i="37"/>
  <c r="CB59" i="37"/>
  <c r="CE59" i="37"/>
  <c r="BX59" i="37"/>
  <c r="AG59" i="37"/>
  <c r="AI59" i="37" s="1"/>
  <c r="BZ59" i="37"/>
  <c r="BT59" i="37"/>
  <c r="BV59" i="37"/>
  <c r="CF59" i="37"/>
  <c r="BU59" i="37"/>
  <c r="BW59" i="37"/>
  <c r="L27" i="37"/>
  <c r="F486" i="27"/>
  <c r="F487" i="27"/>
  <c r="AH20" i="37"/>
  <c r="D416" i="27"/>
  <c r="AH19" i="37"/>
  <c r="D405" i="27"/>
  <c r="F353" i="27"/>
  <c r="F354" i="27"/>
  <c r="L14" i="37"/>
  <c r="AH9" i="37"/>
  <c r="D304" i="27"/>
  <c r="L22" i="37"/>
  <c r="F437" i="27"/>
  <c r="F438" i="27"/>
  <c r="AH43" i="37"/>
  <c r="D658" i="27"/>
  <c r="L19" i="37"/>
  <c r="F405" i="27"/>
  <c r="F404" i="27"/>
  <c r="BZ60" i="37"/>
  <c r="CD60" i="37"/>
  <c r="BW60" i="37"/>
  <c r="CB60" i="37"/>
  <c r="CC60" i="37"/>
  <c r="CE60" i="37"/>
  <c r="BS60" i="37"/>
  <c r="AG60" i="37"/>
  <c r="AI60" i="37" s="1"/>
  <c r="CF60" i="37"/>
  <c r="CA60" i="37"/>
  <c r="CG60" i="37"/>
  <c r="BV60" i="37"/>
  <c r="BU60" i="37"/>
  <c r="BQ60" i="37"/>
  <c r="BT60" i="37"/>
  <c r="BX60" i="37"/>
  <c r="AH29" i="37"/>
  <c r="D507" i="27"/>
  <c r="L24" i="37"/>
  <c r="F458" i="27"/>
  <c r="F457" i="27"/>
  <c r="L12" i="37"/>
  <c r="F333" i="27"/>
  <c r="F332" i="27"/>
  <c r="AH31" i="37"/>
  <c r="D529" i="27"/>
  <c r="AG56" i="37"/>
  <c r="AI56" i="37" s="1"/>
  <c r="BZ56" i="37"/>
  <c r="BS56" i="37"/>
  <c r="BQ56" i="37"/>
  <c r="CG56" i="37"/>
  <c r="CE56" i="37"/>
  <c r="BV56" i="37"/>
  <c r="BX56" i="37"/>
  <c r="CB56" i="37"/>
  <c r="BT56" i="37"/>
  <c r="CF56" i="37"/>
  <c r="CA56" i="37"/>
  <c r="CD56" i="37"/>
  <c r="BU56" i="37"/>
  <c r="CC56" i="37"/>
  <c r="BW56" i="37"/>
  <c r="BX53" i="37"/>
  <c r="BQ53" i="37"/>
  <c r="BW53" i="37"/>
  <c r="CG53" i="37"/>
  <c r="BU53" i="37"/>
  <c r="CA53" i="37"/>
  <c r="BZ53" i="37"/>
  <c r="AG53" i="37"/>
  <c r="AI53" i="37" s="1"/>
  <c r="CD53" i="37"/>
  <c r="BS53" i="37"/>
  <c r="CE53" i="37"/>
  <c r="CF53" i="37"/>
  <c r="CB53" i="37"/>
  <c r="BT53" i="37"/>
  <c r="BV53" i="37"/>
  <c r="CC53" i="37"/>
  <c r="AH40" i="37"/>
  <c r="D624" i="27"/>
  <c r="D374" i="27"/>
  <c r="AH16" i="37"/>
  <c r="AH22" i="37"/>
  <c r="D438" i="27"/>
  <c r="BW51" i="37"/>
  <c r="BX51" i="37"/>
  <c r="CC51" i="37"/>
  <c r="BQ51" i="37"/>
  <c r="BU51" i="37"/>
  <c r="AG51" i="37"/>
  <c r="AI51" i="37" s="1"/>
  <c r="BT51" i="37"/>
  <c r="CB51" i="37"/>
  <c r="BS51" i="37"/>
  <c r="BV51" i="37"/>
  <c r="CG51" i="37"/>
  <c r="CE51" i="37"/>
  <c r="CA51" i="37"/>
  <c r="CF51" i="37"/>
  <c r="BZ51" i="37"/>
  <c r="CD51" i="37"/>
  <c r="L26" i="37"/>
  <c r="F477" i="27"/>
  <c r="F476" i="27"/>
  <c r="AK8" i="37" a="1"/>
  <c r="AR8" i="37" a="1"/>
  <c r="F296" i="27"/>
  <c r="F295" i="27"/>
  <c r="L8" i="37"/>
  <c r="L21" i="37"/>
  <c r="F426" i="27"/>
  <c r="F427" i="27"/>
  <c r="AH30" i="37"/>
  <c r="D518" i="27"/>
  <c r="AH26" i="37"/>
  <c r="D477" i="27"/>
  <c r="AH12" i="37"/>
  <c r="D333" i="27"/>
  <c r="BX37" i="37"/>
  <c r="BQ37" i="37"/>
  <c r="AG37" i="37"/>
  <c r="AI37" i="37" s="1"/>
  <c r="BW37" i="37"/>
  <c r="BU37" i="37"/>
  <c r="BT37" i="37"/>
  <c r="BV37" i="37"/>
  <c r="BS37" i="37"/>
  <c r="L13" i="37"/>
  <c r="F343" i="27"/>
  <c r="F342" i="27"/>
  <c r="AH44" i="37"/>
  <c r="D603" i="27"/>
  <c r="L28" i="37"/>
  <c r="F496" i="27"/>
  <c r="F497" i="27"/>
  <c r="AH17" i="37"/>
  <c r="D385" i="27"/>
  <c r="L18" i="37"/>
  <c r="F393" i="27"/>
  <c r="F394" i="27"/>
  <c r="AH41" i="37"/>
  <c r="D635" i="27"/>
  <c r="CA61" i="37"/>
  <c r="CD61" i="37"/>
  <c r="BX61" i="37"/>
  <c r="BW61" i="37"/>
  <c r="BQ61" i="37"/>
  <c r="BS61" i="37"/>
  <c r="CE61" i="37"/>
  <c r="CC61" i="37"/>
  <c r="CG61" i="37"/>
  <c r="BZ61" i="37"/>
  <c r="AG61" i="37"/>
  <c r="AI61" i="37" s="1"/>
  <c r="BV61" i="37"/>
  <c r="BU61" i="37"/>
  <c r="CF61" i="37"/>
  <c r="CB61" i="37"/>
  <c r="BT61" i="37"/>
  <c r="L31" i="37"/>
  <c r="F528" i="27"/>
  <c r="F529" i="27"/>
  <c r="BX35" i="37"/>
  <c r="BT35" i="37"/>
  <c r="BU35" i="37"/>
  <c r="AG35" i="37"/>
  <c r="AI35" i="37" s="1"/>
  <c r="BV35" i="37"/>
  <c r="BW35" i="37"/>
  <c r="BQ35" i="37"/>
  <c r="BS35" i="37"/>
  <c r="AH25" i="37"/>
  <c r="D468" i="27"/>
  <c r="BS36" i="37"/>
  <c r="BX36" i="37"/>
  <c r="BU36" i="37"/>
  <c r="AG36" i="37"/>
  <c r="AI36" i="37" s="1"/>
  <c r="BW36" i="37"/>
  <c r="BQ36" i="37"/>
  <c r="BT36" i="37"/>
  <c r="BV36" i="37"/>
  <c r="AH27" i="37"/>
  <c r="D487" i="27"/>
  <c r="AH15" i="37"/>
  <c r="D363" i="27"/>
  <c r="D354" i="27"/>
  <c r="AH14" i="37"/>
  <c r="F363" i="27"/>
  <c r="L15" i="37"/>
  <c r="F362" i="27"/>
  <c r="L16" i="37"/>
  <c r="F373" i="27"/>
  <c r="F374" i="27"/>
  <c r="CG54" i="37"/>
  <c r="BS54" i="37"/>
  <c r="BZ54" i="37"/>
  <c r="CA54" i="37"/>
  <c r="BV54" i="37"/>
  <c r="BT54" i="37"/>
  <c r="CC54" i="37"/>
  <c r="BW54" i="37"/>
  <c r="BX54" i="37"/>
  <c r="BQ54" i="37"/>
  <c r="AG54" i="37"/>
  <c r="AI54" i="37" s="1"/>
  <c r="BU54" i="37"/>
  <c r="CB54" i="37"/>
  <c r="CF54" i="37"/>
  <c r="CE54" i="37"/>
  <c r="CD54" i="37"/>
  <c r="AH18" i="37"/>
  <c r="D394" i="27"/>
  <c r="BU52" i="37"/>
  <c r="CF52" i="37"/>
  <c r="CB52" i="37"/>
  <c r="BQ52" i="37"/>
  <c r="CC52" i="37"/>
  <c r="CA52" i="37"/>
  <c r="BZ52" i="37"/>
  <c r="BS52" i="37"/>
  <c r="BT52" i="37"/>
  <c r="CG52" i="37"/>
  <c r="BV52" i="37"/>
  <c r="AG52" i="37"/>
  <c r="AI52" i="37" s="1"/>
  <c r="BW52" i="37"/>
  <c r="CE52" i="37"/>
  <c r="BX52" i="37"/>
  <c r="CD52" i="37"/>
  <c r="L17" i="37"/>
  <c r="F385" i="27"/>
  <c r="F384" i="27"/>
  <c r="L41" i="37"/>
  <c r="F634" i="27"/>
  <c r="F635" i="27"/>
  <c r="L29" i="37"/>
  <c r="F506" i="27"/>
  <c r="F507" i="27"/>
  <c r="AH24" i="37"/>
  <c r="D458" i="27"/>
  <c r="I8" i="37"/>
  <c r="I18" i="37"/>
  <c r="I9" i="37"/>
  <c r="I40" i="37"/>
  <c r="I14" i="37"/>
  <c r="I59" i="37"/>
  <c r="I36" i="37"/>
  <c r="I55" i="37"/>
  <c r="I10" i="37"/>
  <c r="I51" i="37"/>
  <c r="I32" i="37"/>
  <c r="I47" i="37"/>
  <c r="I61" i="37"/>
  <c r="I43" i="37"/>
  <c r="I28" i="37"/>
  <c r="I39" i="37"/>
  <c r="I57" i="37"/>
  <c r="I35" i="37"/>
  <c r="I24" i="37"/>
  <c r="I31" i="37"/>
  <c r="I53" i="37"/>
  <c r="I27" i="37"/>
  <c r="I20" i="37"/>
  <c r="I23" i="37"/>
  <c r="I49" i="37"/>
  <c r="I15" i="37"/>
  <c r="I16" i="37"/>
  <c r="I19" i="37"/>
  <c r="I45" i="37"/>
  <c r="I62" i="37"/>
  <c r="I12" i="37"/>
  <c r="I11" i="37"/>
  <c r="I41" i="37"/>
  <c r="I50" i="37"/>
  <c r="I58" i="37"/>
  <c r="I37" i="37"/>
  <c r="I42" i="37"/>
  <c r="I54" i="37"/>
  <c r="I33" i="37"/>
  <c r="I26" i="37"/>
  <c r="I46" i="37"/>
  <c r="I29" i="37"/>
  <c r="I60" i="37"/>
  <c r="I38" i="37"/>
  <c r="I25" i="37"/>
  <c r="I56" i="37"/>
  <c r="I34" i="37"/>
  <c r="I21" i="37"/>
  <c r="I52" i="37"/>
  <c r="I30" i="37"/>
  <c r="I17" i="37"/>
  <c r="I48" i="37"/>
  <c r="I22" i="37"/>
  <c r="I13" i="37"/>
  <c r="I44" i="37"/>
  <c r="AH10" i="37"/>
  <c r="F313" i="27"/>
  <c r="D313" i="27"/>
  <c r="L44" i="37"/>
  <c r="F603" i="27"/>
  <c r="F602" i="27"/>
  <c r="AH42" i="37"/>
  <c r="D647" i="27"/>
  <c r="BX34" i="37"/>
  <c r="BV34" i="37"/>
  <c r="AG34" i="37"/>
  <c r="AI34" i="37" s="1"/>
  <c r="BS34" i="37"/>
  <c r="BQ34" i="37"/>
  <c r="BT34" i="37"/>
  <c r="BW34" i="37"/>
  <c r="BU34" i="37"/>
  <c r="L30" i="37"/>
  <c r="F517" i="27"/>
  <c r="F518" i="27"/>
  <c r="L42" i="37"/>
  <c r="F647" i="27"/>
  <c r="F646" i="27"/>
  <c r="BX33" i="37"/>
  <c r="BT33" i="37"/>
  <c r="AG33" i="37"/>
  <c r="AI33" i="37" s="1"/>
  <c r="BV33" i="37"/>
  <c r="BW33" i="37"/>
  <c r="BQ33" i="37"/>
  <c r="BS33" i="37"/>
  <c r="BU33" i="37"/>
  <c r="L10" i="37"/>
  <c r="F312" i="27"/>
  <c r="D296" i="27"/>
  <c r="AH8" i="37"/>
  <c r="L25" i="37"/>
  <c r="F467" i="27"/>
  <c r="F468" i="27"/>
  <c r="AH39" i="37"/>
  <c r="D612" i="27"/>
  <c r="BV62" i="37"/>
  <c r="CG62" i="37"/>
  <c r="AG62" i="37"/>
  <c r="AI62" i="37" s="1"/>
  <c r="CB62" i="37"/>
  <c r="CF62" i="37"/>
  <c r="BT62" i="37"/>
  <c r="BS62" i="37"/>
  <c r="BX62" i="37"/>
  <c r="BQ62" i="37"/>
  <c r="BW62" i="37"/>
  <c r="BU62" i="37"/>
  <c r="CE62" i="37"/>
  <c r="CC62" i="37"/>
  <c r="CD62" i="37"/>
  <c r="CA62" i="37"/>
  <c r="BZ62" i="37"/>
  <c r="BQ57" i="37"/>
  <c r="CA57" i="37"/>
  <c r="BS57" i="37"/>
  <c r="CE57" i="37"/>
  <c r="CF57" i="37"/>
  <c r="BT57" i="37"/>
  <c r="CC57" i="37"/>
  <c r="CG57" i="37"/>
  <c r="CB57" i="37"/>
  <c r="CD57" i="37"/>
  <c r="BV57" i="37"/>
  <c r="BZ57" i="37"/>
  <c r="BU57" i="37"/>
  <c r="BX57" i="37"/>
  <c r="AG57" i="37"/>
  <c r="AI57" i="37" s="1"/>
  <c r="BW57" i="37"/>
  <c r="L20" i="37"/>
  <c r="F416" i="27"/>
  <c r="F415" i="27"/>
  <c r="L39" i="37"/>
  <c r="F612" i="27"/>
  <c r="F611" i="27"/>
  <c r="L43" i="37"/>
  <c r="F657" i="27"/>
  <c r="F658" i="27"/>
  <c r="AH28" i="37"/>
  <c r="D497" i="27"/>
  <c r="AH21" i="37"/>
  <c r="D427" i="27"/>
  <c r="L40" i="37"/>
  <c r="F623" i="27"/>
  <c r="F624" i="27"/>
  <c r="CB46" i="37"/>
  <c r="CE46" i="37"/>
  <c r="CD46" i="37"/>
  <c r="CF46" i="37"/>
  <c r="CG46" i="37"/>
  <c r="BZ46" i="37"/>
  <c r="CA46" i="37"/>
  <c r="CC46" i="37"/>
  <c r="BQ46" i="37"/>
  <c r="BT46" i="37"/>
  <c r="AG46" i="37"/>
  <c r="AI46" i="37" s="1"/>
  <c r="BW46" i="37"/>
  <c r="BX46" i="37"/>
  <c r="BS46" i="37"/>
  <c r="BU46" i="37"/>
  <c r="BV46" i="37"/>
  <c r="CA49" i="37"/>
  <c r="BZ49" i="37"/>
  <c r="CE49" i="37"/>
  <c r="CB49" i="37"/>
  <c r="CF49" i="37"/>
  <c r="CC49" i="37"/>
  <c r="CD49" i="37"/>
  <c r="CG49" i="37"/>
  <c r="BX49" i="37"/>
  <c r="AG49" i="37"/>
  <c r="AI49" i="37" s="1"/>
  <c r="BU49" i="37"/>
  <c r="BV49" i="37"/>
  <c r="BT49" i="37"/>
  <c r="BS49" i="37"/>
  <c r="BW49" i="37"/>
  <c r="BQ49" i="37"/>
  <c r="BQ50" i="37"/>
  <c r="AG50" i="37"/>
  <c r="AI50" i="37" s="1"/>
  <c r="AG48" i="37"/>
  <c r="BQ48" i="37"/>
  <c r="AH48" i="37"/>
  <c r="CC47" i="37"/>
  <c r="CF47" i="37"/>
  <c r="CD47" i="37"/>
  <c r="CG47" i="37"/>
  <c r="BZ47" i="37"/>
  <c r="CA47" i="37"/>
  <c r="CB47" i="37"/>
  <c r="CE47" i="37"/>
  <c r="AG47" i="37"/>
  <c r="AI47" i="37" s="1"/>
  <c r="BQ47" i="37"/>
  <c r="BU47" i="37"/>
  <c r="BW47" i="37"/>
  <c r="BX47" i="37"/>
  <c r="BS47" i="37"/>
  <c r="BV47" i="37"/>
  <c r="BT47" i="37"/>
  <c r="L45" i="37"/>
  <c r="M64" i="37"/>
  <c r="M3" i="37" s="1"/>
  <c r="M4" i="37" s="1"/>
  <c r="K64" i="37"/>
  <c r="D570" i="27"/>
  <c r="D551" i="27"/>
  <c r="I89" i="14"/>
  <c r="D592" i="27"/>
  <c r="F570" i="27"/>
  <c r="F569" i="27"/>
  <c r="F550" i="27"/>
  <c r="F551" i="27"/>
  <c r="D581" i="27"/>
  <c r="D560" i="27"/>
  <c r="I121" i="14"/>
  <c r="F592" i="27"/>
  <c r="F591" i="27"/>
  <c r="F559" i="27"/>
  <c r="F560" i="27"/>
  <c r="F581" i="27"/>
  <c r="F580" i="27"/>
  <c r="CH58" i="37" l="1"/>
  <c r="CH61" i="37"/>
  <c r="CC13" i="37"/>
  <c r="AG13" i="37"/>
  <c r="AI13" i="37" s="1"/>
  <c r="CD13" i="37"/>
  <c r="CA13" i="37"/>
  <c r="CG13" i="37"/>
  <c r="D342" i="27"/>
  <c r="CE13" i="37"/>
  <c r="BQ13" i="37"/>
  <c r="BZ13" i="37"/>
  <c r="CF13" i="37"/>
  <c r="CB13" i="37"/>
  <c r="BS13" i="37"/>
  <c r="BW13" i="37"/>
  <c r="BT13" i="37"/>
  <c r="BU13" i="37"/>
  <c r="BX13" i="37"/>
  <c r="BV13" i="37"/>
  <c r="CH56" i="37"/>
  <c r="CH59" i="37"/>
  <c r="CH55" i="37"/>
  <c r="BU31" i="37"/>
  <c r="BT31" i="37"/>
  <c r="BS31" i="37"/>
  <c r="BW31" i="37"/>
  <c r="BX31" i="37"/>
  <c r="BV31" i="37"/>
  <c r="BQ31" i="37"/>
  <c r="AG31" i="37"/>
  <c r="AI31" i="37" s="1"/>
  <c r="CF31" i="37"/>
  <c r="BZ31" i="37"/>
  <c r="CD31" i="37"/>
  <c r="CA31" i="37"/>
  <c r="CE31" i="37"/>
  <c r="CB31" i="37"/>
  <c r="CC31" i="37"/>
  <c r="CG31" i="37"/>
  <c r="D528" i="27"/>
  <c r="D373" i="27"/>
  <c r="BT16" i="37"/>
  <c r="BU16" i="37"/>
  <c r="BS16" i="37"/>
  <c r="BX16" i="37"/>
  <c r="BV16" i="37"/>
  <c r="BW16" i="37"/>
  <c r="AG16" i="37"/>
  <c r="AI16" i="37" s="1"/>
  <c r="BQ16" i="37"/>
  <c r="CH53" i="37"/>
  <c r="CH60" i="37"/>
  <c r="BQ19" i="37"/>
  <c r="AG19" i="37"/>
  <c r="AI19" i="37" s="1"/>
  <c r="BS19" i="37"/>
  <c r="BT19" i="37"/>
  <c r="BU19" i="37"/>
  <c r="BW19" i="37"/>
  <c r="BX19" i="37"/>
  <c r="BV19" i="37"/>
  <c r="CB19" i="37"/>
  <c r="D404" i="27"/>
  <c r="CF19" i="37"/>
  <c r="BZ19" i="37"/>
  <c r="CD19" i="37"/>
  <c r="CA19" i="37"/>
  <c r="CE19" i="37"/>
  <c r="CC19" i="37"/>
  <c r="CG19" i="37"/>
  <c r="BV40" i="37"/>
  <c r="BW40" i="37"/>
  <c r="BU40" i="37"/>
  <c r="BX40" i="37"/>
  <c r="BQ40" i="37"/>
  <c r="AG40" i="37"/>
  <c r="AI40" i="37" s="1"/>
  <c r="BS40" i="37"/>
  <c r="BT40" i="37"/>
  <c r="CA40" i="37"/>
  <c r="CE40" i="37"/>
  <c r="CC40" i="37"/>
  <c r="D623" i="27"/>
  <c r="CB40" i="37"/>
  <c r="CG40" i="37"/>
  <c r="CF40" i="37"/>
  <c r="BZ40" i="37"/>
  <c r="CD40" i="37"/>
  <c r="CH57" i="37"/>
  <c r="BW15" i="37"/>
  <c r="BU15" i="37"/>
  <c r="BV15" i="37"/>
  <c r="BX15" i="37"/>
  <c r="BT15" i="37"/>
  <c r="BQ15" i="37"/>
  <c r="BS15" i="37"/>
  <c r="D362" i="27"/>
  <c r="AG15" i="37"/>
  <c r="AI15" i="37" s="1"/>
  <c r="BX21" i="37"/>
  <c r="BV21" i="37"/>
  <c r="BW21" i="37"/>
  <c r="BQ21" i="37"/>
  <c r="AG21" i="37"/>
  <c r="AI21" i="37" s="1"/>
  <c r="BT21" i="37"/>
  <c r="BS21" i="37"/>
  <c r="BU21" i="37"/>
  <c r="CG21" i="37"/>
  <c r="CF21" i="37"/>
  <c r="CB21" i="37"/>
  <c r="BZ21" i="37"/>
  <c r="CD21" i="37"/>
  <c r="CA21" i="37"/>
  <c r="CE21" i="37"/>
  <c r="CC21" i="37"/>
  <c r="D426" i="27"/>
  <c r="BS27" i="37"/>
  <c r="BX27" i="37"/>
  <c r="BW27" i="37"/>
  <c r="BU27" i="37"/>
  <c r="AG27" i="37"/>
  <c r="AI27" i="37" s="1"/>
  <c r="BV27" i="37"/>
  <c r="BQ27" i="37"/>
  <c r="BT27" i="37"/>
  <c r="D486" i="27"/>
  <c r="BX39" i="37"/>
  <c r="BQ39" i="37"/>
  <c r="BV39" i="37"/>
  <c r="BS39" i="37"/>
  <c r="BT39" i="37"/>
  <c r="AG39" i="37"/>
  <c r="AI39" i="37" s="1"/>
  <c r="BU39" i="37"/>
  <c r="BW39" i="37"/>
  <c r="CC39" i="37"/>
  <c r="CG39" i="37"/>
  <c r="CF39" i="37"/>
  <c r="CB39" i="37"/>
  <c r="CA39" i="37"/>
  <c r="CD39" i="37"/>
  <c r="BZ39" i="37"/>
  <c r="CE39" i="37"/>
  <c r="D611" i="27"/>
  <c r="CE8" i="37"/>
  <c r="BZ8" i="37"/>
  <c r="BW8" i="37"/>
  <c r="BT8" i="37"/>
  <c r="CD8" i="37"/>
  <c r="CC8" i="37"/>
  <c r="D295" i="27"/>
  <c r="AG8" i="37"/>
  <c r="BX8" i="37"/>
  <c r="BS8" i="37"/>
  <c r="BU8" i="37"/>
  <c r="CG8" i="37"/>
  <c r="BQ8" i="37"/>
  <c r="CF8" i="37"/>
  <c r="CB8" i="37"/>
  <c r="CA8" i="37"/>
  <c r="BV8" i="37"/>
  <c r="CH54" i="37"/>
  <c r="AG18" i="37"/>
  <c r="AI18" i="37" s="1"/>
  <c r="BQ18" i="37"/>
  <c r="D393" i="27"/>
  <c r="BT18" i="37"/>
  <c r="BU18" i="37"/>
  <c r="BW18" i="37"/>
  <c r="BX18" i="37"/>
  <c r="BV18" i="37"/>
  <c r="BS18" i="37"/>
  <c r="BS17" i="37"/>
  <c r="AG17" i="37"/>
  <c r="AI17" i="37" s="1"/>
  <c r="BQ17" i="37"/>
  <c r="BW17" i="37"/>
  <c r="BU17" i="37"/>
  <c r="BX17" i="37"/>
  <c r="BT17" i="37"/>
  <c r="BV17" i="37"/>
  <c r="CD17" i="37"/>
  <c r="CA17" i="37"/>
  <c r="BZ17" i="37"/>
  <c r="CE17" i="37"/>
  <c r="CC17" i="37"/>
  <c r="CG17" i="37"/>
  <c r="CB17" i="37"/>
  <c r="CF17" i="37"/>
  <c r="D384" i="27"/>
  <c r="BU20" i="37"/>
  <c r="BV20" i="37"/>
  <c r="BX20" i="37"/>
  <c r="AG20" i="37"/>
  <c r="AI20" i="37" s="1"/>
  <c r="BS20" i="37"/>
  <c r="BQ20" i="37"/>
  <c r="BW20" i="37"/>
  <c r="BT20" i="37"/>
  <c r="CB20" i="37"/>
  <c r="CF20" i="37"/>
  <c r="BZ20" i="37"/>
  <c r="CD20" i="37"/>
  <c r="CA20" i="37"/>
  <c r="CE20" i="37"/>
  <c r="CG20" i="37"/>
  <c r="CC20" i="37"/>
  <c r="D415" i="27"/>
  <c r="BU25" i="37"/>
  <c r="BT25" i="37"/>
  <c r="BV25" i="37"/>
  <c r="BW25" i="37"/>
  <c r="BQ25" i="37"/>
  <c r="BS25" i="37"/>
  <c r="BX25" i="37"/>
  <c r="AG25" i="37"/>
  <c r="AI25" i="37" s="1"/>
  <c r="D467" i="27"/>
  <c r="AG42" i="37"/>
  <c r="AI42" i="37" s="1"/>
  <c r="BV42" i="37"/>
  <c r="BX42" i="37"/>
  <c r="BU42" i="37"/>
  <c r="BS42" i="37"/>
  <c r="BW42" i="37"/>
  <c r="BT42" i="37"/>
  <c r="BQ42" i="37"/>
  <c r="BZ42" i="37"/>
  <c r="CG42" i="37"/>
  <c r="CC42" i="37"/>
  <c r="CE42" i="37"/>
  <c r="CD42" i="37"/>
  <c r="CF42" i="37"/>
  <c r="CA42" i="37"/>
  <c r="CB42" i="37"/>
  <c r="D646" i="27"/>
  <c r="CG29" i="37"/>
  <c r="CF29" i="37"/>
  <c r="D506" i="27"/>
  <c r="BT29" i="37"/>
  <c r="CC29" i="37"/>
  <c r="BS29" i="37"/>
  <c r="AG29" i="37"/>
  <c r="AI29" i="37" s="1"/>
  <c r="BU29" i="37"/>
  <c r="BV29" i="37"/>
  <c r="BZ29" i="37"/>
  <c r="BW29" i="37"/>
  <c r="CD29" i="37"/>
  <c r="BQ29" i="37"/>
  <c r="CA29" i="37"/>
  <c r="BX29" i="37"/>
  <c r="CE29" i="37"/>
  <c r="CB29" i="37"/>
  <c r="CE22" i="37"/>
  <c r="BV22" i="37"/>
  <c r="CF22" i="37"/>
  <c r="BQ22" i="37"/>
  <c r="BS22" i="37"/>
  <c r="BT22" i="37"/>
  <c r="BW22" i="37"/>
  <c r="BX22" i="37"/>
  <c r="CA22" i="37"/>
  <c r="BU22" i="37"/>
  <c r="CB22" i="37"/>
  <c r="AG22" i="37"/>
  <c r="AI22" i="37" s="1"/>
  <c r="CG22" i="37"/>
  <c r="CC22" i="37"/>
  <c r="CD22" i="37"/>
  <c r="BZ22" i="37"/>
  <c r="D437" i="27"/>
  <c r="BX9" i="37"/>
  <c r="BQ9" i="37"/>
  <c r="BT9" i="37"/>
  <c r="BW9" i="37"/>
  <c r="BU9" i="37"/>
  <c r="AG9" i="37"/>
  <c r="AI9" i="37" s="1"/>
  <c r="BV9" i="37"/>
  <c r="BS9" i="37"/>
  <c r="D303" i="27"/>
  <c r="AR50" i="37"/>
  <c r="AV22" i="37"/>
  <c r="AR13" i="37"/>
  <c r="AR45" i="37"/>
  <c r="AV35" i="37"/>
  <c r="AR26" i="37"/>
  <c r="AW10" i="37"/>
  <c r="AT21" i="37"/>
  <c r="AY31" i="37"/>
  <c r="AX8" i="37"/>
  <c r="AU19" i="37"/>
  <c r="AS30" i="37"/>
  <c r="AX40" i="37"/>
  <c r="AS51" i="37"/>
  <c r="AS59" i="37"/>
  <c r="AT16" i="37"/>
  <c r="AY26" i="37"/>
  <c r="AU24" i="37"/>
  <c r="AT47" i="37"/>
  <c r="AX58" i="37"/>
  <c r="AU30" i="37"/>
  <c r="AT49" i="37"/>
  <c r="AT60" i="37"/>
  <c r="AY34" i="37"/>
  <c r="AR51" i="37"/>
  <c r="AV61" i="37"/>
  <c r="AS39" i="37"/>
  <c r="AT53" i="37"/>
  <c r="AV24" i="37"/>
  <c r="AR15" i="37"/>
  <c r="AR47" i="37"/>
  <c r="AV37" i="37"/>
  <c r="AR28" i="37"/>
  <c r="AT11" i="37"/>
  <c r="AY21" i="37"/>
  <c r="AW32" i="37"/>
  <c r="AU9" i="37"/>
  <c r="AS20" i="37"/>
  <c r="AX30" i="37"/>
  <c r="AU41" i="37"/>
  <c r="AW51" i="37"/>
  <c r="AW59" i="37"/>
  <c r="AY16" i="37"/>
  <c r="AW27" i="37"/>
  <c r="AS27" i="37"/>
  <c r="AT48" i="37"/>
  <c r="AU59" i="37"/>
  <c r="AS33" i="37"/>
  <c r="AT50" i="37"/>
  <c r="AY60" i="37"/>
  <c r="AT36" i="37"/>
  <c r="AX51" i="37"/>
  <c r="AR62" i="37"/>
  <c r="AU40" i="37"/>
  <c r="AY53" i="37"/>
  <c r="AX17" i="37"/>
  <c r="AS56" i="37"/>
  <c r="AU20" i="37"/>
  <c r="AR35" i="37"/>
  <c r="AS48" i="37"/>
  <c r="AY56" i="37"/>
  <c r="AR18" i="37"/>
  <c r="AW13" i="37"/>
  <c r="AX47" i="37"/>
  <c r="AW61" i="37"/>
  <c r="AS18" i="37"/>
  <c r="AW49" i="37"/>
  <c r="AT31" i="37"/>
  <c r="AR58" i="37"/>
  <c r="AV26" i="37"/>
  <c r="AR17" i="37"/>
  <c r="AR49" i="37"/>
  <c r="AV39" i="37"/>
  <c r="AR30" i="37"/>
  <c r="AY11" i="37"/>
  <c r="AW22" i="37"/>
  <c r="AT33" i="37"/>
  <c r="AS10" i="37"/>
  <c r="AX20" i="37"/>
  <c r="AU31" i="37"/>
  <c r="AS42" i="37"/>
  <c r="AS52" i="37"/>
  <c r="AS60" i="37"/>
  <c r="AW17" i="37"/>
  <c r="AT28" i="37"/>
  <c r="AX29" i="37"/>
  <c r="AS49" i="37"/>
  <c r="AR60" i="37"/>
  <c r="AU34" i="37"/>
  <c r="AY50" i="37"/>
  <c r="AU61" i="37"/>
  <c r="AW37" i="37"/>
  <c r="AU52" i="37"/>
  <c r="AV62" i="37"/>
  <c r="AX41" i="37"/>
  <c r="AV54" i="37"/>
  <c r="AS45" i="37"/>
  <c r="AY43" i="37"/>
  <c r="AR48" i="37"/>
  <c r="AW23" i="37"/>
  <c r="AX31" i="37"/>
  <c r="AS38" i="37"/>
  <c r="AX25" i="37"/>
  <c r="AS19" i="37"/>
  <c r="AY51" i="37"/>
  <c r="AR11" i="37"/>
  <c r="AT26" i="37"/>
  <c r="AV28" i="37"/>
  <c r="AR19" i="37"/>
  <c r="AV9" i="37"/>
  <c r="AV41" i="37"/>
  <c r="AR32" i="37"/>
  <c r="AW12" i="37"/>
  <c r="AT23" i="37"/>
  <c r="AY33" i="37"/>
  <c r="AX10" i="37"/>
  <c r="AU21" i="37"/>
  <c r="AS32" i="37"/>
  <c r="AX42" i="37"/>
  <c r="AW52" i="37"/>
  <c r="AW60" i="37"/>
  <c r="AT18" i="37"/>
  <c r="AY28" i="37"/>
  <c r="AU32" i="37"/>
  <c r="AY49" i="37"/>
  <c r="AX60" i="37"/>
  <c r="AX35" i="37"/>
  <c r="AV51" i="37"/>
  <c r="AY61" i="37"/>
  <c r="AY38" i="37"/>
  <c r="AR53" i="37"/>
  <c r="AU10" i="37"/>
  <c r="AW42" i="37"/>
  <c r="AT55" i="37"/>
  <c r="AX11" i="37"/>
  <c r="AU14" i="37"/>
  <c r="AY48" i="37"/>
  <c r="AR16" i="37"/>
  <c r="AS11" i="37"/>
  <c r="AX49" i="37"/>
  <c r="AV46" i="37"/>
  <c r="AT29" i="37"/>
  <c r="AS57" i="37"/>
  <c r="AX45" i="37"/>
  <c r="AS61" i="37"/>
  <c r="AT51" i="37"/>
  <c r="AY14" i="37"/>
  <c r="AU36" i="37"/>
  <c r="AX18" i="37"/>
  <c r="AX27" i="37"/>
  <c r="AV30" i="37"/>
  <c r="AR21" i="37"/>
  <c r="AV11" i="37"/>
  <c r="AV43" i="37"/>
  <c r="AR34" i="37"/>
  <c r="AT13" i="37"/>
  <c r="AY23" i="37"/>
  <c r="AW34" i="37"/>
  <c r="AU11" i="37"/>
  <c r="AS22" i="37"/>
  <c r="AX32" i="37"/>
  <c r="AU43" i="37"/>
  <c r="AS53" i="37"/>
  <c r="AT8" i="37"/>
  <c r="AY18" i="37"/>
  <c r="AW29" i="37"/>
  <c r="AT34" i="37"/>
  <c r="AZ34" i="37" s="1" a="1"/>
  <c r="AX50" i="37"/>
  <c r="AT61" i="37"/>
  <c r="AS37" i="37"/>
  <c r="AT52" i="37"/>
  <c r="AU62" i="37"/>
  <c r="AT40" i="37"/>
  <c r="AX53" i="37"/>
  <c r="AS13" i="37"/>
  <c r="AW43" i="37"/>
  <c r="AY55" i="37"/>
  <c r="AS43" i="37"/>
  <c r="AU26" i="37"/>
  <c r="AY22" i="37"/>
  <c r="AU37" i="37"/>
  <c r="AY44" i="37"/>
  <c r="AY39" i="37"/>
  <c r="AV57" i="37"/>
  <c r="AW25" i="37"/>
  <c r="AS8" i="37"/>
  <c r="AW33" i="37"/>
  <c r="AV32" i="37"/>
  <c r="AR23" i="37"/>
  <c r="AV13" i="37"/>
  <c r="AV45" i="37"/>
  <c r="AR36" i="37"/>
  <c r="AY13" i="37"/>
  <c r="AW24" i="37"/>
  <c r="AT35" i="37"/>
  <c r="AS12" i="37"/>
  <c r="AX22" i="37"/>
  <c r="AU33" i="37"/>
  <c r="AS44" i="37"/>
  <c r="AW53" i="37"/>
  <c r="AY8" i="37"/>
  <c r="AW19" i="37"/>
  <c r="AT30" i="37"/>
  <c r="AW35" i="37"/>
  <c r="AU51" i="37"/>
  <c r="AX61" i="37"/>
  <c r="AU38" i="37"/>
  <c r="AY52" i="37"/>
  <c r="AY62" i="37"/>
  <c r="AW41" i="37"/>
  <c r="AU54" i="37"/>
  <c r="AX15" i="37"/>
  <c r="AU44" i="37"/>
  <c r="AV56" i="37"/>
  <c r="AY32" i="37"/>
  <c r="AT12" i="37"/>
  <c r="AS29" i="37"/>
  <c r="AS16" i="37"/>
  <c r="AS23" i="37"/>
  <c r="AV14" i="37"/>
  <c r="AU27" i="37"/>
  <c r="AX19" i="37"/>
  <c r="AS35" i="37"/>
  <c r="AS31" i="37"/>
  <c r="AW20" i="37"/>
  <c r="AV52" i="37"/>
  <c r="AV34" i="37"/>
  <c r="AR25" i="37"/>
  <c r="AV15" i="37"/>
  <c r="AV47" i="37"/>
  <c r="AR38" i="37"/>
  <c r="AW14" i="37"/>
  <c r="AT25" i="37"/>
  <c r="AY35" i="37"/>
  <c r="AX12" i="37"/>
  <c r="AU23" i="37"/>
  <c r="AS34" i="37"/>
  <c r="AX44" i="37"/>
  <c r="AS54" i="37"/>
  <c r="AW9" i="37"/>
  <c r="AT20" i="37"/>
  <c r="AY30" i="37"/>
  <c r="AY36" i="37"/>
  <c r="AR52" i="37"/>
  <c r="AT62" i="37"/>
  <c r="AX39" i="37"/>
  <c r="AV53" i="37"/>
  <c r="AX9" i="37"/>
  <c r="AU42" i="37"/>
  <c r="AR55" i="37"/>
  <c r="AU18" i="37"/>
  <c r="AT45" i="37"/>
  <c r="AT57" i="37"/>
  <c r="AW11" i="37"/>
  <c r="AR57" i="37"/>
  <c r="AU8" i="37"/>
  <c r="AX57" i="37"/>
  <c r="AV25" i="37"/>
  <c r="AY42" i="37"/>
  <c r="AW18" i="37"/>
  <c r="AX43" i="37"/>
  <c r="AW45" i="37"/>
  <c r="AW50" i="37"/>
  <c r="AV36" i="37"/>
  <c r="AR27" i="37"/>
  <c r="AV17" i="37"/>
  <c r="AV49" i="37"/>
  <c r="AR40" i="37"/>
  <c r="AT15" i="37"/>
  <c r="AY25" i="37"/>
  <c r="AW36" i="37"/>
  <c r="AU13" i="37"/>
  <c r="AS24" i="37"/>
  <c r="AX34" i="37"/>
  <c r="AU45" i="37"/>
  <c r="AW54" i="37"/>
  <c r="AT10" i="37"/>
  <c r="AY20" i="37"/>
  <c r="AW31" i="37"/>
  <c r="AT38" i="37"/>
  <c r="AX52" i="37"/>
  <c r="AX62" i="37"/>
  <c r="AS41" i="37"/>
  <c r="AT54" i="37"/>
  <c r="AU12" i="37"/>
  <c r="AT43" i="37"/>
  <c r="AX55" i="37"/>
  <c r="AS21" i="37"/>
  <c r="AT46" i="37"/>
  <c r="AY57" i="37"/>
  <c r="AY40" i="37"/>
  <c r="AT59" i="37"/>
  <c r="AX54" i="37"/>
  <c r="AY59" i="37"/>
  <c r="AY17" i="37"/>
  <c r="AY12" i="37"/>
  <c r="AU58" i="37"/>
  <c r="AX16" i="37"/>
  <c r="AR56" i="37"/>
  <c r="AX28" i="37"/>
  <c r="AY58" i="37"/>
  <c r="AY9" i="37"/>
  <c r="AX21" i="37"/>
  <c r="AX37" i="37"/>
  <c r="AV38" i="37"/>
  <c r="AR29" i="37"/>
  <c r="AV19" i="37"/>
  <c r="AR10" i="37"/>
  <c r="AR42" i="37"/>
  <c r="AY15" i="37"/>
  <c r="AW26" i="37"/>
  <c r="AT37" i="37"/>
  <c r="AS14" i="37"/>
  <c r="AX24" i="37"/>
  <c r="AU35" i="37"/>
  <c r="AS46" i="37"/>
  <c r="AS55" i="37"/>
  <c r="AY10" i="37"/>
  <c r="AW21" i="37"/>
  <c r="AT32" i="37"/>
  <c r="AW39" i="37"/>
  <c r="AU53" i="37"/>
  <c r="AS9" i="37"/>
  <c r="AT42" i="37"/>
  <c r="AY54" i="37"/>
  <c r="AS15" i="37"/>
  <c r="AT44" i="37"/>
  <c r="AU56" i="37"/>
  <c r="AX23" i="37"/>
  <c r="AS47" i="37"/>
  <c r="AV58" i="37"/>
  <c r="AX36" i="37"/>
  <c r="AW28" i="37"/>
  <c r="AU55" i="37"/>
  <c r="AV60" i="37"/>
  <c r="AX48" i="37"/>
  <c r="AR59" i="37"/>
  <c r="AZ59" i="37" s="1" a="1"/>
  <c r="AS50" i="37"/>
  <c r="AU29" i="37"/>
  <c r="AW62" i="37"/>
  <c r="AV8" i="37"/>
  <c r="AV40" i="37"/>
  <c r="AR31" i="37"/>
  <c r="AV21" i="37"/>
  <c r="AR12" i="37"/>
  <c r="AR44" i="37"/>
  <c r="AW16" i="37"/>
  <c r="AT27" i="37"/>
  <c r="AY37" i="37"/>
  <c r="AX14" i="37"/>
  <c r="AU25" i="37"/>
  <c r="AS36" i="37"/>
  <c r="AX46" i="37"/>
  <c r="AW55" i="37"/>
  <c r="AT22" i="37"/>
  <c r="AR54" i="37"/>
  <c r="AV55" i="37"/>
  <c r="AY47" i="37"/>
  <c r="AY41" i="37"/>
  <c r="AY45" i="37"/>
  <c r="AV44" i="37"/>
  <c r="AW56" i="37"/>
  <c r="AY46" i="37"/>
  <c r="AR8" i="37"/>
  <c r="AX13" i="37"/>
  <c r="AU57" i="37"/>
  <c r="AV20" i="37"/>
  <c r="AU46" i="37"/>
  <c r="AV10" i="37"/>
  <c r="AV42" i="37"/>
  <c r="AR33" i="37"/>
  <c r="AV23" i="37"/>
  <c r="AR14" i="37"/>
  <c r="AR46" i="37"/>
  <c r="AT17" i="37"/>
  <c r="AY27" i="37"/>
  <c r="AW38" i="37"/>
  <c r="AU15" i="37"/>
  <c r="AS26" i="37"/>
  <c r="AU47" i="37"/>
  <c r="AT56" i="37"/>
  <c r="AX26" i="37"/>
  <c r="AS17" i="37"/>
  <c r="AV27" i="37"/>
  <c r="AT24" i="37"/>
  <c r="AX33" i="37"/>
  <c r="AS58" i="37"/>
  <c r="AU60" i="37"/>
  <c r="AR24" i="37"/>
  <c r="AU50" i="37"/>
  <c r="AV12" i="37"/>
  <c r="AT39" i="37"/>
  <c r="AV50" i="37"/>
  <c r="AX59" i="37"/>
  <c r="AW47" i="37"/>
  <c r="AW58" i="37"/>
  <c r="AR61" i="37"/>
  <c r="AR37" i="37"/>
  <c r="AW15" i="37"/>
  <c r="AV16" i="37"/>
  <c r="AV48" i="37"/>
  <c r="AR39" i="37"/>
  <c r="AV29" i="37"/>
  <c r="AR20" i="37"/>
  <c r="AW8" i="37"/>
  <c r="AT19" i="37"/>
  <c r="AY29" i="37"/>
  <c r="AW40" i="37"/>
  <c r="AU17" i="37"/>
  <c r="AS28" i="37"/>
  <c r="AX38" i="37"/>
  <c r="AU49" i="37"/>
  <c r="AW57" i="37"/>
  <c r="AT14" i="37"/>
  <c r="AY24" i="37"/>
  <c r="AU16" i="37"/>
  <c r="AW44" i="37"/>
  <c r="AX56" i="37"/>
  <c r="AU22" i="37"/>
  <c r="AW46" i="37"/>
  <c r="AT58" i="37"/>
  <c r="AU28" i="37"/>
  <c r="AW48" i="37"/>
  <c r="AS25" i="37"/>
  <c r="AV33" i="37"/>
  <c r="AU48" i="37"/>
  <c r="AV18" i="37"/>
  <c r="AR9" i="37"/>
  <c r="AR41" i="37"/>
  <c r="AV31" i="37"/>
  <c r="AR22" i="37"/>
  <c r="AT9" i="37"/>
  <c r="AY19" i="37"/>
  <c r="AW30" i="37"/>
  <c r="AT41" i="37"/>
  <c r="AU39" i="37"/>
  <c r="AS62" i="37"/>
  <c r="AR43" i="37"/>
  <c r="AS40" i="37"/>
  <c r="AV59" i="37"/>
  <c r="CB12" i="37"/>
  <c r="BZ12" i="37"/>
  <c r="BT12" i="37"/>
  <c r="BW12" i="37"/>
  <c r="CD12" i="37"/>
  <c r="CA12" i="37"/>
  <c r="CE12" i="37"/>
  <c r="BQ12" i="37"/>
  <c r="BV12" i="37"/>
  <c r="AG12" i="37"/>
  <c r="AI12" i="37" s="1"/>
  <c r="BU12" i="37"/>
  <c r="CG12" i="37"/>
  <c r="CC12" i="37"/>
  <c r="CF12" i="37"/>
  <c r="BX12" i="37"/>
  <c r="BS12" i="37"/>
  <c r="D332" i="27"/>
  <c r="AK8" i="37"/>
  <c r="P8" i="37" s="1"/>
  <c r="AN32" i="37"/>
  <c r="S32" i="37" s="1"/>
  <c r="BV32" i="37" s="1"/>
  <c r="AP50" i="37"/>
  <c r="U50" i="37" s="1"/>
  <c r="BX50" i="37" s="1"/>
  <c r="AN59" i="37"/>
  <c r="S59" i="37" s="1"/>
  <c r="AL37" i="37"/>
  <c r="AO46" i="37"/>
  <c r="T46" i="37" s="1"/>
  <c r="T3" i="37" s="1"/>
  <c r="T4" i="37" s="1"/>
  <c r="AL16" i="37"/>
  <c r="AM56" i="37"/>
  <c r="R56" i="37" s="1"/>
  <c r="AN47" i="37"/>
  <c r="S47" i="37" s="1"/>
  <c r="AL59" i="37"/>
  <c r="Q59" i="37" s="1"/>
  <c r="AO22" i="37"/>
  <c r="T22" i="37" s="1"/>
  <c r="AM45" i="37"/>
  <c r="R45" i="37" s="1"/>
  <c r="AK23" i="37"/>
  <c r="AL49" i="37"/>
  <c r="Q49" i="37" s="1"/>
  <c r="AO30" i="37"/>
  <c r="AL29" i="37"/>
  <c r="Q29" i="37" s="1"/>
  <c r="D510" i="27" s="1"/>
  <c r="AM53" i="37"/>
  <c r="AO37" i="37"/>
  <c r="T37" i="37" s="1"/>
  <c r="AP14" i="37"/>
  <c r="U14" i="37" s="1"/>
  <c r="AM15" i="37"/>
  <c r="R15" i="37" s="1"/>
  <c r="AO48" i="37"/>
  <c r="AM62" i="37"/>
  <c r="R62" i="37" s="1"/>
  <c r="AN18" i="37"/>
  <c r="AM22" i="37"/>
  <c r="R22" i="37" s="1"/>
  <c r="D440" i="27" s="1"/>
  <c r="AP30" i="37"/>
  <c r="U30" i="37" s="1"/>
  <c r="AN48" i="37"/>
  <c r="S48" i="37" s="1"/>
  <c r="BV48" i="37" s="1"/>
  <c r="AM25" i="37"/>
  <c r="R25" i="37" s="1"/>
  <c r="AK48" i="37"/>
  <c r="AP27" i="37"/>
  <c r="AO33" i="37"/>
  <c r="T33" i="37" s="1"/>
  <c r="AP54" i="37"/>
  <c r="AL58" i="37"/>
  <c r="Q58" i="37" s="1"/>
  <c r="AM13" i="37"/>
  <c r="AP16" i="37"/>
  <c r="U16" i="37" s="1"/>
  <c r="D377" i="27" s="1"/>
  <c r="AK35" i="37"/>
  <c r="AK20" i="37"/>
  <c r="AL62" i="37"/>
  <c r="AO42" i="37"/>
  <c r="AO35" i="37"/>
  <c r="T35" i="37" s="1"/>
  <c r="AP12" i="37"/>
  <c r="U12" i="37" s="1"/>
  <c r="AP17" i="37"/>
  <c r="U17" i="37" s="1"/>
  <c r="D388" i="27" s="1"/>
  <c r="AK38" i="37"/>
  <c r="AL48" i="37"/>
  <c r="Q48" i="37" s="1"/>
  <c r="BT48" i="37" s="1"/>
  <c r="AO51" i="37"/>
  <c r="T51" i="37" s="1"/>
  <c r="AN44" i="37"/>
  <c r="AM58" i="37"/>
  <c r="R58" i="37" s="1"/>
  <c r="AP62" i="37"/>
  <c r="AO52" i="37"/>
  <c r="T52" i="37" s="1"/>
  <c r="AL57" i="37"/>
  <c r="AP45" i="37"/>
  <c r="U45" i="37" s="1"/>
  <c r="AO61" i="37"/>
  <c r="T61" i="37" s="1"/>
  <c r="AK16" i="37"/>
  <c r="AM54" i="37"/>
  <c r="AM52" i="37"/>
  <c r="R52" i="37" s="1"/>
  <c r="AM16" i="37"/>
  <c r="R16" i="37" s="1"/>
  <c r="AL26" i="37"/>
  <c r="Q26" i="37" s="1"/>
  <c r="AL22" i="37"/>
  <c r="AL14" i="37"/>
  <c r="Q14" i="37" s="1"/>
  <c r="AP20" i="37"/>
  <c r="U20" i="37" s="1"/>
  <c r="D419" i="27" s="1"/>
  <c r="AM9" i="37"/>
  <c r="R9" i="37" s="1"/>
  <c r="D306" i="27" s="1"/>
  <c r="AM50" i="37"/>
  <c r="AK32" i="37"/>
  <c r="AL34" i="37"/>
  <c r="AN33" i="37"/>
  <c r="S33" i="37" s="1"/>
  <c r="AK60" i="37"/>
  <c r="AM27" i="37"/>
  <c r="R27" i="37" s="1"/>
  <c r="AP33" i="37"/>
  <c r="U33" i="37" s="1"/>
  <c r="AN45" i="37"/>
  <c r="S45" i="37" s="1"/>
  <c r="AL54" i="37"/>
  <c r="AL60" i="37"/>
  <c r="Q60" i="37" s="1"/>
  <c r="AM31" i="37"/>
  <c r="AP28" i="37"/>
  <c r="U28" i="37" s="1"/>
  <c r="D499" i="27" s="1"/>
  <c r="AN30" i="37"/>
  <c r="S30" i="37" s="1"/>
  <c r="AO29" i="37"/>
  <c r="T29" i="37" s="1"/>
  <c r="AK53" i="37"/>
  <c r="AP25" i="37"/>
  <c r="U25" i="37" s="1"/>
  <c r="AM34" i="37"/>
  <c r="AL44" i="37"/>
  <c r="Q44" i="37" s="1"/>
  <c r="AN52" i="37"/>
  <c r="AK31" i="37"/>
  <c r="AK37" i="37"/>
  <c r="AN61" i="37"/>
  <c r="S61" i="37" s="1"/>
  <c r="AN54" i="37"/>
  <c r="S54" i="37" s="1"/>
  <c r="AL38" i="37"/>
  <c r="Q38" i="37" s="1"/>
  <c r="BT38" i="37" s="1"/>
  <c r="AM21" i="37"/>
  <c r="R21" i="37" s="1"/>
  <c r="AL32" i="37"/>
  <c r="Q32" i="37" s="1"/>
  <c r="BT32" i="37" s="1"/>
  <c r="AL19" i="37"/>
  <c r="Q19" i="37" s="1"/>
  <c r="AM49" i="37"/>
  <c r="R49" i="37" s="1"/>
  <c r="AO16" i="37"/>
  <c r="T16" i="37" s="1"/>
  <c r="AO19" i="37"/>
  <c r="T19" i="37" s="1"/>
  <c r="AN12" i="37"/>
  <c r="AO21" i="37"/>
  <c r="T21" i="37" s="1"/>
  <c r="D430" i="27" s="1"/>
  <c r="AL9" i="37"/>
  <c r="AK10" i="37"/>
  <c r="AL55" i="37"/>
  <c r="AN43" i="37"/>
  <c r="S43" i="37" s="1"/>
  <c r="AL56" i="37"/>
  <c r="AN41" i="37"/>
  <c r="S41" i="37" s="1"/>
  <c r="AM55" i="37"/>
  <c r="R55" i="37" s="1"/>
  <c r="AP60" i="37"/>
  <c r="U60" i="37" s="1"/>
  <c r="AP39" i="37"/>
  <c r="U39" i="37" s="1"/>
  <c r="D616" i="27" s="1"/>
  <c r="AL24" i="37"/>
  <c r="Q24" i="37" s="1"/>
  <c r="AN25" i="37"/>
  <c r="AK59" i="37"/>
  <c r="AL47" i="37"/>
  <c r="Q47" i="37" s="1"/>
  <c r="AP36" i="37"/>
  <c r="U36" i="37" s="1"/>
  <c r="AO17" i="37"/>
  <c r="T17" i="37" s="1"/>
  <c r="AO10" i="37"/>
  <c r="T10" i="37" s="1"/>
  <c r="D315" i="27" s="1"/>
  <c r="AN42" i="37"/>
  <c r="AP59" i="37"/>
  <c r="U59" i="37" s="1"/>
  <c r="AO38" i="37"/>
  <c r="AM10" i="37"/>
  <c r="R10" i="37" s="1"/>
  <c r="AM61" i="37"/>
  <c r="R61" i="37" s="1"/>
  <c r="AO40" i="37"/>
  <c r="T40" i="37" s="1"/>
  <c r="AK44" i="37"/>
  <c r="AK9" i="37"/>
  <c r="AN60" i="37"/>
  <c r="S60" i="37" s="1"/>
  <c r="AO54" i="37"/>
  <c r="T54" i="37" s="1"/>
  <c r="AP26" i="37"/>
  <c r="U26" i="37" s="1"/>
  <c r="AM20" i="37"/>
  <c r="R20" i="37" s="1"/>
  <c r="AO27" i="37"/>
  <c r="T27" i="37" s="1"/>
  <c r="D489" i="27" s="1"/>
  <c r="AP53" i="37"/>
  <c r="U53" i="37" s="1"/>
  <c r="AK34" i="37"/>
  <c r="AM32" i="37"/>
  <c r="R32" i="37" s="1"/>
  <c r="BU32" i="37" s="1"/>
  <c r="AK29" i="37"/>
  <c r="AK54" i="37"/>
  <c r="AL53" i="37"/>
  <c r="AK57" i="37"/>
  <c r="AK33" i="37"/>
  <c r="AN22" i="37"/>
  <c r="S22" i="37" s="1"/>
  <c r="AN56" i="37"/>
  <c r="S56" i="37" s="1"/>
  <c r="AO34" i="37"/>
  <c r="T34" i="37" s="1"/>
  <c r="AO39" i="37"/>
  <c r="T39" i="37" s="1"/>
  <c r="AO45" i="37"/>
  <c r="T45" i="37" s="1"/>
  <c r="AK28" i="37"/>
  <c r="AP40" i="37"/>
  <c r="U40" i="37" s="1"/>
  <c r="AO50" i="37"/>
  <c r="T50" i="37" s="1"/>
  <c r="BW50" i="37" s="1"/>
  <c r="AM14" i="37"/>
  <c r="R14" i="37" s="1"/>
  <c r="D357" i="27" s="1"/>
  <c r="AM60" i="37"/>
  <c r="R60" i="37" s="1"/>
  <c r="AM33" i="37"/>
  <c r="R33" i="37" s="1"/>
  <c r="AK56" i="37"/>
  <c r="AL36" i="37"/>
  <c r="Q36" i="37" s="1"/>
  <c r="AO56" i="37"/>
  <c r="AL51" i="37"/>
  <c r="Q51" i="37" s="1"/>
  <c r="AO12" i="37"/>
  <c r="T12" i="37" s="1"/>
  <c r="AP58" i="37"/>
  <c r="U58" i="37" s="1"/>
  <c r="AL39" i="37"/>
  <c r="Q39" i="37" s="1"/>
  <c r="D615" i="27" s="1"/>
  <c r="AO32" i="37"/>
  <c r="T32" i="37" s="1"/>
  <c r="BW32" i="37" s="1"/>
  <c r="AM36" i="37"/>
  <c r="AP15" i="37"/>
  <c r="U15" i="37" s="1"/>
  <c r="AP18" i="37"/>
  <c r="U18" i="37" s="1"/>
  <c r="AM8" i="37"/>
  <c r="R8" i="37" s="1"/>
  <c r="AL27" i="37"/>
  <c r="Q27" i="37" s="1"/>
  <c r="AK24" i="37"/>
  <c r="AN34" i="37"/>
  <c r="S34" i="37" s="1"/>
  <c r="AN31" i="37"/>
  <c r="S31" i="37" s="1"/>
  <c r="AM17" i="37"/>
  <c r="AN19" i="37"/>
  <c r="S19" i="37" s="1"/>
  <c r="AK40" i="37"/>
  <c r="AK58" i="37"/>
  <c r="AL43" i="37"/>
  <c r="AP55" i="37"/>
  <c r="U55" i="37" s="1"/>
  <c r="AK12" i="37"/>
  <c r="AO26" i="37"/>
  <c r="T26" i="37" s="1"/>
  <c r="AN53" i="37"/>
  <c r="AM35" i="37"/>
  <c r="R35" i="37" s="1"/>
  <c r="D573" i="27" s="1"/>
  <c r="AN23" i="37"/>
  <c r="S23" i="37" s="1"/>
  <c r="BV23" i="37" s="1"/>
  <c r="AM57" i="37"/>
  <c r="R57" i="37" s="1"/>
  <c r="AM30" i="37"/>
  <c r="R30" i="37" s="1"/>
  <c r="D521" i="27" s="1"/>
  <c r="AL12" i="37"/>
  <c r="Q12" i="37" s="1"/>
  <c r="D335" i="27" s="1"/>
  <c r="AM11" i="37"/>
  <c r="R11" i="37" s="1"/>
  <c r="BU11" i="37" s="1"/>
  <c r="AL30" i="37"/>
  <c r="Q30" i="37" s="1"/>
  <c r="AP61" i="37"/>
  <c r="AO60" i="37"/>
  <c r="T60" i="37" s="1"/>
  <c r="AK49" i="37"/>
  <c r="AK13" i="37"/>
  <c r="AN58" i="37"/>
  <c r="S58" i="37" s="1"/>
  <c r="AN35" i="37"/>
  <c r="S35" i="37" s="1"/>
  <c r="AL17" i="37"/>
  <c r="Q17" i="37" s="1"/>
  <c r="AP13" i="37"/>
  <c r="U13" i="37" s="1"/>
  <c r="AN57" i="37"/>
  <c r="AM29" i="37"/>
  <c r="R29" i="37" s="1"/>
  <c r="AN9" i="37"/>
  <c r="AO25" i="37"/>
  <c r="T25" i="37" s="1"/>
  <c r="AK26" i="37"/>
  <c r="AN17" i="37"/>
  <c r="S17" i="37" s="1"/>
  <c r="AM40" i="37"/>
  <c r="R40" i="37" s="1"/>
  <c r="D627" i="27" s="1"/>
  <c r="AK47" i="37"/>
  <c r="AO15" i="37"/>
  <c r="AK14" i="37"/>
  <c r="AP19" i="37"/>
  <c r="AK36" i="37"/>
  <c r="AM37" i="37"/>
  <c r="AN38" i="37"/>
  <c r="S38" i="37" s="1"/>
  <c r="BV38" i="37" s="1"/>
  <c r="AK55" i="37"/>
  <c r="AN27" i="37"/>
  <c r="S27" i="37" s="1"/>
  <c r="AL52" i="37"/>
  <c r="AK50" i="37"/>
  <c r="AP34" i="37"/>
  <c r="U34" i="37" s="1"/>
  <c r="AO53" i="37"/>
  <c r="T53" i="37" s="1"/>
  <c r="AM28" i="37"/>
  <c r="R28" i="37" s="1"/>
  <c r="AO31" i="37"/>
  <c r="T31" i="37" s="1"/>
  <c r="D532" i="27" s="1"/>
  <c r="AP57" i="37"/>
  <c r="AK51" i="37"/>
  <c r="AL45" i="37"/>
  <c r="AO18" i="37"/>
  <c r="T18" i="37" s="1"/>
  <c r="AK45" i="37"/>
  <c r="AM41" i="37"/>
  <c r="R41" i="37" s="1"/>
  <c r="D638" i="27" s="1"/>
  <c r="AO49" i="37"/>
  <c r="AP11" i="37"/>
  <c r="U11" i="37" s="1"/>
  <c r="AO58" i="37"/>
  <c r="T58" i="37" s="1"/>
  <c r="AL42" i="37"/>
  <c r="Q42" i="37" s="1"/>
  <c r="AP47" i="37"/>
  <c r="AN51" i="37"/>
  <c r="S51" i="37" s="1"/>
  <c r="AO14" i="37"/>
  <c r="T14" i="37" s="1"/>
  <c r="AO55" i="37"/>
  <c r="T55" i="37" s="1"/>
  <c r="AL10" i="37"/>
  <c r="Q10" i="37" s="1"/>
  <c r="AP23" i="37"/>
  <c r="U23" i="37" s="1"/>
  <c r="BX23" i="37" s="1"/>
  <c r="AP24" i="37"/>
  <c r="U24" i="37" s="1"/>
  <c r="D460" i="27" s="1"/>
  <c r="AP48" i="37"/>
  <c r="U48" i="37" s="1"/>
  <c r="BX48" i="37" s="1"/>
  <c r="AM39" i="37"/>
  <c r="AN20" i="37"/>
  <c r="S20" i="37" s="1"/>
  <c r="AN39" i="37"/>
  <c r="AM48" i="37"/>
  <c r="R48" i="37" s="1"/>
  <c r="BU48" i="37" s="1"/>
  <c r="AP44" i="37"/>
  <c r="AO43" i="37"/>
  <c r="T43" i="37" s="1"/>
  <c r="AL33" i="37"/>
  <c r="Q33" i="37" s="1"/>
  <c r="AP31" i="37"/>
  <c r="U31" i="37" s="1"/>
  <c r="AN62" i="37"/>
  <c r="AM24" i="37"/>
  <c r="R24" i="37" s="1"/>
  <c r="AN26" i="37"/>
  <c r="S26" i="37" s="1"/>
  <c r="AM38" i="37"/>
  <c r="R38" i="37" s="1"/>
  <c r="BU38" i="37" s="1"/>
  <c r="AP46" i="37"/>
  <c r="U46" i="37" s="1"/>
  <c r="U3" i="37" s="1"/>
  <c r="U4" i="37" s="1"/>
  <c r="AO13" i="37"/>
  <c r="T13" i="37" s="1"/>
  <c r="AO9" i="37"/>
  <c r="T9" i="37" s="1"/>
  <c r="AN24" i="37"/>
  <c r="S24" i="37" s="1"/>
  <c r="AP43" i="37"/>
  <c r="AP32" i="37"/>
  <c r="U32" i="37" s="1"/>
  <c r="AN36" i="37"/>
  <c r="AN49" i="37"/>
  <c r="S49" i="37" s="1"/>
  <c r="AL35" i="37"/>
  <c r="AO47" i="37"/>
  <c r="T47" i="37" s="1"/>
  <c r="AO28" i="37"/>
  <c r="T28" i="37" s="1"/>
  <c r="AK62" i="37"/>
  <c r="AL25" i="37"/>
  <c r="Q25" i="37" s="1"/>
  <c r="D469" i="27" s="1"/>
  <c r="AP8" i="37"/>
  <c r="U8" i="37" s="1"/>
  <c r="AP42" i="37"/>
  <c r="U42" i="37" s="1"/>
  <c r="AN29" i="37"/>
  <c r="S29" i="37" s="1"/>
  <c r="AK19" i="37"/>
  <c r="AP37" i="37"/>
  <c r="U37" i="37" s="1"/>
  <c r="D595" i="27" s="1"/>
  <c r="AK39" i="37"/>
  <c r="AP38" i="37"/>
  <c r="U38" i="37" s="1"/>
  <c r="BX38" i="37" s="1"/>
  <c r="AP9" i="37"/>
  <c r="AN11" i="37"/>
  <c r="S11" i="37" s="1"/>
  <c r="BV11" i="37" s="1"/>
  <c r="AL40" i="37"/>
  <c r="Q40" i="37" s="1"/>
  <c r="AM42" i="37"/>
  <c r="R42" i="37" s="1"/>
  <c r="AN28" i="37"/>
  <c r="S28" i="37" s="1"/>
  <c r="AN15" i="37"/>
  <c r="S15" i="37" s="1"/>
  <c r="AM12" i="37"/>
  <c r="R12" i="37" s="1"/>
  <c r="AL8" i="37"/>
  <c r="Q8" i="37" s="1"/>
  <c r="AN16" i="37"/>
  <c r="S16" i="37" s="1"/>
  <c r="AP51" i="37"/>
  <c r="U51" i="37" s="1"/>
  <c r="AP21" i="37"/>
  <c r="U21" i="37" s="1"/>
  <c r="AK18" i="37"/>
  <c r="AM51" i="37"/>
  <c r="R51" i="37" s="1"/>
  <c r="AK11" i="37"/>
  <c r="AL46" i="37"/>
  <c r="Q46" i="37" s="1"/>
  <c r="Q3" i="37" s="1"/>
  <c r="Q4" i="37" s="1"/>
  <c r="AL13" i="37"/>
  <c r="Q13" i="37" s="1"/>
  <c r="AL15" i="37"/>
  <c r="AO59" i="37"/>
  <c r="T59" i="37" s="1"/>
  <c r="AO23" i="37"/>
  <c r="T23" i="37" s="1"/>
  <c r="AO24" i="37"/>
  <c r="T24" i="37" s="1"/>
  <c r="AM59" i="37"/>
  <c r="AL41" i="37"/>
  <c r="Q41" i="37" s="1"/>
  <c r="AM43" i="37"/>
  <c r="R43" i="37" s="1"/>
  <c r="AP56" i="37"/>
  <c r="U56" i="37" s="1"/>
  <c r="AO11" i="37"/>
  <c r="T11" i="37" s="1"/>
  <c r="BW11" i="37" s="1"/>
  <c r="AL20" i="37"/>
  <c r="Q20" i="37" s="1"/>
  <c r="AM44" i="37"/>
  <c r="R44" i="37" s="1"/>
  <c r="AP41" i="37"/>
  <c r="U41" i="37" s="1"/>
  <c r="D639" i="27" s="1"/>
  <c r="AL61" i="37"/>
  <c r="Q61" i="37" s="1"/>
  <c r="AK42" i="37"/>
  <c r="AK43" i="37"/>
  <c r="AP49" i="37"/>
  <c r="U49" i="37" s="1"/>
  <c r="AK27" i="37"/>
  <c r="AN21" i="37"/>
  <c r="S21" i="37" s="1"/>
  <c r="AO8" i="37"/>
  <c r="T8" i="37" s="1"/>
  <c r="AM26" i="37"/>
  <c r="R26" i="37" s="1"/>
  <c r="D479" i="27" s="1"/>
  <c r="AK22" i="37"/>
  <c r="AN50" i="37"/>
  <c r="S50" i="37" s="1"/>
  <c r="BV50" i="37" s="1"/>
  <c r="AO44" i="37"/>
  <c r="T44" i="37" s="1"/>
  <c r="AN46" i="37"/>
  <c r="S46" i="37" s="1"/>
  <c r="S3" i="37" s="1"/>
  <c r="S4" i="37" s="1"/>
  <c r="AL21" i="37"/>
  <c r="Q21" i="37" s="1"/>
  <c r="AN13" i="37"/>
  <c r="S13" i="37" s="1"/>
  <c r="AL11" i="37"/>
  <c r="Q11" i="37" s="1"/>
  <c r="BT11" i="37" s="1"/>
  <c r="AO20" i="37"/>
  <c r="T20" i="37" s="1"/>
  <c r="AN14" i="37"/>
  <c r="S14" i="37" s="1"/>
  <c r="AM18" i="37"/>
  <c r="R18" i="37" s="1"/>
  <c r="AK25" i="37"/>
  <c r="AO62" i="37"/>
  <c r="T62" i="37" s="1"/>
  <c r="AK30" i="37"/>
  <c r="AN37" i="37"/>
  <c r="S37" i="37" s="1"/>
  <c r="AO41" i="37"/>
  <c r="AK61" i="37"/>
  <c r="AM47" i="37"/>
  <c r="AL31" i="37"/>
  <c r="Q31" i="37" s="1"/>
  <c r="AL50" i="37"/>
  <c r="Q50" i="37" s="1"/>
  <c r="BT50" i="37" s="1"/>
  <c r="AP29" i="37"/>
  <c r="U29" i="37" s="1"/>
  <c r="AP52" i="37"/>
  <c r="AK15" i="37"/>
  <c r="AK21" i="37"/>
  <c r="AM23" i="37"/>
  <c r="R23" i="37" s="1"/>
  <c r="BU23" i="37" s="1"/>
  <c r="AL18" i="37"/>
  <c r="Q18" i="37" s="1"/>
  <c r="D397" i="27" s="1"/>
  <c r="AN55" i="37"/>
  <c r="S55" i="37" s="1"/>
  <c r="AK46" i="37"/>
  <c r="AN10" i="37"/>
  <c r="S10" i="37" s="1"/>
  <c r="AP10" i="37"/>
  <c r="U10" i="37" s="1"/>
  <c r="AK41" i="37"/>
  <c r="AM46" i="37"/>
  <c r="AP22" i="37"/>
  <c r="U22" i="37" s="1"/>
  <c r="AK52" i="37"/>
  <c r="AM19" i="37"/>
  <c r="R19" i="37" s="1"/>
  <c r="D408" i="27" s="1"/>
  <c r="AL23" i="37"/>
  <c r="Q23" i="37" s="1"/>
  <c r="BT23" i="37" s="1"/>
  <c r="AN40" i="37"/>
  <c r="S40" i="37" s="1"/>
  <c r="AO57" i="37"/>
  <c r="AO36" i="37"/>
  <c r="T36" i="37" s="1"/>
  <c r="D584" i="27" s="1"/>
  <c r="AK17" i="37"/>
  <c r="AP35" i="37"/>
  <c r="U35" i="37" s="1"/>
  <c r="AN8" i="37"/>
  <c r="S8" i="37" s="1"/>
  <c r="AL28" i="37"/>
  <c r="Q28" i="37" s="1"/>
  <c r="CH51" i="37"/>
  <c r="CG30" i="37"/>
  <c r="CF30" i="37"/>
  <c r="CC30" i="37"/>
  <c r="BU30" i="37"/>
  <c r="BV30" i="37"/>
  <c r="BW30" i="37"/>
  <c r="BT30" i="37"/>
  <c r="BS30" i="37"/>
  <c r="CB30" i="37"/>
  <c r="BQ30" i="37"/>
  <c r="BZ30" i="37"/>
  <c r="BX30" i="37"/>
  <c r="CD30" i="37"/>
  <c r="AG30" i="37"/>
  <c r="AI30" i="37" s="1"/>
  <c r="CA30" i="37"/>
  <c r="CE30" i="37"/>
  <c r="D517" i="27"/>
  <c r="BV41" i="37"/>
  <c r="BT41" i="37"/>
  <c r="BU41" i="37"/>
  <c r="BQ41" i="37"/>
  <c r="AG41" i="37"/>
  <c r="AI41" i="37" s="1"/>
  <c r="BS41" i="37"/>
  <c r="BW41" i="37"/>
  <c r="BX41" i="37"/>
  <c r="D634" i="27"/>
  <c r="CD41" i="37"/>
  <c r="CA41" i="37"/>
  <c r="CE41" i="37"/>
  <c r="CC41" i="37"/>
  <c r="BZ41" i="37"/>
  <c r="CB41" i="37"/>
  <c r="CG41" i="37"/>
  <c r="CF41" i="37"/>
  <c r="CH52" i="37"/>
  <c r="CB14" i="37"/>
  <c r="CA14" i="37"/>
  <c r="CE14" i="37"/>
  <c r="AG14" i="37"/>
  <c r="AI14" i="37" s="1"/>
  <c r="CC14" i="37"/>
  <c r="CF14" i="37"/>
  <c r="CD14" i="37"/>
  <c r="BZ14" i="37"/>
  <c r="BV14" i="37"/>
  <c r="BU14" i="37"/>
  <c r="BX14" i="37"/>
  <c r="BW14" i="37"/>
  <c r="BQ14" i="37"/>
  <c r="BS14" i="37"/>
  <c r="CG14" i="37"/>
  <c r="BT14" i="37"/>
  <c r="D353" i="27"/>
  <c r="CH62" i="37"/>
  <c r="BV44" i="37"/>
  <c r="BS44" i="37"/>
  <c r="AG44" i="37"/>
  <c r="AI44" i="37" s="1"/>
  <c r="BW44" i="37"/>
  <c r="BT44" i="37"/>
  <c r="BU44" i="37"/>
  <c r="BX44" i="37"/>
  <c r="BQ44" i="37"/>
  <c r="CC44" i="37"/>
  <c r="CD44" i="37"/>
  <c r="D602" i="27"/>
  <c r="BZ44" i="37"/>
  <c r="CB44" i="37"/>
  <c r="CA44" i="37"/>
  <c r="CG44" i="37"/>
  <c r="CE44" i="37"/>
  <c r="CF44" i="37"/>
  <c r="BQ43" i="37"/>
  <c r="BX43" i="37"/>
  <c r="BU43" i="37"/>
  <c r="BT43" i="37"/>
  <c r="BW43" i="37"/>
  <c r="BS43" i="37"/>
  <c r="BV43" i="37"/>
  <c r="AG43" i="37"/>
  <c r="AI43" i="37" s="1"/>
  <c r="D657" i="27"/>
  <c r="BV28" i="37"/>
  <c r="BX28" i="37"/>
  <c r="BT28" i="37"/>
  <c r="BQ28" i="37"/>
  <c r="BU28" i="37"/>
  <c r="AG28" i="37"/>
  <c r="AI28" i="37" s="1"/>
  <c r="BW28" i="37"/>
  <c r="BS28" i="37"/>
  <c r="D496" i="27"/>
  <c r="AI8" i="37"/>
  <c r="BW10" i="37"/>
  <c r="BS10" i="37"/>
  <c r="BU10" i="37"/>
  <c r="BV10" i="37"/>
  <c r="BQ10" i="37"/>
  <c r="BT10" i="37"/>
  <c r="AG10" i="37"/>
  <c r="AI10" i="37" s="1"/>
  <c r="BX10" i="37"/>
  <c r="CE10" i="37"/>
  <c r="D312" i="27"/>
  <c r="BZ10" i="37"/>
  <c r="CF10" i="37"/>
  <c r="CC10" i="37"/>
  <c r="CB10" i="37"/>
  <c r="CG10" i="37"/>
  <c r="CD10" i="37"/>
  <c r="CA10" i="37"/>
  <c r="AG26" i="37"/>
  <c r="AI26" i="37" s="1"/>
  <c r="BQ26" i="37"/>
  <c r="BU26" i="37"/>
  <c r="BV26" i="37"/>
  <c r="BW26" i="37"/>
  <c r="BT26" i="37"/>
  <c r="BS26" i="37"/>
  <c r="BX26" i="37"/>
  <c r="D476" i="27"/>
  <c r="BU24" i="37"/>
  <c r="AG24" i="37"/>
  <c r="AI24" i="37" s="1"/>
  <c r="BT24" i="37"/>
  <c r="BS24" i="37"/>
  <c r="BW24" i="37"/>
  <c r="BQ24" i="37"/>
  <c r="BX24" i="37"/>
  <c r="BV24" i="37"/>
  <c r="D457" i="27"/>
  <c r="U9" i="37"/>
  <c r="S12" i="37"/>
  <c r="R13" i="37"/>
  <c r="D346" i="27" s="1"/>
  <c r="Q15" i="37"/>
  <c r="S36" i="37"/>
  <c r="R37" i="37"/>
  <c r="T42" i="37"/>
  <c r="D650" i="27" s="1"/>
  <c r="S44" i="37"/>
  <c r="R46" i="37"/>
  <c r="R3" i="37" s="1"/>
  <c r="R4" i="37" s="1"/>
  <c r="S52" i="37"/>
  <c r="R53" i="37"/>
  <c r="R54" i="37"/>
  <c r="Q55" i="37"/>
  <c r="U57" i="37"/>
  <c r="Q9" i="37"/>
  <c r="U19" i="37"/>
  <c r="U27" i="37"/>
  <c r="S18" i="37"/>
  <c r="R31" i="37"/>
  <c r="Q37" i="37"/>
  <c r="Q43" i="37"/>
  <c r="U47" i="37"/>
  <c r="R50" i="37"/>
  <c r="BU50" i="37" s="1"/>
  <c r="T15" i="37"/>
  <c r="D366" i="27" s="1"/>
  <c r="R17" i="37"/>
  <c r="Q35" i="37"/>
  <c r="R36" i="37"/>
  <c r="T38" i="37"/>
  <c r="BW38" i="37" s="1"/>
  <c r="T57" i="37"/>
  <c r="S62" i="37"/>
  <c r="T30" i="37"/>
  <c r="R34" i="37"/>
  <c r="S42" i="37"/>
  <c r="U43" i="37"/>
  <c r="D661" i="27" s="1"/>
  <c r="R47" i="37"/>
  <c r="T49" i="37"/>
  <c r="Q53" i="37"/>
  <c r="T56" i="37"/>
  <c r="R39" i="37"/>
  <c r="T41" i="37"/>
  <c r="Q45" i="37"/>
  <c r="T48" i="37"/>
  <c r="BW48" i="37" s="1"/>
  <c r="Q57" i="37"/>
  <c r="R59" i="37"/>
  <c r="U61" i="37"/>
  <c r="Q56" i="37"/>
  <c r="S53" i="37"/>
  <c r="Q16" i="37"/>
  <c r="U52" i="37"/>
  <c r="U44" i="37"/>
  <c r="S39" i="37"/>
  <c r="Q34" i="37"/>
  <c r="D562" i="27" s="1"/>
  <c r="U62" i="37"/>
  <c r="S57" i="37"/>
  <c r="U54" i="37"/>
  <c r="Q52" i="37"/>
  <c r="S25" i="37"/>
  <c r="S9" i="37"/>
  <c r="Q62" i="37"/>
  <c r="Q54" i="37"/>
  <c r="Q22" i="37"/>
  <c r="AI48" i="37"/>
  <c r="CH47" i="37"/>
  <c r="BT45" i="37"/>
  <c r="AG45" i="37"/>
  <c r="AI45" i="37" s="1"/>
  <c r="BV45" i="37"/>
  <c r="BW45" i="37"/>
  <c r="BS45" i="37"/>
  <c r="BQ45" i="37"/>
  <c r="BU45" i="37"/>
  <c r="BX45" i="37"/>
  <c r="CH49" i="37"/>
  <c r="CH46" i="37"/>
  <c r="K3" i="37"/>
  <c r="K4" i="37" s="1"/>
  <c r="L64" i="37"/>
  <c r="L3" i="37" s="1"/>
  <c r="L4" i="37" s="1"/>
  <c r="CF36" i="37"/>
  <c r="CG36" i="37"/>
  <c r="CA36" i="37"/>
  <c r="CC36" i="37"/>
  <c r="BZ36" i="37"/>
  <c r="CE36" i="37"/>
  <c r="CD36" i="37"/>
  <c r="CB36" i="37"/>
  <c r="D580" i="27"/>
  <c r="BZ34" i="37"/>
  <c r="CB34" i="37"/>
  <c r="CD34" i="37"/>
  <c r="CC34" i="37"/>
  <c r="CF34" i="37"/>
  <c r="CA34" i="37"/>
  <c r="CE34" i="37"/>
  <c r="CG34" i="37"/>
  <c r="D559" i="27"/>
  <c r="D591" i="27"/>
  <c r="AZ21" i="37" a="1"/>
  <c r="AZ19" i="37" a="1"/>
  <c r="D550" i="27"/>
  <c r="I123" i="14"/>
  <c r="CF35" i="37"/>
  <c r="CA35" i="37"/>
  <c r="BZ35" i="37"/>
  <c r="CE35" i="37"/>
  <c r="CC35" i="37"/>
  <c r="CD35" i="37"/>
  <c r="CB35" i="37"/>
  <c r="CG35" i="37"/>
  <c r="D569" i="27"/>
  <c r="AZ26" i="37" l="1" a="1"/>
  <c r="AZ47" i="37" a="1"/>
  <c r="BA42" i="37"/>
  <c r="BA43" i="37"/>
  <c r="BA39" i="37"/>
  <c r="BA59" i="37"/>
  <c r="BA50" i="37"/>
  <c r="BA44" i="37"/>
  <c r="BA48" i="37"/>
  <c r="BA40" i="37"/>
  <c r="BA41" i="37"/>
  <c r="AZ50" i="37" a="1"/>
  <c r="CH12" i="37"/>
  <c r="CH20" i="37"/>
  <c r="CH30" i="37"/>
  <c r="BA62" i="37"/>
  <c r="AZ61" i="37" a="1"/>
  <c r="AZ61" i="37" s="1"/>
  <c r="CH39" i="37"/>
  <c r="BA55" i="37"/>
  <c r="CH42" i="37"/>
  <c r="CH17" i="37"/>
  <c r="CH31" i="37"/>
  <c r="AZ56" i="37" a="1"/>
  <c r="AZ56" i="37" s="1"/>
  <c r="AZ57" i="37" a="1"/>
  <c r="AZ57" i="37" s="1"/>
  <c r="BA52" i="37"/>
  <c r="BA37" i="37"/>
  <c r="BA60" i="37"/>
  <c r="AZ44" i="37" a="1"/>
  <c r="AZ55" i="37" a="1"/>
  <c r="CH22" i="37"/>
  <c r="CH8" i="37"/>
  <c r="CH41" i="37"/>
  <c r="BA61" i="37"/>
  <c r="BA36" i="37"/>
  <c r="BA58" i="37"/>
  <c r="BA57" i="37"/>
  <c r="AZ51" i="37" a="1"/>
  <c r="CH13" i="37"/>
  <c r="BA45" i="37"/>
  <c r="BA49" i="37"/>
  <c r="AZ60" i="37" a="1"/>
  <c r="AZ60" i="37" s="1"/>
  <c r="AZ49" i="37" a="1"/>
  <c r="AZ49" i="37" s="1"/>
  <c r="BA56" i="37"/>
  <c r="AZ46" i="37" a="1"/>
  <c r="BA51" i="37"/>
  <c r="BA47" i="37"/>
  <c r="AZ58" i="37" a="1"/>
  <c r="AZ62" i="37" a="1"/>
  <c r="CH14" i="37"/>
  <c r="BA46" i="37"/>
  <c r="BA53" i="37"/>
  <c r="AZ54" i="37" a="1"/>
  <c r="AZ54" i="37" s="1"/>
  <c r="AZ52" i="37" a="1"/>
  <c r="AZ52" i="37" s="1"/>
  <c r="AZ45" i="37" a="1"/>
  <c r="AZ45" i="37" s="1"/>
  <c r="CH21" i="37"/>
  <c r="CH40" i="37"/>
  <c r="CH10" i="37"/>
  <c r="BA38" i="37"/>
  <c r="AZ53" i="37" a="1"/>
  <c r="AZ53" i="37" s="1"/>
  <c r="AZ48" i="37" a="1"/>
  <c r="BA54" i="37"/>
  <c r="CH44" i="37"/>
  <c r="CH29" i="37"/>
  <c r="CH19" i="37"/>
  <c r="BA9" i="37"/>
  <c r="BA31" i="37"/>
  <c r="BA28" i="37"/>
  <c r="BA21" i="37"/>
  <c r="BA29" i="37"/>
  <c r="BA22" i="37"/>
  <c r="BA15" i="37"/>
  <c r="BA10" i="37"/>
  <c r="BA32" i="37"/>
  <c r="BA25" i="37"/>
  <c r="BA12" i="37"/>
  <c r="BA27" i="37"/>
  <c r="BA24" i="37"/>
  <c r="BA17" i="37"/>
  <c r="BA23" i="37"/>
  <c r="BA26" i="37"/>
  <c r="BA19" i="37"/>
  <c r="BA16" i="37"/>
  <c r="BA20" i="37"/>
  <c r="BA13" i="37"/>
  <c r="BA14" i="37"/>
  <c r="BA34" i="37"/>
  <c r="BA35" i="37"/>
  <c r="BA30" i="37"/>
  <c r="BA18" i="37"/>
  <c r="BA11" i="37"/>
  <c r="BA33" i="37"/>
  <c r="P50" i="37"/>
  <c r="BS50" i="37" s="1"/>
  <c r="P31" i="37"/>
  <c r="P51" i="37"/>
  <c r="P46" i="37"/>
  <c r="P3" i="37" s="1"/>
  <c r="P4" i="37" s="1"/>
  <c r="P47" i="37"/>
  <c r="P28" i="37"/>
  <c r="P21" i="37"/>
  <c r="P29" i="37"/>
  <c r="P22" i="37"/>
  <c r="P15" i="37"/>
  <c r="P10" i="37"/>
  <c r="P57" i="37"/>
  <c r="P32" i="37"/>
  <c r="BS32" i="37" s="1"/>
  <c r="P25" i="37"/>
  <c r="P9" i="37"/>
  <c r="P45" i="37"/>
  <c r="P60" i="37"/>
  <c r="P12" i="37"/>
  <c r="P61" i="37"/>
  <c r="P42" i="37"/>
  <c r="P27" i="37"/>
  <c r="P56" i="37"/>
  <c r="P49" i="37"/>
  <c r="P24" i="37"/>
  <c r="P17" i="37"/>
  <c r="P43" i="37"/>
  <c r="P38" i="37"/>
  <c r="BS38" i="37" s="1"/>
  <c r="P58" i="37"/>
  <c r="P39" i="37"/>
  <c r="P23" i="37"/>
  <c r="BS23" i="37" s="1"/>
  <c r="P59" i="37"/>
  <c r="P54" i="37"/>
  <c r="P55" i="37"/>
  <c r="P36" i="37"/>
  <c r="P26" i="37"/>
  <c r="P19" i="37"/>
  <c r="P48" i="37"/>
  <c r="BS48" i="37" s="1"/>
  <c r="P41" i="37"/>
  <c r="P16" i="37"/>
  <c r="P44" i="37"/>
  <c r="P37" i="37"/>
  <c r="P20" i="37"/>
  <c r="P13" i="37"/>
  <c r="P52" i="37"/>
  <c r="P14" i="37"/>
  <c r="P53" i="37"/>
  <c r="P34" i="37"/>
  <c r="P35" i="37"/>
  <c r="P30" i="37"/>
  <c r="P18" i="37"/>
  <c r="P11" i="37"/>
  <c r="BS11" i="37" s="1"/>
  <c r="P40" i="37"/>
  <c r="P33" i="37"/>
  <c r="P62" i="37"/>
  <c r="D450" i="27"/>
  <c r="BW23" i="37"/>
  <c r="D325" i="27"/>
  <c r="BX11" i="37"/>
  <c r="D543" i="27"/>
  <c r="BX32" i="37"/>
  <c r="U64" i="37"/>
  <c r="R64" i="37"/>
  <c r="T64" i="37"/>
  <c r="S64" i="37"/>
  <c r="Q64" i="37"/>
  <c r="D297" i="27"/>
  <c r="AZ48" i="37"/>
  <c r="AZ46" i="37"/>
  <c r="AZ59" i="37"/>
  <c r="AZ51" i="37"/>
  <c r="AZ44" i="37"/>
  <c r="AZ50" i="37"/>
  <c r="AZ58" i="37"/>
  <c r="AZ62" i="37"/>
  <c r="AZ55" i="37"/>
  <c r="AZ47" i="37"/>
  <c r="AZ15" i="37" a="1"/>
  <c r="AZ24" i="37" a="1"/>
  <c r="AZ24" i="37" s="1"/>
  <c r="AZ11" i="37" a="1"/>
  <c r="AZ11" i="37" s="1"/>
  <c r="AZ43" i="37" a="1"/>
  <c r="AZ43" i="37" s="1"/>
  <c r="AZ18" i="37" a="1"/>
  <c r="AZ18" i="37" s="1"/>
  <c r="AZ13" i="37" a="1"/>
  <c r="AZ13" i="37" s="1"/>
  <c r="AZ20" i="37" a="1"/>
  <c r="AZ20" i="37" s="1"/>
  <c r="AZ39" i="37" a="1"/>
  <c r="AZ39" i="37" s="1"/>
  <c r="AZ14" i="37" a="1"/>
  <c r="AZ14" i="37" s="1"/>
  <c r="AZ9" i="37" a="1"/>
  <c r="AZ9" i="37" s="1"/>
  <c r="AZ41" i="37" a="1"/>
  <c r="AZ41" i="37" s="1"/>
  <c r="AZ16" i="37" a="1"/>
  <c r="AZ22" i="37" a="1"/>
  <c r="AZ17" i="37" a="1"/>
  <c r="AZ27" i="37" a="1"/>
  <c r="AZ27" i="37" s="1"/>
  <c r="AZ29" i="37" a="1"/>
  <c r="AZ36" i="37" a="1"/>
  <c r="AZ36" i="37" s="1"/>
  <c r="AZ8" i="37" a="1"/>
  <c r="AZ23" i="37" a="1"/>
  <c r="AZ23" i="37" s="1"/>
  <c r="AZ30" i="37" a="1"/>
  <c r="AZ30" i="37" s="1"/>
  <c r="AZ25" i="37" a="1"/>
  <c r="AZ32" i="37" a="1"/>
  <c r="AZ28" i="37" a="1"/>
  <c r="AZ35" i="37" a="1"/>
  <c r="AZ35" i="37" s="1"/>
  <c r="AZ10" i="37" a="1"/>
  <c r="AZ10" i="37" s="1"/>
  <c r="AZ42" i="37" a="1"/>
  <c r="AZ37" i="37" a="1"/>
  <c r="AZ37" i="37" s="1"/>
  <c r="AZ12" i="37" a="1"/>
  <c r="AZ12" i="37" s="1"/>
  <c r="AZ31" i="37" a="1"/>
  <c r="AZ31" i="37" s="1"/>
  <c r="AZ38" i="37" a="1"/>
  <c r="AZ38" i="37" s="1"/>
  <c r="AZ33" i="37" a="1"/>
  <c r="AZ33" i="37" s="1"/>
  <c r="AZ40" i="37" a="1"/>
  <c r="AZ40" i="37" s="1"/>
  <c r="AZ34" i="37"/>
  <c r="CH35" i="37"/>
  <c r="AZ29" i="37"/>
  <c r="BA8" i="37"/>
  <c r="AZ8" i="37"/>
  <c r="AZ25" i="37"/>
  <c r="AZ32" i="37"/>
  <c r="CH34" i="37"/>
  <c r="AZ42" i="37"/>
  <c r="AZ16" i="37"/>
  <c r="AZ19" i="37"/>
  <c r="AZ26" i="37"/>
  <c r="AZ21" i="37"/>
  <c r="AZ28" i="37"/>
  <c r="AZ15" i="37"/>
  <c r="AZ22" i="37"/>
  <c r="AZ17" i="37"/>
  <c r="CH36" i="37"/>
  <c r="W71" i="37" l="1" a="1"/>
  <c r="AA71" i="37" s="1"/>
  <c r="P64" i="37"/>
  <c r="CA33" i="37"/>
  <c r="CF33" i="37"/>
  <c r="CB33" i="37"/>
  <c r="CG33" i="37"/>
  <c r="CD33" i="37"/>
  <c r="CC33" i="37"/>
  <c r="CB43" i="37"/>
  <c r="CF25" i="37"/>
  <c r="CF28" i="37"/>
  <c r="CF15" i="37"/>
  <c r="BZ28" i="37"/>
  <c r="CG43" i="37"/>
  <c r="CD25" i="37"/>
  <c r="CF16" i="37"/>
  <c r="BZ16" i="37"/>
  <c r="BZ24" i="37"/>
  <c r="CC9" i="37"/>
  <c r="CB15" i="37"/>
  <c r="CD27" i="37"/>
  <c r="CG16" i="37"/>
  <c r="CG9" i="37"/>
  <c r="CA25" i="37"/>
  <c r="BZ37" i="37"/>
  <c r="CD16" i="37"/>
  <c r="CA24" i="37"/>
  <c r="CE15" i="37"/>
  <c r="CD26" i="37"/>
  <c r="BZ9" i="37"/>
  <c r="CG15" i="37"/>
  <c r="CC24" i="37"/>
  <c r="CG37" i="37"/>
  <c r="CA9" i="37"/>
  <c r="BZ27" i="37"/>
  <c r="CB16" i="37"/>
  <c r="CG24" i="37"/>
  <c r="CG28" i="37"/>
  <c r="CC28" i="37"/>
  <c r="CC15" i="37"/>
  <c r="CB37" i="37"/>
  <c r="CC16" i="37"/>
  <c r="CD43" i="37"/>
  <c r="CF24" i="37"/>
  <c r="CD24" i="37"/>
  <c r="BZ26" i="37"/>
  <c r="CC27" i="37"/>
  <c r="CC26" i="37"/>
  <c r="CB9" i="37"/>
  <c r="CF37" i="37"/>
  <c r="CA28" i="37"/>
  <c r="BZ25" i="37"/>
  <c r="CF26" i="37"/>
  <c r="BZ15" i="37"/>
  <c r="CA15" i="37"/>
  <c r="CF9" i="37"/>
  <c r="BZ43" i="37"/>
  <c r="CD15" i="37"/>
  <c r="CA16" i="37"/>
  <c r="CF27" i="37"/>
  <c r="CB28" i="37"/>
  <c r="CA37" i="37"/>
  <c r="CG26" i="37"/>
  <c r="CC25" i="37"/>
  <c r="CD9" i="37"/>
  <c r="CA26" i="37"/>
  <c r="CE37" i="37"/>
  <c r="CF43" i="37"/>
  <c r="CB27" i="37"/>
  <c r="CG27" i="37"/>
  <c r="CC37" i="37"/>
  <c r="CD28" i="37"/>
  <c r="CB26" i="37"/>
  <c r="CA27" i="37"/>
  <c r="CE9" i="37"/>
  <c r="CE43" i="37"/>
  <c r="CA43" i="37"/>
  <c r="CG25" i="37"/>
  <c r="CD37" i="37"/>
  <c r="CE16" i="37"/>
  <c r="CB24" i="37"/>
  <c r="CC43" i="37"/>
  <c r="Y125" i="37" l="1"/>
  <c r="Y123" i="37"/>
  <c r="Y121" i="37"/>
  <c r="Y119" i="37"/>
  <c r="AE119" i="37" s="1"/>
  <c r="AF119" i="37" s="1"/>
  <c r="AC115" i="37"/>
  <c r="X111" i="37"/>
  <c r="AD105" i="37"/>
  <c r="AD92" i="37"/>
  <c r="Y124" i="37"/>
  <c r="Y122" i="37"/>
  <c r="Y120" i="37"/>
  <c r="AC117" i="37"/>
  <c r="AC113" i="37"/>
  <c r="AA108" i="37"/>
  <c r="AD100" i="37"/>
  <c r="AD84" i="37"/>
  <c r="AD76" i="37"/>
  <c r="X125" i="37"/>
  <c r="X123" i="37"/>
  <c r="X121" i="37"/>
  <c r="X119" i="37"/>
  <c r="X117" i="37"/>
  <c r="X115" i="37"/>
  <c r="W113" i="37"/>
  <c r="Z110" i="37"/>
  <c r="AB107" i="37"/>
  <c r="AD104" i="37"/>
  <c r="Z98" i="37"/>
  <c r="Z88" i="37"/>
  <c r="Z72" i="37"/>
  <c r="W122" i="37"/>
  <c r="W118" i="37"/>
  <c r="W114" i="37"/>
  <c r="AD108" i="37"/>
  <c r="AD101" i="37"/>
  <c r="AD85" i="37"/>
  <c r="AD125" i="37"/>
  <c r="AD121" i="37"/>
  <c r="AD117" i="37"/>
  <c r="AB110" i="37"/>
  <c r="Z91" i="37"/>
  <c r="AC110" i="37"/>
  <c r="AC102" i="37"/>
  <c r="AC94" i="37"/>
  <c r="Y84" i="37"/>
  <c r="AB102" i="37"/>
  <c r="AB86" i="37"/>
  <c r="W103" i="37"/>
  <c r="W87" i="37"/>
  <c r="W71" i="37"/>
  <c r="AC125" i="37"/>
  <c r="AC124" i="37"/>
  <c r="AC123" i="37"/>
  <c r="AC122" i="37"/>
  <c r="AC121" i="37"/>
  <c r="AC120" i="37"/>
  <c r="AC119" i="37"/>
  <c r="AC118" i="37"/>
  <c r="AC116" i="37"/>
  <c r="AC114" i="37"/>
  <c r="AA112" i="37"/>
  <c r="AD109" i="37"/>
  <c r="X107" i="37"/>
  <c r="W104" i="37"/>
  <c r="AD96" i="37"/>
  <c r="AD88" i="37"/>
  <c r="AD80" i="37"/>
  <c r="AD72" i="37"/>
  <c r="X124" i="37"/>
  <c r="X122" i="37"/>
  <c r="X120" i="37"/>
  <c r="X118" i="37"/>
  <c r="X116" i="37"/>
  <c r="X114" i="37"/>
  <c r="AB111" i="37"/>
  <c r="W109" i="37"/>
  <c r="Z106" i="37"/>
  <c r="Z102" i="37"/>
  <c r="Z94" i="37"/>
  <c r="Z80" i="37"/>
  <c r="W124" i="37"/>
  <c r="W120" i="37"/>
  <c r="W116" i="37"/>
  <c r="AA111" i="37"/>
  <c r="X106" i="37"/>
  <c r="AD93" i="37"/>
  <c r="AD77" i="37"/>
  <c r="AD123" i="37"/>
  <c r="AE123" i="37" s="1"/>
  <c r="AF123" i="37" s="1"/>
  <c r="AD119" i="37"/>
  <c r="Z115" i="37"/>
  <c r="Z105" i="37"/>
  <c r="Z75" i="37"/>
  <c r="AC106" i="37"/>
  <c r="AC98" i="37"/>
  <c r="AC90" i="37"/>
  <c r="Y76" i="37"/>
  <c r="AB94" i="37"/>
  <c r="AB78" i="37"/>
  <c r="W95" i="37"/>
  <c r="W79" i="37"/>
  <c r="Y118" i="37"/>
  <c r="Y117" i="37"/>
  <c r="Y116" i="37"/>
  <c r="Y115" i="37"/>
  <c r="AE115" i="37" s="1"/>
  <c r="AF115" i="37" s="1"/>
  <c r="Y114" i="37"/>
  <c r="X113" i="37"/>
  <c r="AD111" i="37"/>
  <c r="AA110" i="37"/>
  <c r="X109" i="37"/>
  <c r="AD107" i="37"/>
  <c r="AA106" i="37"/>
  <c r="W105" i="37"/>
  <c r="AD102" i="37"/>
  <c r="AD98" i="37"/>
  <c r="AD94" i="37"/>
  <c r="AD90" i="37"/>
  <c r="AD86" i="37"/>
  <c r="AD82" i="37"/>
  <c r="AD78" i="37"/>
  <c r="AD74" i="37"/>
  <c r="AB125" i="37"/>
  <c r="AB124" i="37"/>
  <c r="AB123" i="37"/>
  <c r="AB122" i="37"/>
  <c r="AE122" i="37" s="1"/>
  <c r="AF122" i="37" s="1"/>
  <c r="AB121" i="37"/>
  <c r="AB120" i="37"/>
  <c r="AB119" i="37"/>
  <c r="AB118" i="37"/>
  <c r="AB117" i="37"/>
  <c r="AB116" i="37"/>
  <c r="AB115" i="37"/>
  <c r="AB114" i="37"/>
  <c r="AB113" i="37"/>
  <c r="Z112" i="37"/>
  <c r="W111" i="37"/>
  <c r="AB109" i="37"/>
  <c r="Z108" i="37"/>
  <c r="W107" i="37"/>
  <c r="AB105" i="37"/>
  <c r="AD103" i="37"/>
  <c r="Z100" i="37"/>
  <c r="Z96" i="37"/>
  <c r="Z92" i="37"/>
  <c r="Z84" i="37"/>
  <c r="Z76" i="37"/>
  <c r="W125" i="37"/>
  <c r="W123" i="37"/>
  <c r="W121" i="37"/>
  <c r="W119" i="37"/>
  <c r="W117" i="37"/>
  <c r="W115" i="37"/>
  <c r="AD112" i="37"/>
  <c r="X110" i="37"/>
  <c r="AA107" i="37"/>
  <c r="AA104" i="37"/>
  <c r="AD97" i="37"/>
  <c r="AD89" i="37"/>
  <c r="AD81" i="37"/>
  <c r="AD73" i="37"/>
  <c r="AD124" i="37"/>
  <c r="AD122" i="37"/>
  <c r="AD120" i="37"/>
  <c r="AD118" i="37"/>
  <c r="AD116" i="37"/>
  <c r="Z113" i="37"/>
  <c r="W108" i="37"/>
  <c r="Z99" i="37"/>
  <c r="Z83" i="37"/>
  <c r="AC112" i="37"/>
  <c r="AC108" i="37"/>
  <c r="AC104" i="37"/>
  <c r="AC100" i="37"/>
  <c r="AC96" i="37"/>
  <c r="AC92" i="37"/>
  <c r="Y88" i="37"/>
  <c r="Y80" i="37"/>
  <c r="Y72" i="37"/>
  <c r="AB98" i="37"/>
  <c r="AB90" i="37"/>
  <c r="AB82" i="37"/>
  <c r="AB74" i="37"/>
  <c r="W99" i="37"/>
  <c r="W91" i="37"/>
  <c r="W83" i="37"/>
  <c r="W75" i="37"/>
  <c r="Z90" i="37"/>
  <c r="Z86" i="37"/>
  <c r="Z82" i="37"/>
  <c r="Z78" i="37"/>
  <c r="Z74" i="37"/>
  <c r="AA125" i="37"/>
  <c r="AA124" i="37"/>
  <c r="AA123" i="37"/>
  <c r="AA122" i="37"/>
  <c r="AA121" i="37"/>
  <c r="AA120" i="37"/>
  <c r="AA119" i="37"/>
  <c r="AA118" i="37"/>
  <c r="AA117" i="37"/>
  <c r="AA116" i="37"/>
  <c r="AA115" i="37"/>
  <c r="AA114" i="37"/>
  <c r="AA113" i="37"/>
  <c r="X112" i="37"/>
  <c r="AD110" i="37"/>
  <c r="AA109" i="37"/>
  <c r="X108" i="37"/>
  <c r="AD106" i="37"/>
  <c r="AA105" i="37"/>
  <c r="AA103" i="37"/>
  <c r="AD99" i="37"/>
  <c r="AD95" i="37"/>
  <c r="AD91" i="37"/>
  <c r="AD87" i="37"/>
  <c r="AD83" i="37"/>
  <c r="AD79" i="37"/>
  <c r="AD75" i="37"/>
  <c r="AD71" i="37"/>
  <c r="Z125" i="37"/>
  <c r="Z124" i="37"/>
  <c r="AE124" i="37" s="1"/>
  <c r="AF124" i="37" s="1"/>
  <c r="Z123" i="37"/>
  <c r="Z122" i="37"/>
  <c r="Z121" i="37"/>
  <c r="Z120" i="37"/>
  <c r="AE120" i="37" s="1"/>
  <c r="AF120" i="37" s="1"/>
  <c r="Z119" i="37"/>
  <c r="Z118" i="37"/>
  <c r="Z117" i="37"/>
  <c r="Z116" i="37"/>
  <c r="AE116" i="37" s="1"/>
  <c r="AF116" i="37" s="1"/>
  <c r="Z114" i="37"/>
  <c r="W112" i="37"/>
  <c r="Z109" i="37"/>
  <c r="AB106" i="37"/>
  <c r="Z103" i="37"/>
  <c r="Z95" i="37"/>
  <c r="Z87" i="37"/>
  <c r="Z79" i="37"/>
  <c r="Z71" i="37"/>
  <c r="AC111" i="37"/>
  <c r="AC109" i="37"/>
  <c r="AC107" i="37"/>
  <c r="AC105" i="37"/>
  <c r="AC103" i="37"/>
  <c r="AC101" i="37"/>
  <c r="AC99" i="37"/>
  <c r="AC97" i="37"/>
  <c r="AC95" i="37"/>
  <c r="AC93" i="37"/>
  <c r="AC91" i="37"/>
  <c r="AC89" i="37"/>
  <c r="Y86" i="37"/>
  <c r="Y82" i="37"/>
  <c r="Y78" i="37"/>
  <c r="Y74" i="37"/>
  <c r="AB104" i="37"/>
  <c r="AB100" i="37"/>
  <c r="AB96" i="37"/>
  <c r="AB92" i="37"/>
  <c r="AB88" i="37"/>
  <c r="AB84" i="37"/>
  <c r="AB80" i="37"/>
  <c r="AB76" i="37"/>
  <c r="AB72" i="37"/>
  <c r="W101" i="37"/>
  <c r="W97" i="37"/>
  <c r="W93" i="37"/>
  <c r="W89" i="37"/>
  <c r="W85" i="37"/>
  <c r="W81" i="37"/>
  <c r="W77" i="37"/>
  <c r="W73" i="37"/>
  <c r="AD115" i="37"/>
  <c r="AD114" i="37"/>
  <c r="AD113" i="37"/>
  <c r="AB112" i="37"/>
  <c r="Z111" i="37"/>
  <c r="W110" i="37"/>
  <c r="AB108" i="37"/>
  <c r="Z107" i="37"/>
  <c r="W106" i="37"/>
  <c r="Z104" i="37"/>
  <c r="Z101" i="37"/>
  <c r="Z97" i="37"/>
  <c r="Z93" i="37"/>
  <c r="Z89" i="37"/>
  <c r="Z85" i="37"/>
  <c r="Z81" i="37"/>
  <c r="Z77" i="37"/>
  <c r="Z73" i="37"/>
  <c r="Z127" i="37" s="1"/>
  <c r="Y113" i="37"/>
  <c r="Y112" i="37"/>
  <c r="Y111" i="37"/>
  <c r="Y110" i="37"/>
  <c r="Y109" i="37"/>
  <c r="Y108" i="37"/>
  <c r="Y107" i="37"/>
  <c r="Y106" i="37"/>
  <c r="AE106" i="37" s="1"/>
  <c r="AF106" i="37" s="1"/>
  <c r="Y105" i="37"/>
  <c r="Y104" i="37"/>
  <c r="Y103" i="37"/>
  <c r="Y102" i="37"/>
  <c r="Y101" i="37"/>
  <c r="Y100" i="37"/>
  <c r="Y99" i="37"/>
  <c r="Y98" i="37"/>
  <c r="Y97" i="37"/>
  <c r="Y96" i="37"/>
  <c r="Y95" i="37"/>
  <c r="Y94" i="37"/>
  <c r="Y93" i="37"/>
  <c r="Y92" i="37"/>
  <c r="Y91" i="37"/>
  <c r="Y90" i="37"/>
  <c r="Y89" i="37"/>
  <c r="Y87" i="37"/>
  <c r="Y85" i="37"/>
  <c r="Y83" i="37"/>
  <c r="Y81" i="37"/>
  <c r="Y79" i="37"/>
  <c r="Y77" i="37"/>
  <c r="Y75" i="37"/>
  <c r="Y73" i="37"/>
  <c r="Y71" i="37"/>
  <c r="AB103" i="37"/>
  <c r="AB101" i="37"/>
  <c r="AB99" i="37"/>
  <c r="AB97" i="37"/>
  <c r="AB95" i="37"/>
  <c r="AB93" i="37"/>
  <c r="AB91" i="37"/>
  <c r="AB89" i="37"/>
  <c r="AB87" i="37"/>
  <c r="AB85" i="37"/>
  <c r="AB83" i="37"/>
  <c r="AB81" i="37"/>
  <c r="AB79" i="37"/>
  <c r="AB77" i="37"/>
  <c r="AB75" i="37"/>
  <c r="AB73" i="37"/>
  <c r="AB71" i="37"/>
  <c r="W102" i="37"/>
  <c r="AE102" i="37" s="1"/>
  <c r="AF102" i="37" s="1"/>
  <c r="W100" i="37"/>
  <c r="W98" i="37"/>
  <c r="W96" i="37"/>
  <c r="W94" i="37"/>
  <c r="AE94" i="37" s="1"/>
  <c r="AF94" i="37" s="1"/>
  <c r="W92" i="37"/>
  <c r="W90" i="37"/>
  <c r="W88" i="37"/>
  <c r="W86" i="37"/>
  <c r="W84" i="37"/>
  <c r="W82" i="37"/>
  <c r="W80" i="37"/>
  <c r="W78" i="37"/>
  <c r="W76" i="37"/>
  <c r="W74" i="37"/>
  <c r="W72" i="37"/>
  <c r="AC88" i="37"/>
  <c r="AC87" i="37"/>
  <c r="AC86" i="37"/>
  <c r="AC85" i="37"/>
  <c r="AC84" i="37"/>
  <c r="AE84" i="37" s="1"/>
  <c r="AF84" i="37" s="1"/>
  <c r="AC83" i="37"/>
  <c r="AC82" i="37"/>
  <c r="AC81" i="37"/>
  <c r="AC80" i="37"/>
  <c r="AC79" i="37"/>
  <c r="AC78" i="37"/>
  <c r="AC77" i="37"/>
  <c r="AC76" i="37"/>
  <c r="AE76" i="37" s="1"/>
  <c r="AF76" i="37" s="1"/>
  <c r="AC75" i="37"/>
  <c r="AC74" i="37"/>
  <c r="AC73" i="37"/>
  <c r="AC72" i="37"/>
  <c r="AC71" i="37"/>
  <c r="X105" i="37"/>
  <c r="X104" i="37"/>
  <c r="X103" i="37"/>
  <c r="AE103" i="37" s="1"/>
  <c r="AF103" i="37" s="1"/>
  <c r="X102" i="37"/>
  <c r="X101" i="37"/>
  <c r="X100" i="37"/>
  <c r="X99" i="37"/>
  <c r="X98" i="37"/>
  <c r="X97" i="37"/>
  <c r="X96" i="37"/>
  <c r="X95" i="37"/>
  <c r="X94" i="37"/>
  <c r="X93" i="37"/>
  <c r="X92" i="37"/>
  <c r="X91" i="37"/>
  <c r="X90" i="37"/>
  <c r="X89" i="37"/>
  <c r="X88" i="37"/>
  <c r="X87" i="37"/>
  <c r="X86" i="37"/>
  <c r="X85" i="37"/>
  <c r="X84" i="37"/>
  <c r="X83" i="37"/>
  <c r="X82" i="37"/>
  <c r="X81" i="37"/>
  <c r="X80" i="37"/>
  <c r="X79" i="37"/>
  <c r="X78" i="37"/>
  <c r="X77" i="37"/>
  <c r="X76" i="37"/>
  <c r="X75" i="37"/>
  <c r="X74" i="37"/>
  <c r="X73" i="37"/>
  <c r="X72" i="37"/>
  <c r="X71" i="37"/>
  <c r="X127" i="37" s="1"/>
  <c r="AA102" i="37"/>
  <c r="AA101" i="37"/>
  <c r="AA100" i="37"/>
  <c r="AA99" i="37"/>
  <c r="AA98" i="37"/>
  <c r="AA97" i="37"/>
  <c r="AA96" i="37"/>
  <c r="AA95" i="37"/>
  <c r="AA94" i="37"/>
  <c r="AA93" i="37"/>
  <c r="AA92" i="37"/>
  <c r="AA91" i="37"/>
  <c r="AA90" i="37"/>
  <c r="AA89" i="37"/>
  <c r="AA88" i="37"/>
  <c r="AA87" i="37"/>
  <c r="AA86" i="37"/>
  <c r="AA85" i="37"/>
  <c r="AA84" i="37"/>
  <c r="AA83" i="37"/>
  <c r="AA82" i="37"/>
  <c r="AA81" i="37"/>
  <c r="AA80" i="37"/>
  <c r="AA79" i="37"/>
  <c r="AA78" i="37"/>
  <c r="AA77" i="37"/>
  <c r="AA76" i="37"/>
  <c r="AA75" i="37"/>
  <c r="AA74" i="37"/>
  <c r="AA73" i="37"/>
  <c r="AA72" i="37"/>
  <c r="Y127" i="37"/>
  <c r="AE113" i="37"/>
  <c r="AF113" i="37" s="1"/>
  <c r="AE125" i="37"/>
  <c r="AF125" i="37" s="1"/>
  <c r="CH16" i="37"/>
  <c r="CH9" i="37"/>
  <c r="CH43" i="37"/>
  <c r="CH15" i="37"/>
  <c r="CH37" i="37"/>
  <c r="AE95" i="37" l="1"/>
  <c r="AF95" i="37" s="1"/>
  <c r="AE90" i="37"/>
  <c r="AF90" i="37" s="1"/>
  <c r="AB127" i="37"/>
  <c r="AE96" i="37"/>
  <c r="AF96" i="37" s="1"/>
  <c r="AE100" i="37"/>
  <c r="AF100" i="37" s="1"/>
  <c r="AE104" i="37"/>
  <c r="AF104" i="37" s="1"/>
  <c r="AE111" i="37"/>
  <c r="AF111" i="37" s="1"/>
  <c r="AE118" i="37"/>
  <c r="AF118" i="37" s="1"/>
  <c r="AE98" i="37"/>
  <c r="AF98" i="37" s="1"/>
  <c r="AE92" i="37"/>
  <c r="AF92" i="37" s="1"/>
  <c r="AC127" i="37"/>
  <c r="AE79" i="37"/>
  <c r="AF79" i="37" s="1"/>
  <c r="AA127" i="37"/>
  <c r="AE87" i="37"/>
  <c r="AF87" i="37" s="1"/>
  <c r="AE110" i="37"/>
  <c r="AF110" i="37" s="1"/>
  <c r="AE109" i="37"/>
  <c r="AF109" i="37" s="1"/>
  <c r="AE75" i="37"/>
  <c r="AF75" i="37" s="1"/>
  <c r="AE91" i="37"/>
  <c r="AF91" i="37" s="1"/>
  <c r="AE71" i="37"/>
  <c r="AE72" i="37"/>
  <c r="AF72" i="37" s="1"/>
  <c r="AE88" i="37"/>
  <c r="AF88" i="37" s="1"/>
  <c r="AD127" i="37"/>
  <c r="AE83" i="37"/>
  <c r="AF83" i="37" s="1"/>
  <c r="AE99" i="37"/>
  <c r="AF99" i="37" s="1"/>
  <c r="AE80" i="37"/>
  <c r="AF80" i="37" s="1"/>
  <c r="AE108" i="37"/>
  <c r="AF108" i="37" s="1"/>
  <c r="AE117" i="37"/>
  <c r="AF117" i="37" s="1"/>
  <c r="AE121" i="37"/>
  <c r="AF121" i="37" s="1"/>
  <c r="AE77" i="37"/>
  <c r="AF77" i="37" s="1"/>
  <c r="AE85" i="37"/>
  <c r="AF85" i="37" s="1"/>
  <c r="AE93" i="37"/>
  <c r="AF93" i="37" s="1"/>
  <c r="AE101" i="37"/>
  <c r="AF101" i="37" s="1"/>
  <c r="AE74" i="37"/>
  <c r="AF74" i="37" s="1"/>
  <c r="AE78" i="37"/>
  <c r="AF78" i="37" s="1"/>
  <c r="AE82" i="37"/>
  <c r="AF82" i="37" s="1"/>
  <c r="AE86" i="37"/>
  <c r="AF86" i="37" s="1"/>
  <c r="W127" i="37"/>
  <c r="AF127" i="37" s="1" a="1"/>
  <c r="AF127" i="37" s="1"/>
  <c r="BF71" i="37" s="1" a="1"/>
  <c r="AE81" i="37"/>
  <c r="AF81" i="37" s="1"/>
  <c r="AE89" i="37"/>
  <c r="AF89" i="37" s="1"/>
  <c r="AE97" i="37"/>
  <c r="AF97" i="37" s="1"/>
  <c r="AE112" i="37"/>
  <c r="AF112" i="37" s="1"/>
  <c r="AE114" i="37"/>
  <c r="AF114" i="37" s="1"/>
  <c r="AE107" i="37"/>
  <c r="AF107" i="37" s="1"/>
  <c r="AE105" i="37"/>
  <c r="AF105" i="37" s="1"/>
  <c r="AE73" i="37"/>
  <c r="AF73" i="37" s="1"/>
  <c r="AF71" i="37"/>
  <c r="BM10" i="33"/>
  <c r="BM14" i="33"/>
  <c r="BM18" i="33"/>
  <c r="BP10" i="33"/>
  <c r="BP14" i="33"/>
  <c r="BP18" i="33"/>
  <c r="BH14" i="33"/>
  <c r="BI14" i="33"/>
  <c r="BJ14" i="33"/>
  <c r="BK14" i="33"/>
  <c r="BL14" i="33"/>
  <c r="BO14" i="33"/>
  <c r="BJ16" i="33"/>
  <c r="BL16" i="33"/>
  <c r="BH10" i="33"/>
  <c r="BI10" i="33"/>
  <c r="BJ10" i="33"/>
  <c r="BK10" i="33"/>
  <c r="BL10" i="33"/>
  <c r="BO10" i="33"/>
  <c r="BL18" i="33"/>
  <c r="BO18" i="33"/>
  <c r="BK18" i="33"/>
  <c r="BH18" i="33"/>
  <c r="BI18" i="33"/>
  <c r="BJ18" i="33"/>
  <c r="BN18" i="33"/>
  <c r="L4" i="33"/>
  <c r="K4" i="33"/>
  <c r="AE127" i="37" l="1"/>
  <c r="BF71" i="37"/>
  <c r="BM124" i="37"/>
  <c r="BM120" i="37"/>
  <c r="BM116" i="37"/>
  <c r="BL112" i="37"/>
  <c r="BM106" i="37"/>
  <c r="BM98" i="37"/>
  <c r="BM86" i="37"/>
  <c r="BL125" i="37"/>
  <c r="BL121" i="37"/>
  <c r="BL117" i="37"/>
  <c r="BL113" i="37"/>
  <c r="BJ108" i="37"/>
  <c r="BL100" i="37"/>
  <c r="BM89" i="37"/>
  <c r="BM73" i="37"/>
  <c r="BI122" i="37"/>
  <c r="BI118" i="37"/>
  <c r="BI114" i="37"/>
  <c r="BI109" i="37"/>
  <c r="BM101" i="37"/>
  <c r="BM92" i="37"/>
  <c r="BM76" i="37"/>
  <c r="BH124" i="37"/>
  <c r="BH120" i="37"/>
  <c r="BH116" i="37"/>
  <c r="BM111" i="37"/>
  <c r="BL105" i="37"/>
  <c r="BL97" i="37"/>
  <c r="BM83" i="37"/>
  <c r="BL94" i="37"/>
  <c r="BL87" i="37"/>
  <c r="BL72" i="37"/>
  <c r="BG124" i="37"/>
  <c r="BG122" i="37"/>
  <c r="BG120" i="37"/>
  <c r="BG118" i="37"/>
  <c r="BG116" i="37"/>
  <c r="BG114" i="37"/>
  <c r="BL111" i="37"/>
  <c r="BF109" i="37"/>
  <c r="BI105" i="37"/>
  <c r="BI101" i="37"/>
  <c r="BI97" i="37"/>
  <c r="BI93" i="37"/>
  <c r="BI89" i="37"/>
  <c r="BI85" i="37"/>
  <c r="BI81" i="37"/>
  <c r="BI77" i="37"/>
  <c r="BI73" i="37"/>
  <c r="BL90" i="37"/>
  <c r="BL82" i="37"/>
  <c r="BL77" i="37"/>
  <c r="BL73" i="37"/>
  <c r="BJ124" i="37"/>
  <c r="BJ122" i="37"/>
  <c r="BJ120" i="37"/>
  <c r="BJ118" i="37"/>
  <c r="BJ116" i="37"/>
  <c r="BJ114" i="37"/>
  <c r="BH112" i="37"/>
  <c r="BJ109" i="37"/>
  <c r="BH106" i="37"/>
  <c r="BH102" i="37"/>
  <c r="BH98" i="37"/>
  <c r="BH94" i="37"/>
  <c r="BH90" i="37"/>
  <c r="BH86" i="37"/>
  <c r="BH82" i="37"/>
  <c r="BH78" i="37"/>
  <c r="BH74" i="37"/>
  <c r="BG113" i="37"/>
  <c r="BG111" i="37"/>
  <c r="BG109" i="37"/>
  <c r="BG107" i="37"/>
  <c r="BG105" i="37"/>
  <c r="BG103" i="37"/>
  <c r="BG101" i="37"/>
  <c r="BG99" i="37"/>
  <c r="BG97" i="37"/>
  <c r="BG95" i="37"/>
  <c r="BG93" i="37"/>
  <c r="BG91" i="37"/>
  <c r="BG89" i="37"/>
  <c r="BG87" i="37"/>
  <c r="BG85" i="37"/>
  <c r="BM123" i="37"/>
  <c r="BM119" i="37"/>
  <c r="BM115" i="37"/>
  <c r="BI111" i="37"/>
  <c r="BM104" i="37"/>
  <c r="BM96" i="37"/>
  <c r="BM82" i="37"/>
  <c r="BL124" i="37"/>
  <c r="BL120" i="37"/>
  <c r="BL116" i="37"/>
  <c r="BJ112" i="37"/>
  <c r="BL106" i="37"/>
  <c r="BL98" i="37"/>
  <c r="BM85" i="37"/>
  <c r="BI125" i="37"/>
  <c r="BI121" i="37"/>
  <c r="BI117" i="37"/>
  <c r="BI113" i="37"/>
  <c r="BM107" i="37"/>
  <c r="BM99" i="37"/>
  <c r="BM88" i="37"/>
  <c r="BM72" i="37"/>
  <c r="BH123" i="37"/>
  <c r="BH119" i="37"/>
  <c r="BH115" i="37"/>
  <c r="BJ110" i="37"/>
  <c r="BL103" i="37"/>
  <c r="BL95" i="37"/>
  <c r="BM79" i="37"/>
  <c r="BL93" i="37"/>
  <c r="BL85" i="37"/>
  <c r="BK125" i="37"/>
  <c r="BK123" i="37"/>
  <c r="BK121" i="37"/>
  <c r="BK119" i="37"/>
  <c r="BK117" i="37"/>
  <c r="BK115" i="37"/>
  <c r="BK113" i="37"/>
  <c r="BF111" i="37"/>
  <c r="BI108" i="37"/>
  <c r="BI104" i="37"/>
  <c r="BI100" i="37"/>
  <c r="BI96" i="37"/>
  <c r="BI92" i="37"/>
  <c r="BI88" i="37"/>
  <c r="BI84" i="37"/>
  <c r="BI80" i="37"/>
  <c r="BI76" i="37"/>
  <c r="BI72" i="37"/>
  <c r="BL88" i="37"/>
  <c r="BL81" i="37"/>
  <c r="BL76" i="37"/>
  <c r="BL71" i="37"/>
  <c r="BF124" i="37"/>
  <c r="BF122" i="37"/>
  <c r="BF120" i="37"/>
  <c r="BF118" i="37"/>
  <c r="BF116" i="37"/>
  <c r="BF114" i="37"/>
  <c r="BJ111" i="37"/>
  <c r="BM122" i="37"/>
  <c r="BM118" i="37"/>
  <c r="BM114" i="37"/>
  <c r="BF110" i="37"/>
  <c r="BM102" i="37"/>
  <c r="BM94" i="37"/>
  <c r="BM78" i="37"/>
  <c r="BL123" i="37"/>
  <c r="BL119" i="37"/>
  <c r="BL115" i="37"/>
  <c r="BH111" i="37"/>
  <c r="BL104" i="37"/>
  <c r="BL96" i="37"/>
  <c r="BM81" i="37"/>
  <c r="BI124" i="37"/>
  <c r="BI120" i="37"/>
  <c r="BI116" i="37"/>
  <c r="BF112" i="37"/>
  <c r="BM105" i="37"/>
  <c r="BM97" i="37"/>
  <c r="BM84" i="37"/>
  <c r="BM125" i="37"/>
  <c r="BH122" i="37"/>
  <c r="BH118" i="37"/>
  <c r="BH114" i="37"/>
  <c r="BH109" i="37"/>
  <c r="BL101" i="37"/>
  <c r="BM91" i="37"/>
  <c r="BM121" i="37"/>
  <c r="BM117" i="37"/>
  <c r="BM113" i="37"/>
  <c r="BL108" i="37"/>
  <c r="BM100" i="37"/>
  <c r="BM90" i="37"/>
  <c r="BM74" i="37"/>
  <c r="BL122" i="37"/>
  <c r="BL118" i="37"/>
  <c r="BL114" i="37"/>
  <c r="BM109" i="37"/>
  <c r="BL102" i="37"/>
  <c r="BM93" i="37"/>
  <c r="BM77" i="37"/>
  <c r="BI123" i="37"/>
  <c r="BI119" i="37"/>
  <c r="BI115" i="37"/>
  <c r="BL110" i="37"/>
  <c r="BM103" i="37"/>
  <c r="BM95" i="37"/>
  <c r="BM80" i="37"/>
  <c r="BH125" i="37"/>
  <c r="BH121" i="37"/>
  <c r="BH117" i="37"/>
  <c r="BH113" i="37"/>
  <c r="BL107" i="37"/>
  <c r="BL99" i="37"/>
  <c r="BM87" i="37"/>
  <c r="BM71" i="37"/>
  <c r="BL89" i="37"/>
  <c r="BL80" i="37"/>
  <c r="BK124" i="37"/>
  <c r="BK122" i="37"/>
  <c r="BK120" i="37"/>
  <c r="BK118" i="37"/>
  <c r="BK116" i="37"/>
  <c r="BK114" i="37"/>
  <c r="BI112" i="37"/>
  <c r="BL109" i="37"/>
  <c r="BI106" i="37"/>
  <c r="BI102" i="37"/>
  <c r="BI98" i="37"/>
  <c r="BI94" i="37"/>
  <c r="BI90" i="37"/>
  <c r="BI86" i="37"/>
  <c r="BI82" i="37"/>
  <c r="BI78" i="37"/>
  <c r="BI74" i="37"/>
  <c r="BL92" i="37"/>
  <c r="BL84" i="37"/>
  <c r="BL78" i="37"/>
  <c r="BL74" i="37"/>
  <c r="BF125" i="37"/>
  <c r="BF123" i="37"/>
  <c r="BF121" i="37"/>
  <c r="BF119" i="37"/>
  <c r="BF117" i="37"/>
  <c r="BF115" i="37"/>
  <c r="BM112" i="37"/>
  <c r="BH110" i="37"/>
  <c r="BH107" i="37"/>
  <c r="BH103" i="37"/>
  <c r="BH99" i="37"/>
  <c r="BM75" i="37"/>
  <c r="BG123" i="37"/>
  <c r="BG115" i="37"/>
  <c r="BI103" i="37"/>
  <c r="BI87" i="37"/>
  <c r="BI71" i="37"/>
  <c r="BJ125" i="37"/>
  <c r="BJ117" i="37"/>
  <c r="BM108" i="37"/>
  <c r="BH101" i="37"/>
  <c r="BH95" i="37"/>
  <c r="BH89" i="37"/>
  <c r="BH84" i="37"/>
  <c r="BH79" i="37"/>
  <c r="BH73" i="37"/>
  <c r="BG112" i="37"/>
  <c r="BK109" i="37"/>
  <c r="BK106" i="37"/>
  <c r="BG104" i="37"/>
  <c r="BK101" i="37"/>
  <c r="BK98" i="37"/>
  <c r="BG96" i="37"/>
  <c r="BK93" i="37"/>
  <c r="BK90" i="37"/>
  <c r="BG88" i="37"/>
  <c r="BK85" i="37"/>
  <c r="BG83" i="37"/>
  <c r="BG81" i="37"/>
  <c r="BG79" i="37"/>
  <c r="BG77" i="37"/>
  <c r="BG75" i="37"/>
  <c r="BG73" i="37"/>
  <c r="BG71" i="37"/>
  <c r="BJ106" i="37"/>
  <c r="BJ104" i="37"/>
  <c r="BJ102" i="37"/>
  <c r="BJ100" i="37"/>
  <c r="BJ98" i="37"/>
  <c r="BJ96" i="37"/>
  <c r="BJ94" i="37"/>
  <c r="BJ92" i="37"/>
  <c r="BJ90" i="37"/>
  <c r="BJ88" i="37"/>
  <c r="BJ86" i="37"/>
  <c r="BJ84" i="37"/>
  <c r="BJ82" i="37"/>
  <c r="BJ80" i="37"/>
  <c r="BJ78" i="37"/>
  <c r="BJ76" i="37"/>
  <c r="BJ74" i="37"/>
  <c r="BJ72" i="37"/>
  <c r="BL91" i="37"/>
  <c r="BG121" i="37"/>
  <c r="BF113" i="37"/>
  <c r="BI99" i="37"/>
  <c r="BI83" i="37"/>
  <c r="BL86" i="37"/>
  <c r="BJ123" i="37"/>
  <c r="BJ115" i="37"/>
  <c r="BH108" i="37"/>
  <c r="BH100" i="37"/>
  <c r="BH93" i="37"/>
  <c r="BH88" i="37"/>
  <c r="BH83" i="37"/>
  <c r="BH77" i="37"/>
  <c r="BH72" i="37"/>
  <c r="BK111" i="37"/>
  <c r="BK108" i="37"/>
  <c r="BG106" i="37"/>
  <c r="BK103" i="37"/>
  <c r="BK100" i="37"/>
  <c r="BG98" i="37"/>
  <c r="BK95" i="37"/>
  <c r="BK92" i="37"/>
  <c r="BG90" i="37"/>
  <c r="BK87" i="37"/>
  <c r="BK84" i="37"/>
  <c r="BK82" i="37"/>
  <c r="BK80" i="37"/>
  <c r="BK78" i="37"/>
  <c r="BK76" i="37"/>
  <c r="BK74" i="37"/>
  <c r="BK72" i="37"/>
  <c r="BF108" i="37"/>
  <c r="BF106" i="37"/>
  <c r="BF104" i="37"/>
  <c r="BF102" i="37"/>
  <c r="BF100" i="37"/>
  <c r="BF98" i="37"/>
  <c r="BF96" i="37"/>
  <c r="BF94" i="37"/>
  <c r="BF92" i="37"/>
  <c r="BF90" i="37"/>
  <c r="BF88" i="37"/>
  <c r="BF86" i="37"/>
  <c r="BF84" i="37"/>
  <c r="BF82" i="37"/>
  <c r="BF80" i="37"/>
  <c r="BF78" i="37"/>
  <c r="BF76" i="37"/>
  <c r="BF74" i="37"/>
  <c r="BF72" i="37"/>
  <c r="BL83" i="37"/>
  <c r="BG119" i="37"/>
  <c r="BI110" i="37"/>
  <c r="BI95" i="37"/>
  <c r="BI79" i="37"/>
  <c r="BL79" i="37"/>
  <c r="BJ121" i="37"/>
  <c r="BJ113" i="37"/>
  <c r="BH105" i="37"/>
  <c r="BH97" i="37"/>
  <c r="BH92" i="37"/>
  <c r="BH87" i="37"/>
  <c r="BH81" i="37"/>
  <c r="BH76" i="37"/>
  <c r="BH71" i="37"/>
  <c r="BK110" i="37"/>
  <c r="BG108" i="37"/>
  <c r="BK105" i="37"/>
  <c r="BK102" i="37"/>
  <c r="BG100" i="37"/>
  <c r="BK97" i="37"/>
  <c r="BK94" i="37"/>
  <c r="BG92" i="37"/>
  <c r="BK89" i="37"/>
  <c r="BK86" i="37"/>
  <c r="BG84" i="37"/>
  <c r="BG82" i="37"/>
  <c r="BG80" i="37"/>
  <c r="BG78" i="37"/>
  <c r="BG76" i="37"/>
  <c r="BG74" i="37"/>
  <c r="BG72" i="37"/>
  <c r="BJ107" i="37"/>
  <c r="BJ105" i="37"/>
  <c r="BJ103" i="37"/>
  <c r="BJ101" i="37"/>
  <c r="BJ99" i="37"/>
  <c r="BJ97" i="37"/>
  <c r="BJ95" i="37"/>
  <c r="BJ93" i="37"/>
  <c r="BJ91" i="37"/>
  <c r="BJ89" i="37"/>
  <c r="BJ87" i="37"/>
  <c r="BJ85" i="37"/>
  <c r="BJ83" i="37"/>
  <c r="BJ81" i="37"/>
  <c r="BJ79" i="37"/>
  <c r="BJ77" i="37"/>
  <c r="BJ75" i="37"/>
  <c r="BJ73" i="37"/>
  <c r="BJ71" i="37"/>
  <c r="BG125" i="37"/>
  <c r="BG117" i="37"/>
  <c r="BI107" i="37"/>
  <c r="BI91" i="37"/>
  <c r="BI75" i="37"/>
  <c r="BL75" i="37"/>
  <c r="BJ119" i="37"/>
  <c r="BM110" i="37"/>
  <c r="BH104" i="37"/>
  <c r="BH96" i="37"/>
  <c r="BH91" i="37"/>
  <c r="BH85" i="37"/>
  <c r="BH80" i="37"/>
  <c r="BH75" i="37"/>
  <c r="BK112" i="37"/>
  <c r="BG110" i="37"/>
  <c r="BK107" i="37"/>
  <c r="BK104" i="37"/>
  <c r="BG102" i="37"/>
  <c r="BK99" i="37"/>
  <c r="BK96" i="37"/>
  <c r="BG94" i="37"/>
  <c r="BK91" i="37"/>
  <c r="BK88" i="37"/>
  <c r="BG86" i="37"/>
  <c r="BK83" i="37"/>
  <c r="BK81" i="37"/>
  <c r="BK79" i="37"/>
  <c r="BK77" i="37"/>
  <c r="BK75" i="37"/>
  <c r="BK73" i="37"/>
  <c r="BK71" i="37"/>
  <c r="BF107" i="37"/>
  <c r="BF105" i="37"/>
  <c r="BF103" i="37"/>
  <c r="BF101" i="37"/>
  <c r="BF99" i="37"/>
  <c r="BF97" i="37"/>
  <c r="BF95" i="37"/>
  <c r="BF93" i="37"/>
  <c r="BF91" i="37"/>
  <c r="BF89" i="37"/>
  <c r="BF87" i="37"/>
  <c r="BF85" i="37"/>
  <c r="BF83" i="37"/>
  <c r="BF81" i="37"/>
  <c r="BF79" i="37"/>
  <c r="BF77" i="37"/>
  <c r="BF75" i="37"/>
  <c r="BF73" i="37"/>
  <c r="AE3" i="37"/>
  <c r="BQ16" i="33"/>
  <c r="BQ18" i="33"/>
  <c r="BQ14" i="33"/>
  <c r="BQ10" i="33"/>
  <c r="BF8" i="37" l="1" a="1"/>
  <c r="BJ11" i="37" s="1"/>
  <c r="BN113" i="37"/>
  <c r="BN96" i="37"/>
  <c r="BN72" i="37"/>
  <c r="BN93" i="37"/>
  <c r="BN83" i="37"/>
  <c r="BN121" i="37"/>
  <c r="BN111" i="37"/>
  <c r="BN103" i="37"/>
  <c r="BN91" i="37"/>
  <c r="BN79" i="37"/>
  <c r="BN124" i="37"/>
  <c r="BN105" i="37"/>
  <c r="BN73" i="37"/>
  <c r="BN118" i="37"/>
  <c r="BN106" i="37"/>
  <c r="BN98" i="37"/>
  <c r="BN90" i="37"/>
  <c r="BN82" i="37"/>
  <c r="BN74" i="37"/>
  <c r="BN101" i="37"/>
  <c r="BN87" i="37"/>
  <c r="BN81" i="37"/>
  <c r="BN122" i="37"/>
  <c r="BN112" i="37"/>
  <c r="BN77" i="37"/>
  <c r="BN117" i="37"/>
  <c r="BN119" i="37"/>
  <c r="BN115" i="37"/>
  <c r="BN89" i="37"/>
  <c r="BN110" i="37"/>
  <c r="BN102" i="37"/>
  <c r="BN94" i="37"/>
  <c r="BN86" i="37"/>
  <c r="BN78" i="37"/>
  <c r="BN125" i="37"/>
  <c r="BN116" i="37"/>
  <c r="BN99" i="37"/>
  <c r="BN85" i="37"/>
  <c r="BN104" i="37"/>
  <c r="BN88" i="37"/>
  <c r="BN80" i="37"/>
  <c r="BN107" i="37"/>
  <c r="BN109" i="37"/>
  <c r="BN95" i="37"/>
  <c r="BN75" i="37"/>
  <c r="BN120" i="37"/>
  <c r="BN97" i="37"/>
  <c r="BN114" i="37"/>
  <c r="BN108" i="37"/>
  <c r="BN100" i="37"/>
  <c r="BN92" i="37"/>
  <c r="BN84" i="37"/>
  <c r="BN76" i="37"/>
  <c r="BN123" i="37"/>
  <c r="BM34" i="37" l="1"/>
  <c r="BI52" i="37"/>
  <c r="BF51" i="37"/>
  <c r="BF25" i="37"/>
  <c r="BF31" i="37"/>
  <c r="BF49" i="37"/>
  <c r="BF35" i="37"/>
  <c r="BF40" i="37"/>
  <c r="BI59" i="37"/>
  <c r="BH31" i="37"/>
  <c r="BH8" i="37"/>
  <c r="BJ46" i="37"/>
  <c r="BI53" i="37"/>
  <c r="BG22" i="37"/>
  <c r="BI46" i="37"/>
  <c r="BK37" i="37"/>
  <c r="BL37" i="37"/>
  <c r="BM51" i="37"/>
  <c r="BK32" i="37"/>
  <c r="BM60" i="37"/>
  <c r="BJ38" i="37"/>
  <c r="BG50" i="37"/>
  <c r="BK34" i="37"/>
  <c r="BL15" i="37"/>
  <c r="BG18" i="37"/>
  <c r="BK54" i="37"/>
  <c r="BI28" i="37"/>
  <c r="BM41" i="37"/>
  <c r="BK26" i="37"/>
  <c r="BM9" i="37"/>
  <c r="BH60" i="37"/>
  <c r="BK59" i="37"/>
  <c r="BM36" i="37"/>
  <c r="BM11" i="37"/>
  <c r="BH40" i="37"/>
  <c r="BJ17" i="37"/>
  <c r="BL52" i="37"/>
  <c r="BG49" i="37"/>
  <c r="BG60" i="37"/>
  <c r="BI17" i="37"/>
  <c r="BJ32" i="37"/>
  <c r="BI43" i="37"/>
  <c r="BK33" i="37"/>
  <c r="BJ44" i="37"/>
  <c r="BH42" i="37"/>
  <c r="BL8" i="37"/>
  <c r="BI45" i="37"/>
  <c r="BH46" i="37"/>
  <c r="BG19" i="37"/>
  <c r="BK43" i="37"/>
  <c r="BM59" i="37"/>
  <c r="BG41" i="37"/>
  <c r="BI54" i="37"/>
  <c r="BL29" i="37"/>
  <c r="BI14" i="37"/>
  <c r="BK25" i="37"/>
  <c r="BI9" i="37"/>
  <c r="BI29" i="37"/>
  <c r="BK39" i="37"/>
  <c r="BG26" i="37"/>
  <c r="BL46" i="37"/>
  <c r="BI60" i="37"/>
  <c r="BM39" i="37"/>
  <c r="BG12" i="37"/>
  <c r="BL25" i="37"/>
  <c r="BK24" i="37"/>
  <c r="BG48" i="37"/>
  <c r="BK31" i="37"/>
  <c r="BL39" i="37"/>
  <c r="BI15" i="37"/>
  <c r="BL56" i="37"/>
  <c r="BG8" i="37"/>
  <c r="BL26" i="37"/>
  <c r="BG34" i="37"/>
  <c r="BJ43" i="37"/>
  <c r="BM53" i="37"/>
  <c r="BM19" i="37"/>
  <c r="BG11" i="37"/>
  <c r="BG62" i="37"/>
  <c r="BJ30" i="37"/>
  <c r="BF34" i="37"/>
  <c r="BG45" i="37"/>
  <c r="BK52" i="37"/>
  <c r="BL23" i="37"/>
  <c r="BH55" i="37"/>
  <c r="BF55" i="37"/>
  <c r="BJ49" i="37"/>
  <c r="BJ48" i="37"/>
  <c r="BH12" i="37"/>
  <c r="BG13" i="37"/>
  <c r="BG33" i="37"/>
  <c r="BG47" i="37"/>
  <c r="BM22" i="37"/>
  <c r="BM43" i="37"/>
  <c r="BK20" i="37"/>
  <c r="BJ54" i="37"/>
  <c r="BJ26" i="37"/>
  <c r="BM21" i="37"/>
  <c r="BJ15" i="37"/>
  <c r="BM31" i="37"/>
  <c r="BI44" i="37"/>
  <c r="BM52" i="37"/>
  <c r="BG39" i="37"/>
  <c r="BM24" i="37"/>
  <c r="BK15" i="37"/>
  <c r="BH51" i="37"/>
  <c r="BJ24" i="37"/>
  <c r="BK28" i="37"/>
  <c r="BM26" i="37"/>
  <c r="BJ31" i="37"/>
  <c r="BF8" i="37"/>
  <c r="BH53" i="37"/>
  <c r="BI16" i="37"/>
  <c r="BG57" i="37"/>
  <c r="BL13" i="37"/>
  <c r="BJ16" i="37"/>
  <c r="BL60" i="37"/>
  <c r="BL32" i="37"/>
  <c r="BJ57" i="37"/>
  <c r="BF60" i="37"/>
  <c r="BG32" i="37"/>
  <c r="BF13" i="37"/>
  <c r="BF12" i="37"/>
  <c r="BF36" i="37"/>
  <c r="BF26" i="37"/>
  <c r="BF24" i="37"/>
  <c r="BF10" i="37"/>
  <c r="BF20" i="37"/>
  <c r="BL40" i="37"/>
  <c r="BI57" i="37"/>
  <c r="BK10" i="37"/>
  <c r="BM57" i="37"/>
  <c r="BJ35" i="37"/>
  <c r="BK17" i="37"/>
  <c r="BL30" i="37"/>
  <c r="BH15" i="37"/>
  <c r="BL28" i="37"/>
  <c r="BK27" i="37"/>
  <c r="BH56" i="37"/>
  <c r="BL55" i="37"/>
  <c r="BJ56" i="37"/>
  <c r="BM62" i="37"/>
  <c r="BK36" i="37"/>
  <c r="BM44" i="37"/>
  <c r="BH10" i="37"/>
  <c r="BI27" i="37"/>
  <c r="BI56" i="37"/>
  <c r="BM30" i="37"/>
  <c r="BI18" i="37"/>
  <c r="BM20" i="37"/>
  <c r="BL31" i="37"/>
  <c r="BH9" i="37"/>
  <c r="BI10" i="37"/>
  <c r="BJ59" i="37"/>
  <c r="BL20" i="37"/>
  <c r="BJ36" i="37"/>
  <c r="BL43" i="37"/>
  <c r="BH45" i="37"/>
  <c r="BH35" i="37"/>
  <c r="BK41" i="37"/>
  <c r="BF58" i="37"/>
  <c r="BI33" i="37"/>
  <c r="BL10" i="37"/>
  <c r="BI51" i="37"/>
  <c r="BK40" i="37"/>
  <c r="BG10" i="37"/>
  <c r="BI21" i="37"/>
  <c r="BL49" i="37"/>
  <c r="BI20" i="37"/>
  <c r="BI11" i="37"/>
  <c r="BH50" i="37"/>
  <c r="BG38" i="37"/>
  <c r="BL51" i="37"/>
  <c r="BI12" i="37"/>
  <c r="BK56" i="37"/>
  <c r="BH20" i="37"/>
  <c r="BH47" i="37"/>
  <c r="BL53" i="37"/>
  <c r="BM8" i="37"/>
  <c r="BK57" i="37"/>
  <c r="BM12" i="37"/>
  <c r="BI22" i="37"/>
  <c r="BK11" i="37"/>
  <c r="BH34" i="37"/>
  <c r="BG44" i="37"/>
  <c r="BG30" i="37"/>
  <c r="BJ23" i="37"/>
  <c r="BF48" i="37"/>
  <c r="BH57" i="37"/>
  <c r="BL47" i="37"/>
  <c r="BH58" i="37"/>
  <c r="BF22" i="37"/>
  <c r="BJ12" i="37"/>
  <c r="BL45" i="37"/>
  <c r="BK62" i="37"/>
  <c r="BF21" i="37"/>
  <c r="BF32" i="37"/>
  <c r="BF53" i="37"/>
  <c r="BF52" i="37"/>
  <c r="BF38" i="37"/>
  <c r="BF42" i="37"/>
  <c r="BF30" i="37"/>
  <c r="BI61" i="37"/>
  <c r="BM32" i="37"/>
  <c r="BI13" i="37"/>
  <c r="BG59" i="37"/>
  <c r="BK47" i="37"/>
  <c r="BI26" i="37"/>
  <c r="BM55" i="37"/>
  <c r="BL59" i="37"/>
  <c r="BM38" i="37"/>
  <c r="BG35" i="37"/>
  <c r="BM18" i="37"/>
  <c r="BI39" i="37"/>
  <c r="BJ13" i="37"/>
  <c r="BL44" i="37"/>
  <c r="BK23" i="37"/>
  <c r="BL18" i="37"/>
  <c r="BH18" i="37"/>
  <c r="BH21" i="37"/>
  <c r="BM54" i="37"/>
  <c r="BI23" i="37"/>
  <c r="BJ20" i="37"/>
  <c r="BK9" i="37"/>
  <c r="BH43" i="37"/>
  <c r="BH24" i="37"/>
  <c r="BI36" i="37"/>
  <c r="BJ50" i="37"/>
  <c r="BM37" i="37"/>
  <c r="BH39" i="37"/>
  <c r="BG54" i="37"/>
  <c r="BJ47" i="37"/>
  <c r="BF47" i="37"/>
  <c r="BJ41" i="37"/>
  <c r="BH54" i="37"/>
  <c r="BM27" i="37"/>
  <c r="BH38" i="37"/>
  <c r="BL17" i="37"/>
  <c r="BJ18" i="37"/>
  <c r="BH44" i="37"/>
  <c r="BF11" i="37"/>
  <c r="BF9" i="37"/>
  <c r="BI40" i="37"/>
  <c r="BG25" i="37"/>
  <c r="BJ14" i="37"/>
  <c r="BK13" i="37"/>
  <c r="BH62" i="37"/>
  <c r="BI47" i="37"/>
  <c r="BL14" i="37"/>
  <c r="BK42" i="37"/>
  <c r="BH28" i="37"/>
  <c r="BK22" i="37"/>
  <c r="BJ9" i="37"/>
  <c r="BH32" i="37"/>
  <c r="BL61" i="37"/>
  <c r="BH59" i="37"/>
  <c r="BL58" i="37"/>
  <c r="BJ21" i="37"/>
  <c r="BM40" i="37"/>
  <c r="BH16" i="37"/>
  <c r="BL50" i="37"/>
  <c r="BJ45" i="37"/>
  <c r="BL57" i="37"/>
  <c r="BJ22" i="37"/>
  <c r="BG43" i="37"/>
  <c r="BG37" i="37"/>
  <c r="BM42" i="37"/>
  <c r="BK50" i="37"/>
  <c r="BF39" i="37"/>
  <c r="BJ29" i="37"/>
  <c r="BK44" i="37"/>
  <c r="BK58" i="37"/>
  <c r="BK48" i="37"/>
  <c r="BK53" i="37"/>
  <c r="BM28" i="37"/>
  <c r="BH33" i="37"/>
  <c r="BM15" i="37"/>
  <c r="BG52" i="37"/>
  <c r="BG17" i="37"/>
  <c r="BH13" i="37"/>
  <c r="BI24" i="37"/>
  <c r="BJ40" i="37"/>
  <c r="BH17" i="37"/>
  <c r="BM47" i="37"/>
  <c r="BI49" i="37"/>
  <c r="BK8" i="37"/>
  <c r="BH19" i="37"/>
  <c r="BJ42" i="37"/>
  <c r="BM35" i="37"/>
  <c r="BJ27" i="37"/>
  <c r="BK45" i="37"/>
  <c r="BG20" i="37"/>
  <c r="BL41" i="37"/>
  <c r="BM46" i="37"/>
  <c r="BI42" i="37"/>
  <c r="BH37" i="37"/>
  <c r="BL54" i="37"/>
  <c r="BG14" i="37"/>
  <c r="BL42" i="37"/>
  <c r="BL34" i="37"/>
  <c r="BH52" i="37"/>
  <c r="BH41" i="37"/>
  <c r="BM29" i="37"/>
  <c r="BM33" i="37"/>
  <c r="BL9" i="37"/>
  <c r="BJ8" i="37"/>
  <c r="BM25" i="37"/>
  <c r="BF43" i="37"/>
  <c r="BI50" i="37"/>
  <c r="BH22" i="37"/>
  <c r="BG31" i="37"/>
  <c r="BK16" i="37"/>
  <c r="BG9" i="37"/>
  <c r="BG56" i="37"/>
  <c r="BL24" i="37"/>
  <c r="BG16" i="37"/>
  <c r="BG36" i="37"/>
  <c r="BF29" i="37"/>
  <c r="BF56" i="37"/>
  <c r="BG28" i="37"/>
  <c r="BF37" i="37"/>
  <c r="BF44" i="37"/>
  <c r="BF15" i="37"/>
  <c r="BF54" i="37"/>
  <c r="BF19" i="37"/>
  <c r="BF16" i="37"/>
  <c r="BF33" i="37"/>
  <c r="BM61" i="37"/>
  <c r="BK35" i="37"/>
  <c r="BM14" i="37"/>
  <c r="BL35" i="37"/>
  <c r="BK14" i="37"/>
  <c r="BM10" i="37"/>
  <c r="BJ62" i="37"/>
  <c r="BI19" i="37"/>
  <c r="BG24" i="37"/>
  <c r="BJ10" i="37"/>
  <c r="BM13" i="37"/>
  <c r="BJ60" i="37"/>
  <c r="BM23" i="37"/>
  <c r="BJ25" i="37"/>
  <c r="BK46" i="37"/>
  <c r="BL36" i="37"/>
  <c r="BJ55" i="37"/>
  <c r="BK21" i="37"/>
  <c r="BM48" i="37"/>
  <c r="BJ19" i="37"/>
  <c r="BI34" i="37"/>
  <c r="BI30" i="37"/>
  <c r="BI41" i="37"/>
  <c r="BG23" i="37"/>
  <c r="BG21" i="37"/>
  <c r="BH26" i="37"/>
  <c r="BH14" i="37"/>
  <c r="BM56" i="37"/>
  <c r="BH48" i="37"/>
  <c r="BF41" i="37"/>
  <c r="BM17" i="37"/>
  <c r="BH25" i="37"/>
  <c r="BH23" i="37"/>
  <c r="BL16" i="37"/>
  <c r="BF18" i="37"/>
  <c r="BM50" i="37"/>
  <c r="BG55" i="37"/>
  <c r="BK38" i="37"/>
  <c r="BF46" i="37"/>
  <c r="BF61" i="37"/>
  <c r="BH27" i="37"/>
  <c r="BI55" i="37"/>
  <c r="BJ37" i="37"/>
  <c r="BJ28" i="37"/>
  <c r="BM16" i="37"/>
  <c r="BK12" i="37"/>
  <c r="BL21" i="37"/>
  <c r="BK30" i="37"/>
  <c r="BL12" i="37"/>
  <c r="BI62" i="37"/>
  <c r="BG53" i="37"/>
  <c r="BG51" i="37"/>
  <c r="BK29" i="37"/>
  <c r="BH61" i="37"/>
  <c r="BJ52" i="37"/>
  <c r="BH29" i="37"/>
  <c r="BI31" i="37"/>
  <c r="BG46" i="37"/>
  <c r="BJ58" i="37"/>
  <c r="BI38" i="37"/>
  <c r="BH30" i="37"/>
  <c r="BJ51" i="37"/>
  <c r="BH49" i="37"/>
  <c r="BL33" i="37"/>
  <c r="BG15" i="37"/>
  <c r="BH11" i="37"/>
  <c r="BK61" i="37"/>
  <c r="BL62" i="37"/>
  <c r="BF59" i="37"/>
  <c r="BL19" i="37"/>
  <c r="BK60" i="37"/>
  <c r="BK51" i="37"/>
  <c r="BJ34" i="37"/>
  <c r="BF57" i="37"/>
  <c r="BI8" i="37"/>
  <c r="BL27" i="37"/>
  <c r="BM45" i="37"/>
  <c r="BI35" i="37"/>
  <c r="BJ39" i="37"/>
  <c r="BF62" i="37"/>
  <c r="BL11" i="37"/>
  <c r="BF45" i="37"/>
  <c r="BF17" i="37"/>
  <c r="BF23" i="37"/>
  <c r="BF14" i="37"/>
  <c r="BF27" i="37"/>
  <c r="BF28" i="37"/>
  <c r="BF50" i="37"/>
  <c r="BG61" i="37"/>
  <c r="BG58" i="37"/>
  <c r="BL38" i="37"/>
  <c r="BI25" i="37"/>
  <c r="BK49" i="37"/>
  <c r="BK18" i="37"/>
  <c r="BJ33" i="37"/>
  <c r="BH36" i="37"/>
  <c r="BL22" i="37"/>
  <c r="BI58" i="37"/>
  <c r="BJ61" i="37"/>
  <c r="BI32" i="37"/>
  <c r="BL48" i="37"/>
  <c r="BG27" i="37"/>
  <c r="BI37" i="37"/>
  <c r="BM49" i="37"/>
  <c r="BI48" i="37"/>
  <c r="BG29" i="37"/>
  <c r="BJ53" i="37"/>
  <c r="BK19" i="37"/>
  <c r="BG42" i="37"/>
  <c r="BG40" i="37"/>
  <c r="BM58" i="37"/>
  <c r="BK55" i="37"/>
  <c r="BO9" i="33"/>
  <c r="BM19" i="33"/>
  <c r="BM11" i="33"/>
  <c r="BH9" i="33"/>
  <c r="BN19" i="33"/>
  <c r="BI9" i="33"/>
  <c r="BL19" i="33"/>
  <c r="BI19" i="33"/>
  <c r="BN11" i="33"/>
  <c r="BO11" i="33"/>
  <c r="BN9" i="33"/>
  <c r="BP19" i="33"/>
  <c r="BK9" i="33"/>
  <c r="BO19" i="33"/>
  <c r="BJ9" i="33"/>
  <c r="BL9" i="33"/>
  <c r="BJ11" i="33"/>
  <c r="BM9" i="33"/>
  <c r="BK11" i="33"/>
  <c r="BH19" i="33"/>
  <c r="BP11" i="33"/>
  <c r="BP9" i="33"/>
  <c r="BL11" i="33"/>
  <c r="BI11" i="33"/>
  <c r="BH11" i="33"/>
  <c r="BJ19" i="33"/>
  <c r="BK19" i="33"/>
  <c r="BE31" i="33"/>
  <c r="BD31" i="33"/>
  <c r="BD30" i="33"/>
  <c r="BE30" i="33"/>
  <c r="BD22" i="33"/>
  <c r="BE22" i="33"/>
  <c r="BD23" i="33"/>
  <c r="BE23" i="33"/>
  <c r="BD12" i="33"/>
  <c r="BE12" i="33"/>
  <c r="BD14" i="33"/>
  <c r="BE14" i="33"/>
  <c r="BE10" i="33"/>
  <c r="BD10" i="33"/>
  <c r="BD9" i="33"/>
  <c r="BE9" i="33"/>
  <c r="BE25" i="33"/>
  <c r="BD25" i="33"/>
  <c r="BD24" i="33"/>
  <c r="BE24" i="33"/>
  <c r="BE11" i="33"/>
  <c r="BD11" i="33"/>
  <c r="BD13" i="33"/>
  <c r="BE13" i="33"/>
  <c r="BD21" i="33"/>
  <c r="BE21" i="33"/>
  <c r="BD8" i="33"/>
  <c r="BE8" i="33"/>
  <c r="BD26" i="33"/>
  <c r="BE26" i="33"/>
  <c r="BD17" i="33"/>
  <c r="BE17" i="33"/>
  <c r="BD29" i="33"/>
  <c r="BE29" i="33"/>
  <c r="BD19" i="33"/>
  <c r="BE19" i="33"/>
  <c r="BE16" i="33"/>
  <c r="BD16" i="33"/>
  <c r="BD15" i="33"/>
  <c r="BE15" i="33"/>
  <c r="BE27" i="33"/>
  <c r="BD27" i="33"/>
  <c r="BE28" i="33"/>
  <c r="BD28" i="33"/>
  <c r="BE20" i="33"/>
  <c r="BD20" i="33"/>
  <c r="BD18" i="33"/>
  <c r="BE18" i="33"/>
  <c r="BE32" i="33"/>
  <c r="BD32" i="33"/>
  <c r="BQ19" i="33" l="1"/>
  <c r="BQ11" i="33"/>
  <c r="BQ9" i="33"/>
  <c r="V34" i="33"/>
  <c r="V3" i="33" s="1"/>
  <c r="V4" i="33" s="1"/>
  <c r="V5" i="33" s="1"/>
  <c r="U34" i="33"/>
  <c r="U3" i="33" s="1"/>
  <c r="U4" i="33" s="1"/>
  <c r="U5" i="33" s="1"/>
  <c r="W34" i="33"/>
  <c r="W3" i="33" s="1"/>
  <c r="W4" i="33" s="1"/>
  <c r="W5" i="33" s="1"/>
  <c r="T34" i="33"/>
  <c r="T3" i="33" s="1"/>
  <c r="T4" i="33" s="1"/>
  <c r="T5" i="33" s="1"/>
  <c r="Q34" i="33"/>
  <c r="Q3" i="33" s="1"/>
  <c r="Q4" i="33" s="1"/>
  <c r="Q5" i="33" s="1"/>
  <c r="R34" i="33"/>
  <c r="R3" i="33" s="1"/>
  <c r="R4" i="33" s="1"/>
  <c r="R5" i="33" s="1"/>
  <c r="P34" i="33"/>
  <c r="P3" i="33" s="1"/>
  <c r="S34" i="33"/>
  <c r="S3" i="33" s="1"/>
  <c r="S4" i="33" s="1"/>
  <c r="S5" i="33" s="1"/>
  <c r="X34" i="33"/>
  <c r="X3" i="33" s="1"/>
  <c r="X4" i="33" s="1"/>
  <c r="X5" i="33" s="1"/>
  <c r="D179" i="27"/>
  <c r="D167" i="27"/>
  <c r="D264" i="27"/>
  <c r="D205" i="27"/>
  <c r="D193" i="27"/>
  <c r="D252" i="27"/>
  <c r="Y31" i="33"/>
  <c r="D211" i="27"/>
  <c r="D289" i="27"/>
  <c r="D248" i="27"/>
  <c r="D262" i="27"/>
  <c r="D287" i="27"/>
  <c r="BJ15" i="33"/>
  <c r="D166" i="27"/>
  <c r="D249" i="27"/>
  <c r="D206" i="27"/>
  <c r="D196" i="27"/>
  <c r="BJ30" i="33"/>
  <c r="D164" i="27"/>
  <c r="D253" i="27"/>
  <c r="D294" i="27"/>
  <c r="D270" i="27"/>
  <c r="D293" i="27"/>
  <c r="BJ27" i="33"/>
  <c r="BK27" i="33"/>
  <c r="D185" i="27"/>
  <c r="BO27" i="33"/>
  <c r="D260" i="27"/>
  <c r="D259" i="27"/>
  <c r="BL27" i="33"/>
  <c r="D176" i="27"/>
  <c r="D188" i="27"/>
  <c r="D251" i="27"/>
  <c r="Y23" i="33"/>
  <c r="D274" i="27"/>
  <c r="Y22" i="33"/>
  <c r="D203" i="27"/>
  <c r="Y17" i="33"/>
  <c r="BK30" i="33"/>
  <c r="D250" i="27"/>
  <c r="D165" i="27"/>
  <c r="D263" i="27"/>
  <c r="Y29" i="33"/>
  <c r="D199" i="27"/>
  <c r="D162" i="27"/>
  <c r="D183" i="27"/>
  <c r="D208" i="27"/>
  <c r="D267" i="27"/>
  <c r="D186" i="27"/>
  <c r="BI30" i="33"/>
  <c r="BP30" i="33"/>
  <c r="Y26" i="33"/>
  <c r="D180" i="27"/>
  <c r="BI27" i="33"/>
  <c r="D197" i="27"/>
  <c r="D178" i="27"/>
  <c r="D261" i="27"/>
  <c r="D200" i="27"/>
  <c r="BM27" i="33"/>
  <c r="D290" i="27"/>
  <c r="D169" i="27"/>
  <c r="D292" i="27"/>
  <c r="Y32" i="33"/>
  <c r="D258" i="27"/>
  <c r="D273" i="27"/>
  <c r="Y21" i="33"/>
  <c r="BM30" i="33"/>
  <c r="D272" i="27"/>
  <c r="D168" i="27"/>
  <c r="D209" i="27"/>
  <c r="D256" i="27"/>
  <c r="D187" i="27"/>
  <c r="BL30" i="33"/>
  <c r="Y28" i="33"/>
  <c r="BN30" i="33"/>
  <c r="BJ13" i="33"/>
  <c r="BO30" i="33"/>
  <c r="D172" i="27"/>
  <c r="Y20" i="33"/>
  <c r="BP27" i="33"/>
  <c r="D207" i="27"/>
  <c r="D177" i="27"/>
  <c r="D271" i="27"/>
  <c r="D269" i="27"/>
  <c r="Y24" i="33"/>
  <c r="BN27" i="33"/>
  <c r="D246" i="27"/>
  <c r="D189" i="27"/>
  <c r="D195" i="27"/>
  <c r="D190" i="27"/>
  <c r="D210" i="27"/>
  <c r="D291" i="27"/>
  <c r="D198" i="27"/>
  <c r="D247" i="27" l="1"/>
  <c r="Y18" i="33"/>
  <c r="D194" i="27"/>
  <c r="Y11" i="33"/>
  <c r="BH27" i="33"/>
  <c r="BQ27" i="33" s="1"/>
  <c r="Y27" i="33"/>
  <c r="BI15" i="33"/>
  <c r="D280" i="27"/>
  <c r="BN15" i="33"/>
  <c r="D281" i="27"/>
  <c r="D163" i="27"/>
  <c r="Y8" i="33"/>
  <c r="D174" i="27"/>
  <c r="D175" i="27"/>
  <c r="D184" i="27"/>
  <c r="Y10" i="33"/>
  <c r="BK15" i="33"/>
  <c r="D277" i="27"/>
  <c r="Y12" i="33"/>
  <c r="D204" i="27"/>
  <c r="Y25" i="33"/>
  <c r="D268" i="27"/>
  <c r="Y14" i="33"/>
  <c r="BL13" i="33"/>
  <c r="D227" i="27"/>
  <c r="D232" i="27"/>
  <c r="BP13" i="33"/>
  <c r="D282" i="27"/>
  <c r="BM15" i="33"/>
  <c r="BO13" i="33"/>
  <c r="D231" i="27"/>
  <c r="BK13" i="33"/>
  <c r="D225" i="27"/>
  <c r="D257" i="27"/>
  <c r="Y19" i="33"/>
  <c r="BP15" i="33"/>
  <c r="D284" i="27"/>
  <c r="BM13" i="33"/>
  <c r="D230" i="27"/>
  <c r="D173" i="27"/>
  <c r="Y9" i="33"/>
  <c r="D279" i="27"/>
  <c r="BL15" i="33"/>
  <c r="BI13" i="33"/>
  <c r="D228" i="27"/>
  <c r="D283" i="27"/>
  <c r="BO15" i="33"/>
  <c r="BN13" i="33"/>
  <c r="D229" i="27"/>
  <c r="Y30" i="33"/>
  <c r="BH30" i="33"/>
  <c r="BQ30" i="33" s="1"/>
  <c r="D288" i="27"/>
  <c r="Y16" i="33"/>
  <c r="D278" i="27"/>
  <c r="BH15" i="33"/>
  <c r="Y15" i="33"/>
  <c r="D226" i="27"/>
  <c r="Y13" i="33"/>
  <c r="BH13" i="33"/>
  <c r="Y34" i="33" l="1"/>
  <c r="BQ15" i="33"/>
  <c r="BQ13" i="33"/>
  <c r="Y3" i="33"/>
  <c r="Y4" i="33" s="1"/>
  <c r="Y5" i="33" s="1"/>
  <c r="P4" i="33"/>
  <c r="P5" i="33" s="1"/>
  <c r="CE28" i="37" l="1"/>
  <c r="CH28" i="37" s="1"/>
  <c r="BZ33" i="37"/>
  <c r="CE33" i="37"/>
  <c r="CE24" i="37"/>
  <c r="CH24" i="37" s="1"/>
  <c r="CE27" i="37"/>
  <c r="CH27" i="37" s="1"/>
  <c r="CE26" i="37"/>
  <c r="CH26" i="37" s="1"/>
  <c r="CB25" i="37"/>
  <c r="CE25" i="37"/>
  <c r="CH33" i="37" l="1"/>
  <c r="CH25" i="37"/>
  <c r="CB18" i="37" l="1"/>
  <c r="CC18" i="37"/>
  <c r="CE18" i="37"/>
  <c r="CF18" i="37"/>
  <c r="BZ18" i="37"/>
  <c r="CA18" i="37"/>
  <c r="CG18" i="37"/>
  <c r="CD18" i="37"/>
  <c r="CH18" i="37" l="1"/>
  <c r="BZ45" i="37"/>
  <c r="CA45" i="37"/>
  <c r="CB45" i="37"/>
  <c r="CC45" i="37"/>
  <c r="CD45" i="37"/>
  <c r="CE45" i="37"/>
  <c r="CF45" i="37"/>
  <c r="CG45" i="37"/>
  <c r="CH45" i="37" l="1"/>
  <c r="BN71" i="37"/>
  <c r="BF127" i="37"/>
  <c r="BM127" i="37"/>
  <c r="BG127" i="37"/>
  <c r="BN35" i="37" l="1"/>
  <c r="BO58" i="37"/>
  <c r="BN48" i="37"/>
  <c r="BO21" i="37"/>
  <c r="BN10" i="37"/>
  <c r="BN53" i="37"/>
  <c r="BN46" i="37"/>
  <c r="BN56" i="37"/>
  <c r="BN54" i="37"/>
  <c r="BN21" i="37"/>
  <c r="BN30" i="37"/>
  <c r="BN28" i="37"/>
  <c r="BN31" i="37"/>
  <c r="BN51" i="37"/>
  <c r="BN11" i="37"/>
  <c r="BN27" i="37"/>
  <c r="BN19" i="37"/>
  <c r="BN40" i="37"/>
  <c r="BN41" i="37"/>
  <c r="BN18" i="37"/>
  <c r="BO37" i="37"/>
  <c r="BO12" i="37"/>
  <c r="BO34" i="37"/>
  <c r="BN9" i="37"/>
  <c r="BN29" i="37"/>
  <c r="BN39" i="37"/>
  <c r="BN17" i="37"/>
  <c r="BN33" i="37"/>
  <c r="BN20" i="37"/>
  <c r="BO35" i="37"/>
  <c r="BO60" i="37"/>
  <c r="BN43" i="37"/>
  <c r="BO47" i="37"/>
  <c r="BN23" i="37"/>
  <c r="BN26" i="37"/>
  <c r="BN57" i="37"/>
  <c r="BN62" i="37"/>
  <c r="BN61" i="37"/>
  <c r="BN32" i="37"/>
  <c r="BN16" i="37"/>
  <c r="BN15" i="37"/>
  <c r="BO55" i="37"/>
  <c r="BO52" i="37"/>
  <c r="BN60" i="37"/>
  <c r="BN38" i="37"/>
  <c r="BN14" i="37"/>
  <c r="BN52" i="37"/>
  <c r="BN22" i="37"/>
  <c r="BN25" i="37"/>
  <c r="BN58" i="37"/>
  <c r="BN50" i="37"/>
  <c r="BO16" i="37"/>
  <c r="BO53" i="37"/>
  <c r="BN42" i="37"/>
  <c r="BN59" i="37"/>
  <c r="BO46" i="37"/>
  <c r="BN45" i="37"/>
  <c r="BN49" i="37"/>
  <c r="BN12" i="37"/>
  <c r="BN36" i="37"/>
  <c r="BN55" i="37"/>
  <c r="BN34" i="37"/>
  <c r="BN44" i="37"/>
  <c r="BN24" i="37"/>
  <c r="BN13" i="37"/>
  <c r="BN37" i="37"/>
  <c r="BN47" i="37"/>
  <c r="BO62" i="37"/>
  <c r="BO32" i="37"/>
  <c r="BO40" i="37"/>
  <c r="BO24" i="37"/>
  <c r="BO26" i="37"/>
  <c r="BJ127" i="37"/>
  <c r="BO14" i="37"/>
  <c r="BO13" i="37"/>
  <c r="BO39" i="37"/>
  <c r="BO10" i="37"/>
  <c r="BO20" i="37"/>
  <c r="BO22" i="37"/>
  <c r="BO56" i="37"/>
  <c r="BO18" i="37"/>
  <c r="BO28" i="37"/>
  <c r="BO43" i="37"/>
  <c r="BO36" i="37"/>
  <c r="BO48" i="37"/>
  <c r="BO54" i="37"/>
  <c r="BO29" i="37"/>
  <c r="BO9" i="37"/>
  <c r="BO57" i="37"/>
  <c r="BO50" i="37"/>
  <c r="BO51" i="37"/>
  <c r="BO49" i="37"/>
  <c r="BO31" i="37"/>
  <c r="BO42" i="37"/>
  <c r="BO41" i="37"/>
  <c r="BO59" i="37"/>
  <c r="BO38" i="37"/>
  <c r="BO23" i="37"/>
  <c r="BO61" i="37"/>
  <c r="BO33" i="37"/>
  <c r="BO17" i="37"/>
  <c r="BO25" i="37"/>
  <c r="BO27" i="37"/>
  <c r="BO44" i="37"/>
  <c r="BO11" i="37"/>
  <c r="BO15" i="37"/>
  <c r="BO45" i="37"/>
  <c r="BO19" i="37"/>
  <c r="BO30" i="37"/>
  <c r="BI127" i="37"/>
  <c r="BH127" i="37"/>
  <c r="BL127" i="37"/>
  <c r="BK127" i="37"/>
  <c r="BN8" i="37" l="1"/>
  <c r="BO8" i="37"/>
  <c r="W8" i="37" a="1"/>
  <c r="Y8" i="37" l="1"/>
  <c r="AC8" i="37"/>
  <c r="D301" i="27" s="1"/>
  <c r="Y9" i="37"/>
  <c r="D305" i="27" s="1"/>
  <c r="AC9" i="37"/>
  <c r="Y10" i="37"/>
  <c r="D314" i="27" s="1"/>
  <c r="AC10" i="37"/>
  <c r="D320" i="27" s="1"/>
  <c r="Y11" i="37"/>
  <c r="CB11" i="37" s="1"/>
  <c r="AC11" i="37"/>
  <c r="D329" i="27" s="1"/>
  <c r="Y12" i="37"/>
  <c r="AC12" i="37"/>
  <c r="D340" i="27" s="1"/>
  <c r="Y13" i="37"/>
  <c r="D344" i="27" s="1"/>
  <c r="AC13" i="37"/>
  <c r="D351" i="27" s="1"/>
  <c r="Y14" i="37"/>
  <c r="D355" i="27" s="1"/>
  <c r="AC14" i="37"/>
  <c r="Y15" i="37"/>
  <c r="D364" i="27" s="1"/>
  <c r="AC15" i="37"/>
  <c r="D371" i="27" s="1"/>
  <c r="Y16" i="37"/>
  <c r="D375" i="27" s="1"/>
  <c r="AC16" i="37"/>
  <c r="D382" i="27" s="1"/>
  <c r="Y17" i="37"/>
  <c r="D386" i="27" s="1"/>
  <c r="AC17" i="37"/>
  <c r="Y18" i="37"/>
  <c r="D395" i="27" s="1"/>
  <c r="AC18" i="37"/>
  <c r="D402" i="27" s="1"/>
  <c r="Y19" i="37"/>
  <c r="D406" i="27" s="1"/>
  <c r="AC19" i="37"/>
  <c r="D413" i="27" s="1"/>
  <c r="Y20" i="37"/>
  <c r="D417" i="27" s="1"/>
  <c r="AC20" i="37"/>
  <c r="D424" i="27" s="1"/>
  <c r="Y21" i="37"/>
  <c r="D428" i="27" s="1"/>
  <c r="AC21" i="37"/>
  <c r="D435" i="27" s="1"/>
  <c r="Y22" i="37"/>
  <c r="D439" i="27" s="1"/>
  <c r="AC22" i="37"/>
  <c r="D445" i="27" s="1"/>
  <c r="Y23" i="37"/>
  <c r="CB23" i="37" s="1"/>
  <c r="AC23" i="37"/>
  <c r="CF23" i="37" s="1"/>
  <c r="Y24" i="37"/>
  <c r="D459" i="27" s="1"/>
  <c r="AC24" i="37"/>
  <c r="D465" i="27" s="1"/>
  <c r="Y25" i="37"/>
  <c r="AC25" i="37"/>
  <c r="D474" i="27" s="1"/>
  <c r="Y26" i="37"/>
  <c r="D478" i="27" s="1"/>
  <c r="AC26" i="37"/>
  <c r="D484" i="27" s="1"/>
  <c r="Y27" i="37"/>
  <c r="D488" i="27" s="1"/>
  <c r="AC27" i="37"/>
  <c r="D494" i="27" s="1"/>
  <c r="Y28" i="37"/>
  <c r="D498" i="27" s="1"/>
  <c r="AC28" i="37"/>
  <c r="D504" i="27" s="1"/>
  <c r="Y29" i="37"/>
  <c r="D508" i="27" s="1"/>
  <c r="AC29" i="37"/>
  <c r="D515" i="27" s="1"/>
  <c r="Y30" i="37"/>
  <c r="D519" i="27" s="1"/>
  <c r="AC30" i="37"/>
  <c r="D526" i="27" s="1"/>
  <c r="Y31" i="37"/>
  <c r="D530" i="27" s="1"/>
  <c r="AC31" i="37"/>
  <c r="D537" i="27" s="1"/>
  <c r="Y32" i="37"/>
  <c r="CB32" i="37" s="1"/>
  <c r="AC32" i="37"/>
  <c r="CF32" i="37" s="1"/>
  <c r="Y33" i="37"/>
  <c r="D552" i="27" s="1"/>
  <c r="AC33" i="37"/>
  <c r="D557" i="27" s="1"/>
  <c r="Y34" i="37"/>
  <c r="AC34" i="37"/>
  <c r="D567" i="27" s="1"/>
  <c r="Y35" i="37"/>
  <c r="D571" i="27" s="1"/>
  <c r="AC35" i="37"/>
  <c r="D578" i="27" s="1"/>
  <c r="Y36" i="37"/>
  <c r="D582" i="27" s="1"/>
  <c r="AC36" i="37"/>
  <c r="D589" i="27" s="1"/>
  <c r="Y37" i="37"/>
  <c r="D593" i="27" s="1"/>
  <c r="AC37" i="37"/>
  <c r="D600" i="27" s="1"/>
  <c r="Y38" i="37"/>
  <c r="CB38" i="37" s="1"/>
  <c r="AC38" i="37"/>
  <c r="CF38" i="37" s="1"/>
  <c r="Y39" i="37"/>
  <c r="D613" i="27" s="1"/>
  <c r="AC39" i="37"/>
  <c r="D621" i="27" s="1"/>
  <c r="Y40" i="37"/>
  <c r="D625" i="27" s="1"/>
  <c r="AC40" i="37"/>
  <c r="D632" i="27" s="1"/>
  <c r="Y41" i="37"/>
  <c r="D636" i="27" s="1"/>
  <c r="AC41" i="37"/>
  <c r="D644" i="27" s="1"/>
  <c r="Y42" i="37"/>
  <c r="D648" i="27" s="1"/>
  <c r="AC42" i="37"/>
  <c r="D655" i="27" s="1"/>
  <c r="Y43" i="37"/>
  <c r="D659" i="27" s="1"/>
  <c r="AC43" i="37"/>
  <c r="D666" i="27" s="1"/>
  <c r="Y44" i="37"/>
  <c r="D604" i="27" s="1"/>
  <c r="AC44" i="37"/>
  <c r="D610" i="27" s="1"/>
  <c r="Y45" i="37"/>
  <c r="AC45" i="37"/>
  <c r="Y46" i="37"/>
  <c r="AC46" i="37"/>
  <c r="Y47" i="37"/>
  <c r="AC47" i="37"/>
  <c r="Y48" i="37"/>
  <c r="CB48" i="37" s="1"/>
  <c r="AC48" i="37"/>
  <c r="CF48" i="37" s="1"/>
  <c r="Y49" i="37"/>
  <c r="AC49" i="37"/>
  <c r="Y50" i="37"/>
  <c r="CB50" i="37" s="1"/>
  <c r="Z8" i="37"/>
  <c r="W9" i="37"/>
  <c r="D308" i="27" s="1"/>
  <c r="AB9" i="37"/>
  <c r="Z10" i="37"/>
  <c r="D316" i="27" s="1"/>
  <c r="W11" i="37"/>
  <c r="D327" i="27" s="1"/>
  <c r="AB11" i="37"/>
  <c r="CE11" i="37" s="1"/>
  <c r="Z12" i="37"/>
  <c r="D336" i="27" s="1"/>
  <c r="W13" i="37"/>
  <c r="D348" i="27" s="1"/>
  <c r="AB13" i="37"/>
  <c r="D345" i="27" s="1"/>
  <c r="Z14" i="37"/>
  <c r="D358" i="27" s="1"/>
  <c r="W15" i="37"/>
  <c r="D368" i="27" s="1"/>
  <c r="AB15" i="37"/>
  <c r="D365" i="27" s="1"/>
  <c r="Z16" i="37"/>
  <c r="D378" i="27" s="1"/>
  <c r="W17" i="37"/>
  <c r="D390" i="27" s="1"/>
  <c r="AB17" i="37"/>
  <c r="D387" i="27" s="1"/>
  <c r="Z18" i="37"/>
  <c r="D398" i="27" s="1"/>
  <c r="W19" i="37"/>
  <c r="AB19" i="37"/>
  <c r="D407" i="27" s="1"/>
  <c r="Z20" i="37"/>
  <c r="D420" i="27" s="1"/>
  <c r="W21" i="37"/>
  <c r="D432" i="27" s="1"/>
  <c r="AB21" i="37"/>
  <c r="D429" i="27" s="1"/>
  <c r="Z22" i="37"/>
  <c r="D441" i="27" s="1"/>
  <c r="W23" i="37"/>
  <c r="D452" i="27" s="1"/>
  <c r="AB23" i="37"/>
  <c r="CE23" i="37" s="1"/>
  <c r="Z24" i="37"/>
  <c r="D461" i="27" s="1"/>
  <c r="W25" i="37"/>
  <c r="D471" i="27" s="1"/>
  <c r="AB25" i="37"/>
  <c r="Z26" i="37"/>
  <c r="D480" i="27" s="1"/>
  <c r="W27" i="37"/>
  <c r="D491" i="27" s="1"/>
  <c r="AB27" i="37"/>
  <c r="Z28" i="37"/>
  <c r="D500" i="27" s="1"/>
  <c r="W29" i="37"/>
  <c r="D512" i="27" s="1"/>
  <c r="AB29" i="37"/>
  <c r="D509" i="27" s="1"/>
  <c r="Z30" i="37"/>
  <c r="D522" i="27" s="1"/>
  <c r="W31" i="37"/>
  <c r="D534" i="27" s="1"/>
  <c r="AB31" i="37"/>
  <c r="D531" i="27" s="1"/>
  <c r="Z32" i="37"/>
  <c r="CC32" i="37" s="1"/>
  <c r="W33" i="37"/>
  <c r="D554" i="27" s="1"/>
  <c r="AB33" i="37"/>
  <c r="Z34" i="37"/>
  <c r="D563" i="27" s="1"/>
  <c r="W35" i="37"/>
  <c r="D575" i="27" s="1"/>
  <c r="AB35" i="37"/>
  <c r="D572" i="27" s="1"/>
  <c r="Z36" i="37"/>
  <c r="D585" i="27" s="1"/>
  <c r="W37" i="37"/>
  <c r="D597" i="27" s="1"/>
  <c r="AB37" i="37"/>
  <c r="D594" i="27" s="1"/>
  <c r="Z38" i="37"/>
  <c r="CC38" i="37" s="1"/>
  <c r="W39" i="37"/>
  <c r="D618" i="27" s="1"/>
  <c r="AB39" i="37"/>
  <c r="D614" i="27" s="1"/>
  <c r="Z40" i="37"/>
  <c r="D628" i="27" s="1"/>
  <c r="W41" i="37"/>
  <c r="D641" i="27" s="1"/>
  <c r="AB41" i="37"/>
  <c r="D637" i="27" s="1"/>
  <c r="Z42" i="37"/>
  <c r="D651" i="27" s="1"/>
  <c r="W43" i="37"/>
  <c r="D663" i="27" s="1"/>
  <c r="AB43" i="37"/>
  <c r="D660" i="27" s="1"/>
  <c r="Z44" i="37"/>
  <c r="D606" i="27" s="1"/>
  <c r="W45" i="37"/>
  <c r="AB45" i="37"/>
  <c r="Z46" i="37"/>
  <c r="W47" i="37"/>
  <c r="AB47" i="37"/>
  <c r="Z48" i="37"/>
  <c r="CC48" i="37" s="1"/>
  <c r="W49" i="37"/>
  <c r="AB49" i="37"/>
  <c r="Z50" i="37"/>
  <c r="CC50" i="37" s="1"/>
  <c r="AD50" i="37"/>
  <c r="CG50" i="37" s="1"/>
  <c r="Z51" i="37"/>
  <c r="AD51" i="37"/>
  <c r="Z52" i="37"/>
  <c r="AD52" i="37"/>
  <c r="Z53" i="37"/>
  <c r="AD53" i="37"/>
  <c r="Z54" i="37"/>
  <c r="AD54" i="37"/>
  <c r="Z55" i="37"/>
  <c r="AD55" i="37"/>
  <c r="Z56" i="37"/>
  <c r="AD56" i="37"/>
  <c r="Z57" i="37"/>
  <c r="AD57" i="37"/>
  <c r="Z58" i="37"/>
  <c r="AD58" i="37"/>
  <c r="Z59" i="37"/>
  <c r="AD59" i="37"/>
  <c r="Z60" i="37"/>
  <c r="AD60" i="37"/>
  <c r="Z61" i="37"/>
  <c r="AD61" i="37"/>
  <c r="Z62" i="37"/>
  <c r="AD62" i="37"/>
  <c r="AA8" i="37"/>
  <c r="X9" i="37"/>
  <c r="D309" i="27" s="1"/>
  <c r="AD9" i="37"/>
  <c r="D311" i="27" s="1"/>
  <c r="AA10" i="37"/>
  <c r="D318" i="27" s="1"/>
  <c r="X11" i="37"/>
  <c r="D330" i="27" s="1"/>
  <c r="AD11" i="37"/>
  <c r="CG11" i="37" s="1"/>
  <c r="AA12" i="37"/>
  <c r="D338" i="27" s="1"/>
  <c r="X13" i="37"/>
  <c r="D350" i="27" s="1"/>
  <c r="AD13" i="37"/>
  <c r="D352" i="27" s="1"/>
  <c r="AA14" i="37"/>
  <c r="D360" i="27" s="1"/>
  <c r="X15" i="37"/>
  <c r="D370" i="27" s="1"/>
  <c r="AD15" i="37"/>
  <c r="D372" i="27" s="1"/>
  <c r="AA16" i="37"/>
  <c r="D380" i="27" s="1"/>
  <c r="X17" i="37"/>
  <c r="D392" i="27" s="1"/>
  <c r="AD17" i="37"/>
  <c r="AA18" i="37"/>
  <c r="D400" i="27" s="1"/>
  <c r="X19" i="37"/>
  <c r="D412" i="27" s="1"/>
  <c r="AD19" i="37"/>
  <c r="D414" i="27" s="1"/>
  <c r="AA20" i="37"/>
  <c r="D422" i="27" s="1"/>
  <c r="X21" i="37"/>
  <c r="D434" i="27" s="1"/>
  <c r="AD21" i="37"/>
  <c r="D436" i="27" s="1"/>
  <c r="AA22" i="37"/>
  <c r="D443" i="27" s="1"/>
  <c r="X23" i="37"/>
  <c r="CA23" i="37" s="1"/>
  <c r="AD23" i="37"/>
  <c r="CG23" i="37" s="1"/>
  <c r="AA24" i="37"/>
  <c r="D463" i="27" s="1"/>
  <c r="X25" i="37"/>
  <c r="D473" i="27" s="1"/>
  <c r="AD25" i="37"/>
  <c r="D475" i="27" s="1"/>
  <c r="AA26" i="37"/>
  <c r="D482" i="27" s="1"/>
  <c r="X27" i="37"/>
  <c r="D493" i="27" s="1"/>
  <c r="AD27" i="37"/>
  <c r="D495" i="27" s="1"/>
  <c r="AA28" i="37"/>
  <c r="D502" i="27" s="1"/>
  <c r="X29" i="37"/>
  <c r="D514" i="27" s="1"/>
  <c r="AD29" i="37"/>
  <c r="D516" i="27" s="1"/>
  <c r="AA30" i="37"/>
  <c r="D524" i="27" s="1"/>
  <c r="X31" i="37"/>
  <c r="D536" i="27" s="1"/>
  <c r="AD31" i="37"/>
  <c r="D538" i="27" s="1"/>
  <c r="AA32" i="37"/>
  <c r="CD32" i="37" s="1"/>
  <c r="X33" i="37"/>
  <c r="D556" i="27" s="1"/>
  <c r="AD33" i="37"/>
  <c r="D558" i="27" s="1"/>
  <c r="AA34" i="37"/>
  <c r="D565" i="27" s="1"/>
  <c r="X35" i="37"/>
  <c r="D577" i="27" s="1"/>
  <c r="AD35" i="37"/>
  <c r="D579" i="27" s="1"/>
  <c r="AA36" i="37"/>
  <c r="D587" i="27" s="1"/>
  <c r="X37" i="37"/>
  <c r="D599" i="27" s="1"/>
  <c r="AD37" i="37"/>
  <c r="D601" i="27" s="1"/>
  <c r="AA38" i="37"/>
  <c r="CD38" i="37" s="1"/>
  <c r="X39" i="37"/>
  <c r="D620" i="27" s="1"/>
  <c r="AD39" i="37"/>
  <c r="D622" i="27" s="1"/>
  <c r="AA40" i="37"/>
  <c r="D630" i="27" s="1"/>
  <c r="X41" i="37"/>
  <c r="D643" i="27" s="1"/>
  <c r="AD41" i="37"/>
  <c r="D645" i="27" s="1"/>
  <c r="AA42" i="37"/>
  <c r="D653" i="27" s="1"/>
  <c r="X43" i="37"/>
  <c r="D665" i="27" s="1"/>
  <c r="AD43" i="37"/>
  <c r="D667" i="27" s="1"/>
  <c r="AA44" i="37"/>
  <c r="D608" i="27" s="1"/>
  <c r="X45" i="37"/>
  <c r="AD45" i="37"/>
  <c r="AA46" i="37"/>
  <c r="X47" i="37"/>
  <c r="AD47" i="37"/>
  <c r="AA48" i="37"/>
  <c r="CD48" i="37" s="1"/>
  <c r="X49" i="37"/>
  <c r="AD49" i="37"/>
  <c r="AA50" i="37"/>
  <c r="CD50" i="37" s="1"/>
  <c r="W51" i="37"/>
  <c r="AA51" i="37"/>
  <c r="W52" i="37"/>
  <c r="AA52" i="37"/>
  <c r="W53" i="37"/>
  <c r="AA53" i="37"/>
  <c r="W54" i="37"/>
  <c r="AA54" i="37"/>
  <c r="W55" i="37"/>
  <c r="AA55" i="37"/>
  <c r="W56" i="37"/>
  <c r="AA56" i="37"/>
  <c r="W57" i="37"/>
  <c r="AA57" i="37"/>
  <c r="W58" i="37"/>
  <c r="AD8" i="37"/>
  <c r="X10" i="37"/>
  <c r="D319" i="27" s="1"/>
  <c r="AA11" i="37"/>
  <c r="D328" i="27" s="1"/>
  <c r="AD12" i="37"/>
  <c r="D341" i="27" s="1"/>
  <c r="X14" i="37"/>
  <c r="D361" i="27" s="1"/>
  <c r="AA15" i="37"/>
  <c r="D369" i="27" s="1"/>
  <c r="AD16" i="37"/>
  <c r="D383" i="27" s="1"/>
  <c r="X18" i="37"/>
  <c r="D401" i="27" s="1"/>
  <c r="AA19" i="37"/>
  <c r="D411" i="27" s="1"/>
  <c r="AD20" i="37"/>
  <c r="D425" i="27" s="1"/>
  <c r="X22" i="37"/>
  <c r="D444" i="27" s="1"/>
  <c r="AA23" i="37"/>
  <c r="D453" i="27" s="1"/>
  <c r="AD24" i="37"/>
  <c r="D466" i="27" s="1"/>
  <c r="X26" i="37"/>
  <c r="D483" i="27" s="1"/>
  <c r="AA27" i="37"/>
  <c r="D492" i="27" s="1"/>
  <c r="AD28" i="37"/>
  <c r="D505" i="27" s="1"/>
  <c r="X30" i="37"/>
  <c r="D525" i="27" s="1"/>
  <c r="AA31" i="37"/>
  <c r="D535" i="27" s="1"/>
  <c r="AD32" i="37"/>
  <c r="CG32" i="37" s="1"/>
  <c r="X34" i="37"/>
  <c r="D566" i="27" s="1"/>
  <c r="AA35" i="37"/>
  <c r="D576" i="27" s="1"/>
  <c r="AD36" i="37"/>
  <c r="D590" i="27" s="1"/>
  <c r="X38" i="37"/>
  <c r="CA38" i="37" s="1"/>
  <c r="AA39" i="37"/>
  <c r="D619" i="27" s="1"/>
  <c r="AD40" i="37"/>
  <c r="D633" i="27" s="1"/>
  <c r="X42" i="37"/>
  <c r="D654" i="27" s="1"/>
  <c r="AA43" i="37"/>
  <c r="D664" i="27" s="1"/>
  <c r="AD44" i="37"/>
  <c r="X46" i="37"/>
  <c r="AA47" i="37"/>
  <c r="AD48" i="37"/>
  <c r="CG48" i="37" s="1"/>
  <c r="X50" i="37"/>
  <c r="CA50" i="37" s="1"/>
  <c r="Y51" i="37"/>
  <c r="Y52" i="37"/>
  <c r="Y53" i="37"/>
  <c r="Y54" i="37"/>
  <c r="Y55" i="37"/>
  <c r="Y56" i="37"/>
  <c r="Y57" i="37"/>
  <c r="Y58" i="37"/>
  <c r="W59" i="37"/>
  <c r="AB59" i="37"/>
  <c r="Y60" i="37"/>
  <c r="W61" i="37"/>
  <c r="AB61" i="37"/>
  <c r="Y62" i="37"/>
  <c r="W8" i="37"/>
  <c r="D299" i="27" s="1"/>
  <c r="Z9" i="37"/>
  <c r="D307" i="27" s="1"/>
  <c r="AB10" i="37"/>
  <c r="W12" i="37"/>
  <c r="D337" i="27" s="1"/>
  <c r="Z13" i="37"/>
  <c r="D347" i="27" s="1"/>
  <c r="AB14" i="37"/>
  <c r="D356" i="27" s="1"/>
  <c r="W16" i="37"/>
  <c r="D379" i="27" s="1"/>
  <c r="Z17" i="37"/>
  <c r="D389" i="27" s="1"/>
  <c r="AB18" i="37"/>
  <c r="D396" i="27" s="1"/>
  <c r="W20" i="37"/>
  <c r="D421" i="27" s="1"/>
  <c r="Z21" i="37"/>
  <c r="D431" i="27" s="1"/>
  <c r="AB22" i="37"/>
  <c r="W24" i="37"/>
  <c r="D462" i="27" s="1"/>
  <c r="Z25" i="37"/>
  <c r="D470" i="27" s="1"/>
  <c r="AB26" i="37"/>
  <c r="W28" i="37"/>
  <c r="D501" i="27" s="1"/>
  <c r="Z29" i="37"/>
  <c r="D511" i="27" s="1"/>
  <c r="AB30" i="37"/>
  <c r="D520" i="27" s="1"/>
  <c r="W32" i="37"/>
  <c r="D545" i="27" s="1"/>
  <c r="Z33" i="37"/>
  <c r="D553" i="27" s="1"/>
  <c r="AB34" i="37"/>
  <c r="D561" i="27" s="1"/>
  <c r="W36" i="37"/>
  <c r="D586" i="27" s="1"/>
  <c r="Z37" i="37"/>
  <c r="D596" i="27" s="1"/>
  <c r="AB38" i="37"/>
  <c r="CE38" i="37" s="1"/>
  <c r="W40" i="37"/>
  <c r="Z41" i="37"/>
  <c r="D640" i="27" s="1"/>
  <c r="AB42" i="37"/>
  <c r="D649" i="27" s="1"/>
  <c r="W44" i="37"/>
  <c r="D607" i="27" s="1"/>
  <c r="Z45" i="37"/>
  <c r="AB46" i="37"/>
  <c r="W48" i="37"/>
  <c r="BZ48" i="37" s="1"/>
  <c r="Z49" i="37"/>
  <c r="AB50" i="37"/>
  <c r="CE50" i="37" s="1"/>
  <c r="AB51" i="37"/>
  <c r="AB52" i="37"/>
  <c r="AB53" i="37"/>
  <c r="AB54" i="37"/>
  <c r="AB55" i="37"/>
  <c r="AB56" i="37"/>
  <c r="AB57" i="37"/>
  <c r="AA58" i="37"/>
  <c r="X59" i="37"/>
  <c r="AC59" i="37"/>
  <c r="AA60" i="37"/>
  <c r="X61" i="37"/>
  <c r="AC61" i="37"/>
  <c r="AA62" i="37"/>
  <c r="X8" i="37"/>
  <c r="AA9" i="37"/>
  <c r="AD10" i="37"/>
  <c r="D321" i="27" s="1"/>
  <c r="X12" i="37"/>
  <c r="D339" i="27" s="1"/>
  <c r="AA13" i="37"/>
  <c r="D349" i="27" s="1"/>
  <c r="AD14" i="37"/>
  <c r="X16" i="37"/>
  <c r="D381" i="27" s="1"/>
  <c r="AA17" i="37"/>
  <c r="D391" i="27" s="1"/>
  <c r="AD18" i="37"/>
  <c r="D403" i="27" s="1"/>
  <c r="X20" i="37"/>
  <c r="D423" i="27" s="1"/>
  <c r="AA21" i="37"/>
  <c r="D433" i="27" s="1"/>
  <c r="AD22" i="37"/>
  <c r="D446" i="27" s="1"/>
  <c r="X24" i="37"/>
  <c r="D464" i="27" s="1"/>
  <c r="AA25" i="37"/>
  <c r="D472" i="27" s="1"/>
  <c r="AD26" i="37"/>
  <c r="D485" i="27" s="1"/>
  <c r="X28" i="37"/>
  <c r="D503" i="27" s="1"/>
  <c r="AA29" i="37"/>
  <c r="D513" i="27" s="1"/>
  <c r="AD30" i="37"/>
  <c r="D527" i="27" s="1"/>
  <c r="X32" i="37"/>
  <c r="CA32" i="37" s="1"/>
  <c r="AA33" i="37"/>
  <c r="D555" i="27" s="1"/>
  <c r="AD34" i="37"/>
  <c r="D568" i="27" s="1"/>
  <c r="X36" i="37"/>
  <c r="D588" i="27" s="1"/>
  <c r="AA37" i="37"/>
  <c r="D598" i="27" s="1"/>
  <c r="AD38" i="37"/>
  <c r="CG38" i="37" s="1"/>
  <c r="X40" i="37"/>
  <c r="D631" i="27" s="1"/>
  <c r="AA41" i="37"/>
  <c r="D642" i="27" s="1"/>
  <c r="AD42" i="37"/>
  <c r="D656" i="27" s="1"/>
  <c r="X44" i="37"/>
  <c r="D609" i="27" s="1"/>
  <c r="AA45" i="37"/>
  <c r="AD46" i="37"/>
  <c r="X48" i="37"/>
  <c r="CA48" i="37" s="1"/>
  <c r="AA49" i="37"/>
  <c r="AC50" i="37"/>
  <c r="CF50" i="37" s="1"/>
  <c r="AC51" i="37"/>
  <c r="AC52" i="37"/>
  <c r="AC53" i="37"/>
  <c r="AC54" i="37"/>
  <c r="AC55" i="37"/>
  <c r="AC56" i="37"/>
  <c r="AC57" i="37"/>
  <c r="AB58" i="37"/>
  <c r="Y59" i="37"/>
  <c r="W60" i="37"/>
  <c r="AB60" i="37"/>
  <c r="Y61" i="37"/>
  <c r="W62" i="37"/>
  <c r="AB62" i="37"/>
  <c r="AB8" i="37"/>
  <c r="W10" i="37"/>
  <c r="Z11" i="37"/>
  <c r="CC11" i="37" s="1"/>
  <c r="AB12" i="37"/>
  <c r="D334" i="27" s="1"/>
  <c r="W14" i="37"/>
  <c r="D359" i="27" s="1"/>
  <c r="Z15" i="37"/>
  <c r="D367" i="27" s="1"/>
  <c r="AB16" i="37"/>
  <c r="D376" i="27" s="1"/>
  <c r="W18" i="37"/>
  <c r="D399" i="27" s="1"/>
  <c r="Z19" i="37"/>
  <c r="D409" i="27" s="1"/>
  <c r="AB20" i="37"/>
  <c r="D418" i="27" s="1"/>
  <c r="W22" i="37"/>
  <c r="Z23" i="37"/>
  <c r="CC23" i="37" s="1"/>
  <c r="AB24" i="37"/>
  <c r="W26" i="37"/>
  <c r="D481" i="27" s="1"/>
  <c r="Z27" i="37"/>
  <c r="D490" i="27" s="1"/>
  <c r="AB28" i="37"/>
  <c r="W30" i="37"/>
  <c r="D523" i="27" s="1"/>
  <c r="Z31" i="37"/>
  <c r="D533" i="27" s="1"/>
  <c r="AB32" i="37"/>
  <c r="D542" i="27" s="1"/>
  <c r="W34" i="37"/>
  <c r="D564" i="27" s="1"/>
  <c r="Z35" i="37"/>
  <c r="D574" i="27" s="1"/>
  <c r="AB36" i="37"/>
  <c r="D583" i="27" s="1"/>
  <c r="W38" i="37"/>
  <c r="BZ38" i="37" s="1"/>
  <c r="Z39" i="37"/>
  <c r="D617" i="27" s="1"/>
  <c r="AB40" i="37"/>
  <c r="D626" i="27" s="1"/>
  <c r="W42" i="37"/>
  <c r="Z43" i="37"/>
  <c r="D662" i="27" s="1"/>
  <c r="AB44" i="37"/>
  <c r="D605" i="27" s="1"/>
  <c r="W46" i="37"/>
  <c r="Z47" i="37"/>
  <c r="AB48" i="37"/>
  <c r="CE48" i="37" s="1"/>
  <c r="W50" i="37"/>
  <c r="BZ50" i="37" s="1"/>
  <c r="X51" i="37"/>
  <c r="X52" i="37"/>
  <c r="X53" i="37"/>
  <c r="X54" i="37"/>
  <c r="X55" i="37"/>
  <c r="X56" i="37"/>
  <c r="X57" i="37"/>
  <c r="X58" i="37"/>
  <c r="AC58" i="37"/>
  <c r="AA59" i="37"/>
  <c r="X60" i="37"/>
  <c r="AC60" i="37"/>
  <c r="AA61" i="37"/>
  <c r="X62" i="37"/>
  <c r="AC62" i="37"/>
  <c r="CD23" i="37"/>
  <c r="D410" i="27"/>
  <c r="CH48" i="37" l="1"/>
  <c r="D451" i="27"/>
  <c r="AE42" i="37"/>
  <c r="BC42" i="37" s="1"/>
  <c r="AE10" i="37"/>
  <c r="BC10" i="37" s="1"/>
  <c r="D454" i="27"/>
  <c r="D541" i="27"/>
  <c r="CA11" i="37"/>
  <c r="D456" i="27"/>
  <c r="D544" i="27"/>
  <c r="BZ11" i="37"/>
  <c r="D547" i="27"/>
  <c r="D548" i="27"/>
  <c r="D310" i="27"/>
  <c r="D449" i="27"/>
  <c r="D324" i="27"/>
  <c r="D546" i="27"/>
  <c r="BZ32" i="37"/>
  <c r="AE16" i="37"/>
  <c r="BC16" i="37" s="1"/>
  <c r="CH38" i="37"/>
  <c r="AE22" i="37"/>
  <c r="BC22" i="37" s="1"/>
  <c r="AE21" i="37"/>
  <c r="BC21" i="37" s="1"/>
  <c r="D317" i="27"/>
  <c r="D652" i="27"/>
  <c r="AE40" i="37"/>
  <c r="BC40" i="37" s="1"/>
  <c r="AE46" i="37"/>
  <c r="BC46" i="37" s="1"/>
  <c r="AE23" i="37"/>
  <c r="AE26" i="37"/>
  <c r="BC26" i="37" s="1"/>
  <c r="AE15" i="37"/>
  <c r="BC15" i="37" s="1"/>
  <c r="D326" i="27"/>
  <c r="AE38" i="37"/>
  <c r="BC38" i="37" s="1"/>
  <c r="AE27" i="37"/>
  <c r="BC27" i="37" s="1"/>
  <c r="CE32" i="37"/>
  <c r="D331" i="27"/>
  <c r="AE18" i="37"/>
  <c r="BC18" i="37" s="1"/>
  <c r="AE20" i="37"/>
  <c r="BC20" i="37" s="1"/>
  <c r="CF11" i="37"/>
  <c r="D629" i="27"/>
  <c r="AE28" i="37"/>
  <c r="BC28" i="37" s="1"/>
  <c r="D549" i="27"/>
  <c r="AE32" i="37"/>
  <c r="BC32" i="37" s="1"/>
  <c r="AE44" i="37"/>
  <c r="BC44" i="37" s="1"/>
  <c r="AE34" i="37"/>
  <c r="BC34" i="37" s="1"/>
  <c r="AE50" i="37"/>
  <c r="BC50" i="37" s="1"/>
  <c r="AE17" i="37"/>
  <c r="BC17" i="37" s="1"/>
  <c r="AE9" i="37"/>
  <c r="BC9" i="37" s="1"/>
  <c r="D455" i="27"/>
  <c r="CD11" i="37"/>
  <c r="AE8" i="37"/>
  <c r="BC8" i="37" s="1"/>
  <c r="AE11" i="37"/>
  <c r="BC11" i="37" s="1"/>
  <c r="AE12" i="37"/>
  <c r="BC12" i="37" s="1"/>
  <c r="AE33" i="37"/>
  <c r="BC33" i="37" s="1"/>
  <c r="D442" i="27"/>
  <c r="AE30" i="37"/>
  <c r="BC30" i="37" s="1"/>
  <c r="BZ23" i="37"/>
  <c r="CH23" i="37" s="1"/>
  <c r="AE35" i="37"/>
  <c r="BC35" i="37" s="1"/>
  <c r="CH50" i="37"/>
  <c r="AE24" i="37"/>
  <c r="BC24" i="37" s="1"/>
  <c r="AE29" i="37"/>
  <c r="BC29" i="37" s="1"/>
  <c r="AE37" i="37"/>
  <c r="BC37" i="37" s="1"/>
  <c r="AE13" i="37"/>
  <c r="BC13" i="37" s="1"/>
  <c r="AE36" i="37"/>
  <c r="BC36" i="37" s="1"/>
  <c r="AE14" i="37"/>
  <c r="BC14" i="37" s="1"/>
  <c r="AE25" i="37"/>
  <c r="BC25" i="37" s="1"/>
  <c r="AE19" i="37"/>
  <c r="BC19" i="37" s="1"/>
  <c r="AE43" i="37"/>
  <c r="BC43" i="37" s="1"/>
  <c r="AE41" i="37"/>
  <c r="BC41" i="37" s="1"/>
  <c r="AE31" i="37"/>
  <c r="BC31" i="37" s="1"/>
  <c r="AE39" i="37"/>
  <c r="BC39" i="37" s="1"/>
  <c r="AE62" i="37"/>
  <c r="BC62" i="37" s="1"/>
  <c r="W64" i="37"/>
  <c r="W3" i="37" s="1"/>
  <c r="W4" i="37" s="1"/>
  <c r="AE47" i="37"/>
  <c r="BC47" i="37" s="1"/>
  <c r="X64" i="37"/>
  <c r="X3" i="37" s="1"/>
  <c r="X4" i="37" s="1"/>
  <c r="D300" i="27"/>
  <c r="AE57" i="37"/>
  <c r="BC57" i="37" s="1"/>
  <c r="AE55" i="37"/>
  <c r="BC55" i="37" s="1"/>
  <c r="AE53" i="37"/>
  <c r="BC53" i="37" s="1"/>
  <c r="AE51" i="37"/>
  <c r="BC51" i="37" s="1"/>
  <c r="AA64" i="37"/>
  <c r="AA3" i="37" s="1"/>
  <c r="AA4" i="37" s="1"/>
  <c r="AE49" i="37"/>
  <c r="BC49" i="37" s="1"/>
  <c r="AB64" i="37"/>
  <c r="AB3" i="37" s="1"/>
  <c r="AB4" i="37" s="1"/>
  <c r="AE48" i="37"/>
  <c r="BC48" i="37" s="1"/>
  <c r="AE59" i="37"/>
  <c r="BC59" i="37" s="1"/>
  <c r="AD64" i="37"/>
  <c r="AD3" i="37" s="1"/>
  <c r="AD4" i="37" s="1"/>
  <c r="D302" i="27"/>
  <c r="Z64" i="37"/>
  <c r="Z3" i="37" s="1"/>
  <c r="Z4" i="37" s="1"/>
  <c r="D298" i="27"/>
  <c r="AC64" i="37"/>
  <c r="AC3" i="37" s="1"/>
  <c r="AC4" i="37" s="1"/>
  <c r="AE60" i="37"/>
  <c r="BC60" i="37" s="1"/>
  <c r="AE61" i="37"/>
  <c r="BC61" i="37" s="1"/>
  <c r="AE58" i="37"/>
  <c r="BC58" i="37" s="1"/>
  <c r="AE56" i="37"/>
  <c r="BC56" i="37" s="1"/>
  <c r="AE54" i="37"/>
  <c r="BC54" i="37" s="1"/>
  <c r="AE52" i="37"/>
  <c r="BC52" i="37" s="1"/>
  <c r="AE45" i="37"/>
  <c r="BC45" i="37" s="1"/>
  <c r="Y64" i="37"/>
  <c r="Y3" i="37" s="1"/>
  <c r="Y4" i="37" s="1"/>
  <c r="AE4" i="37"/>
  <c r="CH32" i="37" l="1"/>
  <c r="CH11" i="37"/>
  <c r="AE64" i="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G3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Enter Total Baconers here.</t>
        </r>
      </text>
    </comment>
    <comment ref="G4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Enter Total no.of sows here.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<sst xmlns="http://schemas.openxmlformats.org/spreadsheetml/2006/main" count="13317" uniqueCount="1557">
  <si>
    <t>DATE</t>
  </si>
  <si>
    <t>G1168</t>
  </si>
  <si>
    <t>G1227</t>
  </si>
  <si>
    <t>G1229</t>
  </si>
  <si>
    <t>G1230</t>
  </si>
  <si>
    <t>G1231</t>
  </si>
  <si>
    <t>G1245</t>
  </si>
  <si>
    <t>G1246</t>
  </si>
  <si>
    <t>Item No.</t>
  </si>
  <si>
    <t>Product Text</t>
  </si>
  <si>
    <t>Input</t>
  </si>
  <si>
    <t>Pieces</t>
  </si>
  <si>
    <t>G1159</t>
  </si>
  <si>
    <t>B/R-less Shoulder, Xport/Cubes</t>
  </si>
  <si>
    <t>1220D10</t>
  </si>
  <si>
    <t>G1160</t>
  </si>
  <si>
    <t>Shld Bn-In R-ss [Chops-&gt;No collar]</t>
  </si>
  <si>
    <t>1220D08</t>
  </si>
  <si>
    <t>lean pork</t>
  </si>
  <si>
    <t>G1161</t>
  </si>
  <si>
    <t>Shld B'ss-&gt;Rss Bacon-&gt;With collar</t>
  </si>
  <si>
    <t>Shld B'ss-&gt;Rss Bacon-&gt;No collar</t>
  </si>
  <si>
    <t>1220D02</t>
  </si>
  <si>
    <t>G1162</t>
  </si>
  <si>
    <t>1220D05</t>
  </si>
  <si>
    <t>G1164</t>
  </si>
  <si>
    <t>Shoulder (Sausage)</t>
  </si>
  <si>
    <t>Shld B'ss R'On (Collar Bacon)</t>
  </si>
  <si>
    <t>1220D07</t>
  </si>
  <si>
    <t>G1165</t>
  </si>
  <si>
    <t>Shoulder B-less Rind-On Rolled</t>
  </si>
  <si>
    <t>1220D09</t>
  </si>
  <si>
    <t>G1166</t>
  </si>
  <si>
    <t>Shoulder B/R'less for Rolled</t>
  </si>
  <si>
    <t>1220D04</t>
  </si>
  <si>
    <t>G1169</t>
  </si>
  <si>
    <t>Pork Hand Boneless</t>
  </si>
  <si>
    <t>1220D11</t>
  </si>
  <si>
    <t>G1170</t>
  </si>
  <si>
    <t>Half Shoulder R'On (for Roll)</t>
  </si>
  <si>
    <t>Item No</t>
  </si>
  <si>
    <t>Short Code</t>
  </si>
  <si>
    <t>Weighing Date</t>
  </si>
  <si>
    <t>Weight</t>
  </si>
  <si>
    <t>Location Code</t>
  </si>
  <si>
    <t>G1101</t>
  </si>
  <si>
    <t>2D101159</t>
  </si>
  <si>
    <t>2D081160</t>
  </si>
  <si>
    <t>2D021161</t>
  </si>
  <si>
    <t>2D051162</t>
  </si>
  <si>
    <t>2D071164</t>
  </si>
  <si>
    <t>2D091165</t>
  </si>
  <si>
    <t>2D041166</t>
  </si>
  <si>
    <t>2D111169</t>
  </si>
  <si>
    <t>Variance</t>
  </si>
  <si>
    <t>G1242</t>
  </si>
  <si>
    <t>G8999</t>
  </si>
  <si>
    <t>Recipe No.</t>
  </si>
  <si>
    <t>Lean Pork</t>
  </si>
  <si>
    <t>Pork Bones</t>
  </si>
  <si>
    <t>Rinds with Fat</t>
  </si>
  <si>
    <t>Pork Tail</t>
  </si>
  <si>
    <t>G1100</t>
  </si>
  <si>
    <t>Pork Leg</t>
  </si>
  <si>
    <t>1220B03</t>
  </si>
  <si>
    <t>G1119</t>
  </si>
  <si>
    <t>G1120</t>
  </si>
  <si>
    <t>1220B06</t>
  </si>
  <si>
    <t>G1121</t>
  </si>
  <si>
    <t>Pork Leg (Reformed)</t>
  </si>
  <si>
    <t>G1145</t>
  </si>
  <si>
    <t>1220B05</t>
  </si>
  <si>
    <t>G1122</t>
  </si>
  <si>
    <t>1220B04</t>
  </si>
  <si>
    <t>G1123</t>
  </si>
  <si>
    <t>P- Leg Bone-In(Smoked Gam Ham)</t>
  </si>
  <si>
    <t>Pork Leg B-less Rindless (Ham)</t>
  </si>
  <si>
    <t>1220B27</t>
  </si>
  <si>
    <t>G1124B</t>
  </si>
  <si>
    <t>Pork Leg B'ss R'ss Country Ham</t>
  </si>
  <si>
    <t>1220B09</t>
  </si>
  <si>
    <t>G1125</t>
  </si>
  <si>
    <t>1220B02</t>
  </si>
  <si>
    <t>G1126</t>
  </si>
  <si>
    <t>1220B17</t>
  </si>
  <si>
    <t>1220B01</t>
  </si>
  <si>
    <t>G1127</t>
  </si>
  <si>
    <t>Pork Leg B/Rind-less for Roll</t>
  </si>
  <si>
    <t>1220B11</t>
  </si>
  <si>
    <t>G1128</t>
  </si>
  <si>
    <t>Pork Leg B'ss R'On for Roll</t>
  </si>
  <si>
    <t>G1129</t>
  </si>
  <si>
    <t>Pork Leg Steak</t>
  </si>
  <si>
    <t>G1130</t>
  </si>
  <si>
    <t>Pork Leg, B/R'less (Xpt/Local)</t>
  </si>
  <si>
    <t>G1131</t>
  </si>
  <si>
    <t>B'less Collar from Pork Leg</t>
  </si>
  <si>
    <t>1220B15</t>
  </si>
  <si>
    <t>G1132</t>
  </si>
  <si>
    <t>Pork Leg B'ss R'On [Xp/Curing]</t>
  </si>
  <si>
    <t>G1135</t>
  </si>
  <si>
    <t>2B031119</t>
  </si>
  <si>
    <t>2B061121</t>
  </si>
  <si>
    <t>2B051122</t>
  </si>
  <si>
    <t>2B041123</t>
  </si>
  <si>
    <t>2B271124B</t>
  </si>
  <si>
    <t>2B091125</t>
  </si>
  <si>
    <t>2B021126</t>
  </si>
  <si>
    <t>Total</t>
  </si>
  <si>
    <t>2B111128</t>
  </si>
  <si>
    <t>1220C09</t>
  </si>
  <si>
    <t>1220C45</t>
  </si>
  <si>
    <t>G1189</t>
  </si>
  <si>
    <t>1220C07</t>
  </si>
  <si>
    <t>G1191</t>
  </si>
  <si>
    <t>1220C21</t>
  </si>
  <si>
    <t>1220C22</t>
  </si>
  <si>
    <t>1220C24</t>
  </si>
  <si>
    <t>1220C06</t>
  </si>
  <si>
    <t>G1193</t>
  </si>
  <si>
    <t>1220C37</t>
  </si>
  <si>
    <t>1220C46</t>
  </si>
  <si>
    <t>G1196</t>
  </si>
  <si>
    <t>1220C05</t>
  </si>
  <si>
    <t>G1197</t>
  </si>
  <si>
    <t>1220C12</t>
  </si>
  <si>
    <t>1220C13</t>
  </si>
  <si>
    <t>1220C15</t>
  </si>
  <si>
    <t>1220C02</t>
  </si>
  <si>
    <t>G1198</t>
  </si>
  <si>
    <t>1220C34</t>
  </si>
  <si>
    <t>1220C04</t>
  </si>
  <si>
    <t>G1199</t>
  </si>
  <si>
    <t>1220C25</t>
  </si>
  <si>
    <t>1220C26</t>
  </si>
  <si>
    <t>1220C27</t>
  </si>
  <si>
    <t>1220C40</t>
  </si>
  <si>
    <t>1220C03</t>
  </si>
  <si>
    <t>G1204</t>
  </si>
  <si>
    <t>1220C35</t>
  </si>
  <si>
    <t xml:space="preserve"> </t>
  </si>
  <si>
    <t>G1102</t>
  </si>
  <si>
    <t>G1194</t>
  </si>
  <si>
    <t>G1195</t>
  </si>
  <si>
    <t>G1225</t>
  </si>
  <si>
    <t>2C451189</t>
  </si>
  <si>
    <t>2C071191</t>
  </si>
  <si>
    <t>G1222</t>
  </si>
  <si>
    <t>2C211191</t>
  </si>
  <si>
    <t>G1221</t>
  </si>
  <si>
    <t>2C221191</t>
  </si>
  <si>
    <t>G1224</t>
  </si>
  <si>
    <t>2C241191</t>
  </si>
  <si>
    <t>2C061193</t>
  </si>
  <si>
    <t>2C371193</t>
  </si>
  <si>
    <t>2C461196</t>
  </si>
  <si>
    <t>2C151197</t>
  </si>
  <si>
    <t>2C351204</t>
  </si>
  <si>
    <t>2C051197</t>
  </si>
  <si>
    <t>2C121197</t>
  </si>
  <si>
    <t>2C131197</t>
  </si>
  <si>
    <t>G1152</t>
  </si>
  <si>
    <t>2C021198</t>
  </si>
  <si>
    <t>2C041199</t>
  </si>
  <si>
    <t>2C251199</t>
  </si>
  <si>
    <t>2C261199</t>
  </si>
  <si>
    <t>2C271199</t>
  </si>
  <si>
    <t>2C031204</t>
  </si>
  <si>
    <t>Description</t>
  </si>
  <si>
    <t>%</t>
  </si>
  <si>
    <t>Data Filling Section</t>
  </si>
  <si>
    <t>Output Main Products</t>
  </si>
  <si>
    <t>Pcs</t>
  </si>
  <si>
    <t>Kgs</t>
  </si>
  <si>
    <t>Sub Totals</t>
  </si>
  <si>
    <t>G1276</t>
  </si>
  <si>
    <t>Grand Total</t>
  </si>
  <si>
    <t>Total pcs</t>
  </si>
  <si>
    <t>Total Wgt</t>
  </si>
  <si>
    <t>Tip Bn-In R-ss [Chops-&gt;With collar]</t>
  </si>
  <si>
    <t>Shld B-less R-On (Collar Bacon)</t>
  </si>
  <si>
    <t>kgs</t>
  </si>
  <si>
    <t>Pork Blood Meat</t>
  </si>
  <si>
    <t>Lean pork</t>
  </si>
  <si>
    <t>Semi Lean (viena)</t>
  </si>
  <si>
    <t>Shanks</t>
  </si>
  <si>
    <t>Rinds With Fat</t>
  </si>
  <si>
    <t xml:space="preserve">Shoulder ribs bulk </t>
  </si>
  <si>
    <t>Stamp rinds</t>
  </si>
  <si>
    <t>G…..</t>
  </si>
  <si>
    <t xml:space="preserve"> R,less Shanks</t>
  </si>
  <si>
    <t>Unstriped Rinds</t>
  </si>
  <si>
    <t>STOCKS</t>
  </si>
  <si>
    <t>Semi - lean</t>
  </si>
  <si>
    <t>Back Fat</t>
  </si>
  <si>
    <t>Cooking Fat</t>
  </si>
  <si>
    <t>Soft Fat</t>
  </si>
  <si>
    <t xml:space="preserve">Rinds </t>
  </si>
  <si>
    <t>Stamps</t>
  </si>
  <si>
    <t>Blood Meat</t>
  </si>
  <si>
    <t>Trmm/prkhd</t>
  </si>
  <si>
    <t>Unstriped rinds G. total</t>
  </si>
  <si>
    <t>.</t>
  </si>
  <si>
    <t>Short Loins (for Sale)B''ss sk bc</t>
  </si>
  <si>
    <t>BY PRODUCTS</t>
  </si>
  <si>
    <t>Middle, Classic Streaky Bacon</t>
  </si>
  <si>
    <t>Pork Belly/Bone-In Rind-On</t>
  </si>
  <si>
    <t>Pork Belly/B-less Rind-On</t>
  </si>
  <si>
    <t>G1223</t>
  </si>
  <si>
    <t>Pork Belly/B-less R-less</t>
  </si>
  <si>
    <t>Pork Belly/Bone-In R-less</t>
  </si>
  <si>
    <t>Pk Belly B'ss for StreakyBacon</t>
  </si>
  <si>
    <t>Belly spare ribs</t>
  </si>
  <si>
    <t>Baby ribs</t>
  </si>
  <si>
    <t xml:space="preserve">Semi lean </t>
  </si>
  <si>
    <t>Pork bones</t>
  </si>
  <si>
    <t>Pork Leg for Proshuto (Bforest)</t>
  </si>
  <si>
    <t>Pork Leg (Fresh)</t>
  </si>
  <si>
    <t>Pork leg for prime chops</t>
  </si>
  <si>
    <t>P-Leg B-less R-On (PrimeGamHam )</t>
  </si>
  <si>
    <t>Pk Leg B's/R'ss ( Sausages )</t>
  </si>
  <si>
    <t>Pork Leg B'less R'On for Export</t>
  </si>
  <si>
    <t>Pork Topside Leg R'On</t>
  </si>
  <si>
    <t>Pork Leg B-less (Whole Ham)</t>
  </si>
  <si>
    <t>Pk Leg B's/R'ss  Rfm (silverside)</t>
  </si>
  <si>
    <t>Pork Leg for Salami</t>
  </si>
  <si>
    <t>baconers</t>
  </si>
  <si>
    <t>sides</t>
  </si>
  <si>
    <t>sales</t>
  </si>
  <si>
    <t>No</t>
  </si>
  <si>
    <t>sows</t>
  </si>
  <si>
    <t>G1030</t>
  </si>
  <si>
    <t xml:space="preserve"> INPUT</t>
  </si>
  <si>
    <t xml:space="preserve"> OUTPUT</t>
  </si>
  <si>
    <t>Pork Loin B-less R-less (Sale</t>
  </si>
  <si>
    <t>Totals</t>
  </si>
  <si>
    <t>Trotters</t>
  </si>
  <si>
    <t>Flare Fat</t>
  </si>
  <si>
    <t>Kidneys</t>
  </si>
  <si>
    <t>G1234</t>
  </si>
  <si>
    <t>G1250</t>
  </si>
  <si>
    <t>Rinds</t>
  </si>
  <si>
    <t>G1232</t>
  </si>
  <si>
    <t>G1235</t>
  </si>
  <si>
    <t>Main Product</t>
  </si>
  <si>
    <t>Debone PLeg B/R'ss Rolled</t>
  </si>
  <si>
    <t>Loss</t>
  </si>
  <si>
    <t>Pk Leg B/R'ss (Sausages/Cubes)</t>
  </si>
  <si>
    <t>Debone PLeg for Italian Salami</t>
  </si>
  <si>
    <t>Debone Pk Leg B-In for Gmn Ham</t>
  </si>
  <si>
    <t>Debone Pork Leg-In (Sales)</t>
  </si>
  <si>
    <t>Pork Leg (Fresh, Sale)</t>
  </si>
  <si>
    <t>Debone Pork Leg for Reformed</t>
  </si>
  <si>
    <t>Debone PLeg--&gt;B's R'O Rolled 1</t>
  </si>
  <si>
    <t>Debone Pork Leg R'On for Exp</t>
  </si>
  <si>
    <t>Debone PLeg B's/R'ss for Cubes</t>
  </si>
  <si>
    <t>Debone Pork Leg 4 Country Ham</t>
  </si>
  <si>
    <t>G1137B</t>
  </si>
  <si>
    <t>Location</t>
  </si>
  <si>
    <t>KG</t>
  </si>
  <si>
    <t>G1334</t>
  </si>
  <si>
    <t>Pork Bones for MDM</t>
  </si>
  <si>
    <t>Pork Middle</t>
  </si>
  <si>
    <t>Belly Spare Ribs</t>
  </si>
  <si>
    <t>Baby Ribs</t>
  </si>
  <si>
    <t>Semi Lean Pork</t>
  </si>
  <si>
    <t>Debone Middle (P-Loin B-less</t>
  </si>
  <si>
    <t>Pork Loin B-less Rind-On (Sale</t>
  </si>
  <si>
    <t>Debone Middle for Short Loin</t>
  </si>
  <si>
    <t>Short Loins (for Sale)</t>
  </si>
  <si>
    <t>Debone Middle, (B'less Loin)</t>
  </si>
  <si>
    <t>Debone Middles for Long Loin</t>
  </si>
  <si>
    <t>Pork Long Loin Bone-In R-less</t>
  </si>
  <si>
    <t>Middles for Kassler + Streaky</t>
  </si>
  <si>
    <t>Middles B-less R-less (Kassler</t>
  </si>
  <si>
    <t>Debone Middle - B/Bacon R/B'ss</t>
  </si>
  <si>
    <t>Middle for R/B'less Back Bacon</t>
  </si>
  <si>
    <t>Debone Middle, Clsc Back &amp;Strk</t>
  </si>
  <si>
    <t>Middle for L-L &amp; B'ly B'ss R'n</t>
  </si>
  <si>
    <t>Middle for L-L &amp; B'ly B'In R'n</t>
  </si>
  <si>
    <t>Middle for L-L &amp; B'ly B'ss R's</t>
  </si>
  <si>
    <t>Middle for R'ssBck &amp; BlyB'sR'O</t>
  </si>
  <si>
    <t>Middle for R'ssBck &amp; BlyB'IR'O</t>
  </si>
  <si>
    <t>Middle for R'ssBck &amp; BlyB'sR's</t>
  </si>
  <si>
    <t>Middle for B's L'n &amp; BlyB'sR'O</t>
  </si>
  <si>
    <t>Middle for B'ss Loin &amp; Streaky</t>
  </si>
  <si>
    <t>Middle for B's L'n &amp; BlyB'IR'O</t>
  </si>
  <si>
    <t>Middle for Loin BsRO&amp;Blly BsRO</t>
  </si>
  <si>
    <t>Middle for SLoin &amp; Belly Bs RO</t>
  </si>
  <si>
    <t>Middle for Kassler+Belly BsR's</t>
  </si>
  <si>
    <t>Middle for Loin B's R's (Sale)</t>
  </si>
  <si>
    <t>Middle R/B'ss Ssg &amp; Streaky</t>
  </si>
  <si>
    <t>Middle for R/B'ss Sausages</t>
  </si>
  <si>
    <t>Mid 4 Loin Bi/Ro &amp; Belly B/Rss</t>
  </si>
  <si>
    <t>Pork Loin BoneIn/Rind-On Sale</t>
  </si>
  <si>
    <t>2A171243</t>
  </si>
  <si>
    <t>G1243</t>
  </si>
  <si>
    <t>2A171242</t>
  </si>
  <si>
    <t>2A171102</t>
  </si>
  <si>
    <t>2A171101</t>
  </si>
  <si>
    <t>2A171100</t>
  </si>
  <si>
    <t>2A171033</t>
  </si>
  <si>
    <t>G1033</t>
  </si>
  <si>
    <t>2A011243</t>
  </si>
  <si>
    <t>2A011242</t>
  </si>
  <si>
    <t>2A011102</t>
  </si>
  <si>
    <t>2A011101</t>
  </si>
  <si>
    <t>2A011100</t>
  </si>
  <si>
    <t>2A011030</t>
  </si>
  <si>
    <t>G1336</t>
  </si>
  <si>
    <t>G1335</t>
  </si>
  <si>
    <t>G1325</t>
  </si>
  <si>
    <t>G1249</t>
  </si>
  <si>
    <t>G1270</t>
  </si>
  <si>
    <t>G8900</t>
  </si>
  <si>
    <t>G1233</t>
  </si>
  <si>
    <t>G1269</t>
  </si>
  <si>
    <t>Sliced Pork Tails-(not meaty)</t>
  </si>
  <si>
    <t>G1326</t>
  </si>
  <si>
    <t>Meaty Pork Tails</t>
  </si>
  <si>
    <t>Offcuts</t>
  </si>
  <si>
    <t>G1149</t>
  </si>
  <si>
    <t>G1296</t>
  </si>
  <si>
    <t>G1295</t>
  </si>
  <si>
    <t>G1093</t>
  </si>
  <si>
    <t>G1265</t>
  </si>
  <si>
    <t>G1236</t>
  </si>
  <si>
    <t>Pork, Off-cuts [M]</t>
  </si>
  <si>
    <t>G1248</t>
  </si>
  <si>
    <t>G1176</t>
  </si>
  <si>
    <t>Slice Shoulder Chops [M]</t>
  </si>
  <si>
    <t>G5004</t>
  </si>
  <si>
    <t>Pork, Off-cuts [U]</t>
  </si>
  <si>
    <t>G1211</t>
  </si>
  <si>
    <t>Slice Shld Ribs for SlicedRibs</t>
  </si>
  <si>
    <t>G1267</t>
  </si>
  <si>
    <t>Slice Spare Ribs for SRib trim</t>
  </si>
  <si>
    <t>Baby Ribs (Trimmed)</t>
  </si>
  <si>
    <t>G1266</t>
  </si>
  <si>
    <t>Slice Baby Ribs for BRibs trim</t>
  </si>
  <si>
    <t>G1208</t>
  </si>
  <si>
    <t>G5006</t>
  </si>
  <si>
    <t>G0110</t>
  </si>
  <si>
    <t>Pig, Carcass</t>
  </si>
  <si>
    <t>Beheading By Products</t>
  </si>
  <si>
    <t>G1228</t>
  </si>
  <si>
    <t>Pork Head</t>
  </si>
  <si>
    <t>G1251</t>
  </si>
  <si>
    <t>Pork Ears</t>
  </si>
  <si>
    <t>Pork Trotters</t>
  </si>
  <si>
    <t>Pork Fillets</t>
  </si>
  <si>
    <t>G1238</t>
  </si>
  <si>
    <t>Pork Kidneys</t>
  </si>
  <si>
    <t>Carcass Purchases (Weight) Kgs</t>
  </si>
  <si>
    <t>Item no</t>
  </si>
  <si>
    <t>Returns</t>
  </si>
  <si>
    <t>SLICING</t>
  </si>
  <si>
    <t>Wt</t>
  </si>
  <si>
    <t>Varriance</t>
  </si>
  <si>
    <t xml:space="preserve"> loin B'in (M)</t>
  </si>
  <si>
    <t>Chops by 1Kg</t>
  </si>
  <si>
    <t>Return</t>
  </si>
  <si>
    <t>Pork Loin B'in Rss 'U'</t>
  </si>
  <si>
    <t>Chops by 500g</t>
  </si>
  <si>
    <t>Chops by 1kg</t>
  </si>
  <si>
    <t>offcuts</t>
  </si>
  <si>
    <t>Imported Belly B'less R'ss</t>
  </si>
  <si>
    <t>cooking fat</t>
  </si>
  <si>
    <t>soft fat</t>
  </si>
  <si>
    <t>pork shanks</t>
  </si>
  <si>
    <t>Bones</t>
  </si>
  <si>
    <t xml:space="preserve"> Legsteak bulk frozen</t>
  </si>
  <si>
    <t xml:space="preserve"> Legsteaks- 500g</t>
  </si>
  <si>
    <t>legsteaks -200g</t>
  </si>
  <si>
    <t>shoulder Chops-1kg</t>
  </si>
  <si>
    <t>shoulder Chops-500g</t>
  </si>
  <si>
    <t>Fillets-500g</t>
  </si>
  <si>
    <t>Loin B'in R'ss</t>
  </si>
  <si>
    <t>Back sausage</t>
  </si>
  <si>
    <t>lean pork G1229 for ssg</t>
  </si>
  <si>
    <t>rinds</t>
  </si>
  <si>
    <t>Slice Pork Tail</t>
  </si>
  <si>
    <t xml:space="preserve"> Returns</t>
  </si>
  <si>
    <t>short loin</t>
  </si>
  <si>
    <t>loin B'ss R'ss</t>
  </si>
  <si>
    <t>Back bacon</t>
  </si>
  <si>
    <t xml:space="preserve"> Pork fillet (bulk)</t>
  </si>
  <si>
    <t>Pork fillet</t>
  </si>
  <si>
    <t>Blood meat(fillet)</t>
  </si>
  <si>
    <t>Soft fat</t>
  </si>
  <si>
    <t>Hocks</t>
  </si>
  <si>
    <t>Belly Bin Ron</t>
  </si>
  <si>
    <t>semilean</t>
  </si>
  <si>
    <t>Return from dispatch for continetals</t>
  </si>
  <si>
    <t>Rolled shoulder</t>
  </si>
  <si>
    <t>Short Loin</t>
  </si>
  <si>
    <t>Loins</t>
  </si>
  <si>
    <t>Chops by 200g</t>
  </si>
  <si>
    <t>1J010110</t>
  </si>
  <si>
    <t>1J011030</t>
  </si>
  <si>
    <t>1J011229</t>
  </si>
  <si>
    <t>1J011235</t>
  </si>
  <si>
    <t>1J011236</t>
  </si>
  <si>
    <t>1J011238</t>
  </si>
  <si>
    <t>1J011228</t>
  </si>
  <si>
    <t>1J011234</t>
  </si>
  <si>
    <t>1J011243</t>
  </si>
  <si>
    <t>1J011251</t>
  </si>
  <si>
    <t>G0111</t>
  </si>
  <si>
    <t>G1031</t>
  </si>
  <si>
    <t>G1286</t>
  </si>
  <si>
    <t>1J020111</t>
  </si>
  <si>
    <t>1J021031</t>
  </si>
  <si>
    <t>1J021234</t>
  </si>
  <si>
    <t>1J021235</t>
  </si>
  <si>
    <t>1J021236</t>
  </si>
  <si>
    <t>1J021238</t>
  </si>
  <si>
    <t>1J021243</t>
  </si>
  <si>
    <t>1J021286</t>
  </si>
  <si>
    <t>G1228|G1286</t>
  </si>
  <si>
    <t>1J040110</t>
  </si>
  <si>
    <t>1J041033</t>
  </si>
  <si>
    <t>1J041229</t>
  </si>
  <si>
    <t>1J041234</t>
  </si>
  <si>
    <t>1J041235</t>
  </si>
  <si>
    <t>1J041236</t>
  </si>
  <si>
    <t>1J041238</t>
  </si>
  <si>
    <t>1J041243</t>
  </si>
  <si>
    <t>1J041251</t>
  </si>
  <si>
    <t>1J041228</t>
  </si>
  <si>
    <t>Porker, Headless</t>
  </si>
  <si>
    <t>Quantity</t>
  </si>
  <si>
    <t>Beheading Porker</t>
  </si>
  <si>
    <t>Unit</t>
  </si>
  <si>
    <t>2m01</t>
  </si>
  <si>
    <t>FAT STRIPPING</t>
  </si>
  <si>
    <t>FAT STRIPPING DATA ENTRY SECTION</t>
  </si>
  <si>
    <t>Back fat</t>
  </si>
  <si>
    <t>Ckg' fat</t>
  </si>
  <si>
    <t>stamps</t>
  </si>
  <si>
    <t>Unstripped Rinds</t>
  </si>
  <si>
    <t>Total Fat Stripping</t>
  </si>
  <si>
    <t>Rinds with fat</t>
  </si>
  <si>
    <t>2m06</t>
  </si>
  <si>
    <t>Cooking Rinds</t>
  </si>
  <si>
    <t>water</t>
  </si>
  <si>
    <t>Cooked Rinds</t>
  </si>
  <si>
    <t>2m07</t>
  </si>
  <si>
    <t>Cook cooking fat</t>
  </si>
  <si>
    <t>Cooking fat</t>
  </si>
  <si>
    <t>Water</t>
  </si>
  <si>
    <t>Cooked Cooking fat</t>
  </si>
  <si>
    <t>Pork hearts</t>
  </si>
  <si>
    <t>Injections</t>
  </si>
  <si>
    <t>Pork Heads 1/2</t>
  </si>
  <si>
    <t>Pork Heads</t>
  </si>
  <si>
    <t>loinm</t>
  </si>
  <si>
    <t>Slicing Bonedust</t>
  </si>
  <si>
    <t>Imported Belly Intake</t>
  </si>
  <si>
    <t>Return to Butchery</t>
  </si>
  <si>
    <t>G1108</t>
  </si>
  <si>
    <t>G1110</t>
  </si>
  <si>
    <t>Sow Middle</t>
  </si>
  <si>
    <t>G1109</t>
  </si>
  <si>
    <t>Sow Shoulder</t>
  </si>
  <si>
    <t>G1319</t>
  </si>
  <si>
    <t>Semi Lean</t>
  </si>
  <si>
    <t xml:space="preserve"> yield %</t>
  </si>
  <si>
    <t>OUTPUT</t>
  </si>
  <si>
    <t>1220E25</t>
  </si>
  <si>
    <t>INPUT</t>
  </si>
  <si>
    <t>1220E08</t>
  </si>
  <si>
    <t>Sow Legs</t>
  </si>
  <si>
    <t>1220E05</t>
  </si>
  <si>
    <t>STD</t>
  </si>
  <si>
    <t>Tail</t>
  </si>
  <si>
    <t>Sow Shoulders</t>
  </si>
  <si>
    <t>Sow</t>
  </si>
  <si>
    <t>1220A12</t>
  </si>
  <si>
    <t>2A121031</t>
  </si>
  <si>
    <t>2A121109</t>
  </si>
  <si>
    <t>2A121110</t>
  </si>
  <si>
    <t>2A121108</t>
  </si>
  <si>
    <t>2A121243</t>
  </si>
  <si>
    <t>2A121242</t>
  </si>
  <si>
    <t>2E051108</t>
  </si>
  <si>
    <t>2E051319</t>
  </si>
  <si>
    <t>2E051231</t>
  </si>
  <si>
    <t>2E051245</t>
  </si>
  <si>
    <t>2E081109</t>
  </si>
  <si>
    <t>2E081319</t>
  </si>
  <si>
    <t>2E081245</t>
  </si>
  <si>
    <t>2E081231</t>
  </si>
  <si>
    <t>2E081230</t>
  </si>
  <si>
    <t>2E251110</t>
  </si>
  <si>
    <t>2E251319</t>
  </si>
  <si>
    <t>2E251245</t>
  </si>
  <si>
    <t>2E251231</t>
  </si>
  <si>
    <t>2E251230</t>
  </si>
  <si>
    <t>Porker, Headless (Whole)</t>
  </si>
  <si>
    <t>2B151132</t>
  </si>
  <si>
    <t>Shrinkage ( Waste ) Weight</t>
  </si>
  <si>
    <t>Beheading Baconner</t>
  </si>
  <si>
    <t>Pig Carcass of two Sides</t>
  </si>
  <si>
    <t>Baconners Weight (Kgs)</t>
  </si>
  <si>
    <t>Sows Weight (Kgs)</t>
  </si>
  <si>
    <t>BEHEADING ALLOCATIONS</t>
  </si>
  <si>
    <t>Std Yield</t>
  </si>
  <si>
    <t>Actual Yield</t>
  </si>
  <si>
    <t>G0110   &amp;  G0111</t>
  </si>
  <si>
    <t>Always Confirm Slaughter Date down here</t>
  </si>
  <si>
    <t>Other Stocks</t>
  </si>
  <si>
    <t>Weight(Kgs)</t>
  </si>
  <si>
    <t>Weight (Kgs)</t>
  </si>
  <si>
    <t>Output</t>
  </si>
  <si>
    <t>Total Beheading Deductions</t>
  </si>
  <si>
    <t>PIG &amp; SOW BEHEADING</t>
  </si>
  <si>
    <t>Loin - JAVA</t>
  </si>
  <si>
    <t>Bone dust</t>
  </si>
  <si>
    <t>Pork Cubes [U] (from Shoulder)</t>
  </si>
  <si>
    <t>Bone/Meat Dust</t>
  </si>
  <si>
    <t>G1253</t>
  </si>
  <si>
    <t>G1327</t>
  </si>
  <si>
    <t>Pork Diced Jowl Meat</t>
  </si>
  <si>
    <t>G1333</t>
  </si>
  <si>
    <t>Pork Strips (from Reform Pork)</t>
  </si>
  <si>
    <t>G5012</t>
  </si>
  <si>
    <t>Marinated Pork Leg Reformed</t>
  </si>
  <si>
    <t>G1252</t>
  </si>
  <si>
    <t>Pork Cubes from Legs [M]</t>
  </si>
  <si>
    <t>G1287</t>
  </si>
  <si>
    <t>Continental Pork[M]</t>
  </si>
  <si>
    <t>Belly Spare Ribs (Trimmed) 500g</t>
  </si>
  <si>
    <t>Belly Spare Ribs (Trimmed) 750g</t>
  </si>
  <si>
    <t>Sliced Prime Shoulder Ribs</t>
  </si>
  <si>
    <t>Streaky Bacon Fresh[Imp--&gt;Xpt]</t>
  </si>
  <si>
    <t>Semi Lean Pork [Imported]</t>
  </si>
  <si>
    <t>Pork Bones &amp; Offcuts</t>
  </si>
  <si>
    <t>Local Pork MDM</t>
  </si>
  <si>
    <t>Crushed Bones from MDM</t>
  </si>
  <si>
    <t>Meaty Tails &amp; Offcuts</t>
  </si>
  <si>
    <t>Pork Strips (from Lean Pork)</t>
  </si>
  <si>
    <t>Shanks/Pork, Off-cuts [U]</t>
  </si>
  <si>
    <t>Pork Shoulder</t>
  </si>
  <si>
    <t>Debone Pork Leg for "Sausage"</t>
  </si>
  <si>
    <t>Debone PLeg Prime Hams B's/R'O</t>
  </si>
  <si>
    <t>P-Leg B'ss R'O (Prime Gam Ham)</t>
  </si>
  <si>
    <t>1220B28</t>
  </si>
  <si>
    <t>Debone PLeg for Whole Ham(New)</t>
  </si>
  <si>
    <t>Pork Leg B'ss R'ss [Whole Ham]</t>
  </si>
  <si>
    <t>1220B31</t>
  </si>
  <si>
    <t>Debone P-Leg for B'ss Collar</t>
  </si>
  <si>
    <t>1220C08</t>
  </si>
  <si>
    <t>Debone Middle R/B'ss - Sausage</t>
  </si>
  <si>
    <t>1220C36</t>
  </si>
  <si>
    <t>Middle for R'On Loin B'In</t>
  </si>
  <si>
    <t>1220C41</t>
  </si>
  <si>
    <t>Middle R/B's Ssg+Belly B's R's</t>
  </si>
  <si>
    <t>1220C42</t>
  </si>
  <si>
    <t>Middle R/B's Ssg+Belly B's R'o</t>
  </si>
  <si>
    <t>1220C43</t>
  </si>
  <si>
    <t>Middle R/Bs Ssg+Strky+By Bi/Ro</t>
  </si>
  <si>
    <t>1220C44</t>
  </si>
  <si>
    <t>Middle R/Bs Ssg+Strky+By Bs/Ro</t>
  </si>
  <si>
    <t>1220C56</t>
  </si>
  <si>
    <t>Middle-&gt;Back Rs &amp; Belly B'sR'O</t>
  </si>
  <si>
    <t>1220C57</t>
  </si>
  <si>
    <t>Middle for Loin B'I R'O &amp; S-L</t>
  </si>
  <si>
    <t>Shld B'less for R-less Bacon</t>
  </si>
  <si>
    <t>Shoulder Ribs</t>
  </si>
  <si>
    <t>Shanks/Forehocks/P-Knuckles</t>
  </si>
  <si>
    <t>Debone Shld for R'ss Bacon</t>
  </si>
  <si>
    <t>Shoulder Bone-In R-less (Chops</t>
  </si>
  <si>
    <t>Debone Shldr for B/R'ss Rolled</t>
  </si>
  <si>
    <t>Debone Shoulder CollarB+Fillet</t>
  </si>
  <si>
    <t>Debone Shoulder for Sausages</t>
  </si>
  <si>
    <t>Debone Shld for Chops Colar'ss</t>
  </si>
  <si>
    <t>Debon Shoulder for R'On Rolled</t>
  </si>
  <si>
    <t>Debone for B/R'ss Shld (Cubes)</t>
  </si>
  <si>
    <t>Shoulder for Shlder Pork Hand</t>
  </si>
  <si>
    <t>1220D20</t>
  </si>
  <si>
    <t>Dbn Shld 4 Rs Bacon(XShnk)</t>
  </si>
  <si>
    <t>1220D22</t>
  </si>
  <si>
    <t>Dbn Shld 4 Sausages(XShnk)</t>
  </si>
  <si>
    <t>1220D23</t>
  </si>
  <si>
    <t>Dbn Shld 4 Chops Clr's(XShnk)</t>
  </si>
  <si>
    <t>ShortCode</t>
  </si>
  <si>
    <t>Active Recipe</t>
  </si>
  <si>
    <t>Product Category</t>
  </si>
  <si>
    <t>2B011127</t>
  </si>
  <si>
    <t>2B171126</t>
  </si>
  <si>
    <t>2B281137B</t>
  </si>
  <si>
    <t>2B311131</t>
  </si>
  <si>
    <t>Main Product Pieces</t>
  </si>
  <si>
    <t>Main Product Weight (Kgs)</t>
  </si>
  <si>
    <t>Total  %</t>
  </si>
  <si>
    <t>Main Product Input</t>
  </si>
  <si>
    <t>Total By-Products</t>
  </si>
  <si>
    <t>Actual Main Products %</t>
  </si>
  <si>
    <t>Main Products Allocation Yields Comparison %</t>
  </si>
  <si>
    <t>Main Product Differenc (Kgs)</t>
  </si>
  <si>
    <t>2D201161</t>
  </si>
  <si>
    <t>2D221164</t>
  </si>
  <si>
    <t>2D231160</t>
  </si>
  <si>
    <t>2C081189</t>
  </si>
  <si>
    <t>2C091191</t>
  </si>
  <si>
    <t>2C341198</t>
  </si>
  <si>
    <t>2C361196</t>
  </si>
  <si>
    <t>2C401199</t>
  </si>
  <si>
    <t>2C411189</t>
  </si>
  <si>
    <t>2C431189</t>
  </si>
  <si>
    <t>2C441189</t>
  </si>
  <si>
    <t>2C561191</t>
  </si>
  <si>
    <t>2C571196</t>
  </si>
  <si>
    <t>Main Products</t>
  </si>
  <si>
    <t>Stardard By-Products Yields Allocation %</t>
  </si>
  <si>
    <t>X-By Product</t>
  </si>
  <si>
    <t>None</t>
  </si>
  <si>
    <t>Production Weight</t>
  </si>
  <si>
    <t>Allocation Weight</t>
  </si>
  <si>
    <t>Difference</t>
  </si>
  <si>
    <t>X-By Products Total Weight (Kgs)</t>
  </si>
  <si>
    <t>Yield Diff</t>
  </si>
  <si>
    <t>Std % Yield</t>
  </si>
  <si>
    <t>Re- allocated Weight</t>
  </si>
  <si>
    <t>14:10,8</t>
  </si>
  <si>
    <t>Main Product Diff in (Kgs)</t>
  </si>
  <si>
    <t>Pork bones for MDM</t>
  </si>
  <si>
    <t>Item Description</t>
  </si>
  <si>
    <t>Pork Tails</t>
  </si>
  <si>
    <t>Item Category Type</t>
  </si>
  <si>
    <t>Actual Main By-Products Yields Allocation %</t>
  </si>
  <si>
    <t>Allocation of Balances</t>
  </si>
  <si>
    <t>Production Weight (Kgs)</t>
  </si>
  <si>
    <t>Allocated Weight (Kgs)</t>
  </si>
  <si>
    <t>Difference (Kgs)</t>
  </si>
  <si>
    <t>Rosemark Std % Yield</t>
  </si>
  <si>
    <t>Average Std % Yields</t>
  </si>
  <si>
    <t>Main Product  Input Pieces</t>
  </si>
  <si>
    <t>By-Product</t>
  </si>
  <si>
    <t>Total Product Yield</t>
  </si>
  <si>
    <t>x- By Products Total  %</t>
  </si>
  <si>
    <t>2C421189</t>
  </si>
  <si>
    <t>Process Description</t>
  </si>
  <si>
    <t>Yes</t>
  </si>
  <si>
    <t>2C351102</t>
  </si>
  <si>
    <t>2C351194</t>
  </si>
  <si>
    <t>2C351222</t>
  </si>
  <si>
    <t>2C351229</t>
  </si>
  <si>
    <t>2C351230</t>
  </si>
  <si>
    <t>2C351245</t>
  </si>
  <si>
    <t>2C351334</t>
  </si>
  <si>
    <t>2C031102</t>
  </si>
  <si>
    <t>2C031194</t>
  </si>
  <si>
    <t>2C031225</t>
  </si>
  <si>
    <t>2C031229</t>
  </si>
  <si>
    <t>2C031230</t>
  </si>
  <si>
    <t>2C031231</t>
  </si>
  <si>
    <t>2C031334</t>
  </si>
  <si>
    <t>2C031245</t>
  </si>
  <si>
    <t>2C221102</t>
  </si>
  <si>
    <t>2C221195</t>
  </si>
  <si>
    <t>2C221221</t>
  </si>
  <si>
    <t>2C221229</t>
  </si>
  <si>
    <t>2C221230</t>
  </si>
  <si>
    <t>2C221231</t>
  </si>
  <si>
    <t>2C221245</t>
  </si>
  <si>
    <t>2C221334</t>
  </si>
  <si>
    <t>2C211102</t>
  </si>
  <si>
    <t>2C211194</t>
  </si>
  <si>
    <t>2C211195</t>
  </si>
  <si>
    <t>2C211222</t>
  </si>
  <si>
    <t>2C211229</t>
  </si>
  <si>
    <t>2C211230</t>
  </si>
  <si>
    <t>2C211231</t>
  </si>
  <si>
    <t>2C211245</t>
  </si>
  <si>
    <t>2C211334</t>
  </si>
  <si>
    <t>2C561102</t>
  </si>
  <si>
    <t>2C561194</t>
  </si>
  <si>
    <t>2C561195</t>
  </si>
  <si>
    <t>2C561222</t>
  </si>
  <si>
    <t>2C561229</t>
  </si>
  <si>
    <t>2C561230</t>
  </si>
  <si>
    <t>2C561231</t>
  </si>
  <si>
    <t>2C561245</t>
  </si>
  <si>
    <t>2C241102</t>
  </si>
  <si>
    <t>2C241194</t>
  </si>
  <si>
    <t>2C241195</t>
  </si>
  <si>
    <t>2C241224</t>
  </si>
  <si>
    <t>2C241229</t>
  </si>
  <si>
    <t>2C241230</t>
  </si>
  <si>
    <t>2C241231</t>
  </si>
  <si>
    <t>2C241245</t>
  </si>
  <si>
    <t>2C241334</t>
  </si>
  <si>
    <t>2C071102</t>
  </si>
  <si>
    <t>2C071194</t>
  </si>
  <si>
    <t>2C071195</t>
  </si>
  <si>
    <t>2C071225</t>
  </si>
  <si>
    <t>2C071229</t>
  </si>
  <si>
    <t>2C071230</t>
  </si>
  <si>
    <t>2C071231</t>
  </si>
  <si>
    <t>2C071245</t>
  </si>
  <si>
    <t>2C071334</t>
  </si>
  <si>
    <t>2C091102</t>
  </si>
  <si>
    <t>2C091194</t>
  </si>
  <si>
    <t>2C091195</t>
  </si>
  <si>
    <t>2C091225</t>
  </si>
  <si>
    <t>2C091229</t>
  </si>
  <si>
    <t>2C091230</t>
  </si>
  <si>
    <t>2C091231</t>
  </si>
  <si>
    <t>2C091245</t>
  </si>
  <si>
    <t>2C061102</t>
  </si>
  <si>
    <t>2C061194</t>
  </si>
  <si>
    <t>2C061195</t>
  </si>
  <si>
    <t>2C061225</t>
  </si>
  <si>
    <t>2C061229</t>
  </si>
  <si>
    <t>2C061230</t>
  </si>
  <si>
    <t>2C061231</t>
  </si>
  <si>
    <t>2C061245</t>
  </si>
  <si>
    <t>2C061334</t>
  </si>
  <si>
    <t>2C371102</t>
  </si>
  <si>
    <t>2C371194</t>
  </si>
  <si>
    <t>2C371195</t>
  </si>
  <si>
    <t>2C371224</t>
  </si>
  <si>
    <t>2C371229</t>
  </si>
  <si>
    <t>2C371230</t>
  </si>
  <si>
    <t>2C371231</t>
  </si>
  <si>
    <t>2C371245</t>
  </si>
  <si>
    <t>2C371334</t>
  </si>
  <si>
    <t>2C571102</t>
  </si>
  <si>
    <t>2C571194</t>
  </si>
  <si>
    <t>2C571229</t>
  </si>
  <si>
    <t>2C571230</t>
  </si>
  <si>
    <t>2C571231</t>
  </si>
  <si>
    <t>2C571245</t>
  </si>
  <si>
    <t>2C571334</t>
  </si>
  <si>
    <t>2C461102</t>
  </si>
  <si>
    <t>2C461194</t>
  </si>
  <si>
    <t>2C461224</t>
  </si>
  <si>
    <t>2C461229</t>
  </si>
  <si>
    <t>2C461230</t>
  </si>
  <si>
    <t>2C461231</t>
  </si>
  <si>
    <t>2C461245</t>
  </si>
  <si>
    <t>2C461334</t>
  </si>
  <si>
    <t>2C361102</t>
  </si>
  <si>
    <t>2C361194</t>
  </si>
  <si>
    <t>2C361229</t>
  </si>
  <si>
    <t>2C361230</t>
  </si>
  <si>
    <t>2C361231</t>
  </si>
  <si>
    <t>2C361245</t>
  </si>
  <si>
    <t>2C361334</t>
  </si>
  <si>
    <t>2C131102</t>
  </si>
  <si>
    <t>2C131221</t>
  </si>
  <si>
    <t>2C131229</t>
  </si>
  <si>
    <t>2C131230</t>
  </si>
  <si>
    <t>2C131231</t>
  </si>
  <si>
    <t>2C131245</t>
  </si>
  <si>
    <t>2C131334</t>
  </si>
  <si>
    <t>2C121102</t>
  </si>
  <si>
    <t>2C121194</t>
  </si>
  <si>
    <t>2C121222</t>
  </si>
  <si>
    <t>2C121229</t>
  </si>
  <si>
    <t>2C121230</t>
  </si>
  <si>
    <t>2C121231</t>
  </si>
  <si>
    <t>2C121245</t>
  </si>
  <si>
    <t>2C121334</t>
  </si>
  <si>
    <t>2C151102</t>
  </si>
  <si>
    <t>2C151194</t>
  </si>
  <si>
    <t>2C151224</t>
  </si>
  <si>
    <t>2C151229</t>
  </si>
  <si>
    <t>2C151230</t>
  </si>
  <si>
    <t>2C151231</t>
  </si>
  <si>
    <t>2C151245</t>
  </si>
  <si>
    <t>2C151334</t>
  </si>
  <si>
    <t>2C051102</t>
  </si>
  <si>
    <t>2C051194</t>
  </si>
  <si>
    <t>2C051225</t>
  </si>
  <si>
    <t>2C051229</t>
  </si>
  <si>
    <t>2C051230</t>
  </si>
  <si>
    <t>2C051231</t>
  </si>
  <si>
    <t>2C051245</t>
  </si>
  <si>
    <t>2C051334</t>
  </si>
  <si>
    <t>2C341102</t>
  </si>
  <si>
    <t>2C341194</t>
  </si>
  <si>
    <t>2C341195</t>
  </si>
  <si>
    <t>2C341222</t>
  </si>
  <si>
    <t>2C341229</t>
  </si>
  <si>
    <t>2C341230</t>
  </si>
  <si>
    <t>2C341231</t>
  </si>
  <si>
    <t>2C341245</t>
  </si>
  <si>
    <t>2C341334</t>
  </si>
  <si>
    <t>2C021102</t>
  </si>
  <si>
    <t>2C021194</t>
  </si>
  <si>
    <t>2C021195</t>
  </si>
  <si>
    <t>2C021225</t>
  </si>
  <si>
    <t>2C021229</t>
  </si>
  <si>
    <t>2C021230</t>
  </si>
  <si>
    <t>2C021231</t>
  </si>
  <si>
    <t>2C021245</t>
  </si>
  <si>
    <t>2C021334</t>
  </si>
  <si>
    <t>2C401102</t>
  </si>
  <si>
    <t>2C401194</t>
  </si>
  <si>
    <t>2C401229</t>
  </si>
  <si>
    <t>2C401230</t>
  </si>
  <si>
    <t>2C401231</t>
  </si>
  <si>
    <t>2C401245</t>
  </si>
  <si>
    <t>2C401334</t>
  </si>
  <si>
    <t>2C271102</t>
  </si>
  <si>
    <t>2C271195</t>
  </si>
  <si>
    <t>2C271221</t>
  </si>
  <si>
    <t>2C271229</t>
  </si>
  <si>
    <t>2C271230</t>
  </si>
  <si>
    <t>2C271231</t>
  </si>
  <si>
    <t>2C271245</t>
  </si>
  <si>
    <t>2C271334</t>
  </si>
  <si>
    <t>2C251102</t>
  </si>
  <si>
    <t>2C251194</t>
  </si>
  <si>
    <t>2C251195</t>
  </si>
  <si>
    <t>2C251222</t>
  </si>
  <si>
    <t>2C251229</t>
  </si>
  <si>
    <t>2C251230</t>
  </si>
  <si>
    <t>2C251231</t>
  </si>
  <si>
    <t>2C251245</t>
  </si>
  <si>
    <t>2C251334</t>
  </si>
  <si>
    <t>2C041102</t>
  </si>
  <si>
    <t>2C041194</t>
  </si>
  <si>
    <t>2C041195</t>
  </si>
  <si>
    <t>2C041224</t>
  </si>
  <si>
    <t>2C041229</t>
  </si>
  <si>
    <t>2C041230</t>
  </si>
  <si>
    <t>2C041231</t>
  </si>
  <si>
    <t>2C041245</t>
  </si>
  <si>
    <t>2C041334</t>
  </si>
  <si>
    <t>2C261102</t>
  </si>
  <si>
    <t>2C261194</t>
  </si>
  <si>
    <t>2C261195</t>
  </si>
  <si>
    <t>2C261225</t>
  </si>
  <si>
    <t>2C261229</t>
  </si>
  <si>
    <t>2C261230</t>
  </si>
  <si>
    <t>2C261231</t>
  </si>
  <si>
    <t>2C261245</t>
  </si>
  <si>
    <t>2C261334</t>
  </si>
  <si>
    <t>2C081102</t>
  </si>
  <si>
    <t>2C081194</t>
  </si>
  <si>
    <t>2C081195</t>
  </si>
  <si>
    <t>2C081229</t>
  </si>
  <si>
    <t>2C081230</t>
  </si>
  <si>
    <t>2C081231</t>
  </si>
  <si>
    <t>2C081245</t>
  </si>
  <si>
    <t>2C081334</t>
  </si>
  <si>
    <t>2C431102</t>
  </si>
  <si>
    <t>2C431194</t>
  </si>
  <si>
    <t>2C431195</t>
  </si>
  <si>
    <t>2C431221</t>
  </si>
  <si>
    <t>2C431225</t>
  </si>
  <si>
    <t>2C431229</t>
  </si>
  <si>
    <t>2C431230</t>
  </si>
  <si>
    <t>2C431231</t>
  </si>
  <si>
    <t>2C431245</t>
  </si>
  <si>
    <t>2C431334</t>
  </si>
  <si>
    <t>2C421102</t>
  </si>
  <si>
    <t>2C421194</t>
  </si>
  <si>
    <t>2C421195</t>
  </si>
  <si>
    <t>2C421222</t>
  </si>
  <si>
    <t>2C421229</t>
  </si>
  <si>
    <t>2C421230</t>
  </si>
  <si>
    <t>2C421231</t>
  </si>
  <si>
    <t>2C421245</t>
  </si>
  <si>
    <t>2C421334</t>
  </si>
  <si>
    <t>2C441102</t>
  </si>
  <si>
    <t>2C441194</t>
  </si>
  <si>
    <t>2C441195</t>
  </si>
  <si>
    <t>2C441222</t>
  </si>
  <si>
    <t>2C441225</t>
  </si>
  <si>
    <t>2C441229</t>
  </si>
  <si>
    <t>2C441230</t>
  </si>
  <si>
    <t>2C441231</t>
  </si>
  <si>
    <t>2C441245</t>
  </si>
  <si>
    <t>2C441334</t>
  </si>
  <si>
    <t>2C411102</t>
  </si>
  <si>
    <t>2C411194</t>
  </si>
  <si>
    <t>2C411195</t>
  </si>
  <si>
    <t>2C411224</t>
  </si>
  <si>
    <t>2C411229</t>
  </si>
  <si>
    <t>2C411230</t>
  </si>
  <si>
    <t>2C411231</t>
  </si>
  <si>
    <t>2C411245</t>
  </si>
  <si>
    <t>2C411334</t>
  </si>
  <si>
    <t>2C451102</t>
  </si>
  <si>
    <t>2C451194</t>
  </si>
  <si>
    <t>2C451195</t>
  </si>
  <si>
    <t>2C451225</t>
  </si>
  <si>
    <t>2C451229</t>
  </si>
  <si>
    <t>2C451230</t>
  </si>
  <si>
    <t>2C451231</t>
  </si>
  <si>
    <t>2C451245</t>
  </si>
  <si>
    <t>2C451334</t>
  </si>
  <si>
    <t>Date</t>
  </si>
  <si>
    <t>1220J12</t>
  </si>
  <si>
    <t>Output kgs</t>
  </si>
  <si>
    <t>Output pcs</t>
  </si>
  <si>
    <t xml:space="preserve">Breaking </t>
  </si>
  <si>
    <t>2B041100</t>
  </si>
  <si>
    <t>2B041229</t>
  </si>
  <si>
    <t>2B041231</t>
  </si>
  <si>
    <t>2B041242</t>
  </si>
  <si>
    <t>2B041245</t>
  </si>
  <si>
    <t>2B041334</t>
  </si>
  <si>
    <t>2B048999</t>
  </si>
  <si>
    <t>2B021100</t>
  </si>
  <si>
    <t>2B021229</t>
  </si>
  <si>
    <t>2B021231</t>
  </si>
  <si>
    <t>2B021242</t>
  </si>
  <si>
    <t>2B021245</t>
  </si>
  <si>
    <t>2B021334</t>
  </si>
  <si>
    <t>2B028999</t>
  </si>
  <si>
    <t>2D051101</t>
  </si>
  <si>
    <t>2D051168</t>
  </si>
  <si>
    <t>2D051227</t>
  </si>
  <si>
    <t>2D051229</t>
  </si>
  <si>
    <t>2D051230</t>
  </si>
  <si>
    <t>2D051231</t>
  </si>
  <si>
    <t>2D051245</t>
  </si>
  <si>
    <t>2D051334</t>
  </si>
  <si>
    <t>2D058999</t>
  </si>
  <si>
    <t>2D221101</t>
  </si>
  <si>
    <t>2D221168</t>
  </si>
  <si>
    <t>2D221227</t>
  </si>
  <si>
    <t>2D221229</t>
  </si>
  <si>
    <t>2D221230</t>
  </si>
  <si>
    <t>2D221231</t>
  </si>
  <si>
    <t>2D221245</t>
  </si>
  <si>
    <t>2D221334</t>
  </si>
  <si>
    <t>2D228999</t>
  </si>
  <si>
    <t>ByProduct Yields</t>
  </si>
  <si>
    <t>Rose Mark Average</t>
  </si>
  <si>
    <t>Third Part Average</t>
  </si>
  <si>
    <t>Total Averag</t>
  </si>
  <si>
    <t>BACONERS BREAKING</t>
  </si>
  <si>
    <t>Rose Mark Pigs</t>
  </si>
  <si>
    <t>Third Party Pigs</t>
  </si>
  <si>
    <t>Rose Mark</t>
  </si>
  <si>
    <t>Third Party</t>
  </si>
  <si>
    <t xml:space="preserve">Total </t>
  </si>
  <si>
    <t>Pork Middles</t>
  </si>
  <si>
    <t>Pork Shoulders</t>
  </si>
  <si>
    <t>Porkers Sides Total</t>
  </si>
  <si>
    <t>TotaL Percent</t>
  </si>
  <si>
    <t>2B051100</t>
  </si>
  <si>
    <t>2B051229</t>
  </si>
  <si>
    <t>2B051231</t>
  </si>
  <si>
    <t>2B051242</t>
  </si>
  <si>
    <t>2B051245</t>
  </si>
  <si>
    <t>2B051334</t>
  </si>
  <si>
    <t>2B058999</t>
  </si>
  <si>
    <t>2B281100</t>
  </si>
  <si>
    <t>2B281229</t>
  </si>
  <si>
    <t>2B281231</t>
  </si>
  <si>
    <t>2B281245</t>
  </si>
  <si>
    <t>2B281334</t>
  </si>
  <si>
    <t>2B288999</t>
  </si>
  <si>
    <t/>
  </si>
  <si>
    <t>Sow BREAKING</t>
  </si>
  <si>
    <t>Rose Mark Sows</t>
  </si>
  <si>
    <t>Third Party Sows</t>
  </si>
  <si>
    <t>Sows Leg</t>
  </si>
  <si>
    <t>Sows Middles</t>
  </si>
  <si>
    <t>Sows Shoulders</t>
  </si>
  <si>
    <t>AVG Weight of Bellies</t>
  </si>
  <si>
    <t>Deboned Sub Totals</t>
  </si>
  <si>
    <t>Allocated Sub Totals</t>
  </si>
  <si>
    <t>Allocated /Deboned Diff</t>
  </si>
  <si>
    <t>Total Shanks</t>
  </si>
  <si>
    <t>Viking</t>
  </si>
  <si>
    <t>Shoulder Average</t>
  </si>
  <si>
    <t>Yield Std</t>
  </si>
  <si>
    <t>Main Yield</t>
  </si>
  <si>
    <t>2D091101</t>
  </si>
  <si>
    <t>2D091168</t>
  </si>
  <si>
    <t>2D091227</t>
  </si>
  <si>
    <t>2D091229</t>
  </si>
  <si>
    <t>2D091230</t>
  </si>
  <si>
    <t>2D091231</t>
  </si>
  <si>
    <t>2D091245</t>
  </si>
  <si>
    <t>2D091334</t>
  </si>
  <si>
    <t>2D098999</t>
  </si>
  <si>
    <t>2D041230</t>
  </si>
  <si>
    <t>Shanks Allocations</t>
  </si>
  <si>
    <t>2B031100</t>
  </si>
  <si>
    <t>2B031229</t>
  </si>
  <si>
    <t>2B031231</t>
  </si>
  <si>
    <t>2B031245</t>
  </si>
  <si>
    <t>2B031334</t>
  </si>
  <si>
    <t>2B061100</t>
  </si>
  <si>
    <t>2B061229</t>
  </si>
  <si>
    <t>2B061231</t>
  </si>
  <si>
    <t>2B061245</t>
  </si>
  <si>
    <t>2B061334</t>
  </si>
  <si>
    <t>2B271100</t>
  </si>
  <si>
    <t>2B271229</t>
  </si>
  <si>
    <t>2B271231</t>
  </si>
  <si>
    <t>2B271242</t>
  </si>
  <si>
    <t>2B271245</t>
  </si>
  <si>
    <t>2B271334</t>
  </si>
  <si>
    <t>2B278999</t>
  </si>
  <si>
    <t>2B091100</t>
  </si>
  <si>
    <t>2B091229</t>
  </si>
  <si>
    <t>2B091231</t>
  </si>
  <si>
    <t>2B091242</t>
  </si>
  <si>
    <t>2B091245</t>
  </si>
  <si>
    <t>2B091334</t>
  </si>
  <si>
    <t>2B098999</t>
  </si>
  <si>
    <t>2B171100</t>
  </si>
  <si>
    <t>2B171229</t>
  </si>
  <si>
    <t>2B171231</t>
  </si>
  <si>
    <t>2B171245</t>
  </si>
  <si>
    <t>2B011100</t>
  </si>
  <si>
    <t>2B011229</t>
  </si>
  <si>
    <t>2B011231</t>
  </si>
  <si>
    <t>2B011242</t>
  </si>
  <si>
    <t>2B011245</t>
  </si>
  <si>
    <t>2B011334</t>
  </si>
  <si>
    <t>2B018999</t>
  </si>
  <si>
    <t>2B111100</t>
  </si>
  <si>
    <t>2B111229</t>
  </si>
  <si>
    <t>2B111231</t>
  </si>
  <si>
    <t>2B111242</t>
  </si>
  <si>
    <t>2B111245</t>
  </si>
  <si>
    <t>2B111334</t>
  </si>
  <si>
    <t>2B118999</t>
  </si>
  <si>
    <t>2B151100</t>
  </si>
  <si>
    <t>2B151229</t>
  </si>
  <si>
    <t>2B151231</t>
  </si>
  <si>
    <t>2B151242</t>
  </si>
  <si>
    <t>2B151245</t>
  </si>
  <si>
    <t>2B151334</t>
  </si>
  <si>
    <t>2B158999</t>
  </si>
  <si>
    <t>2B311100</t>
  </si>
  <si>
    <t>2B311229</t>
  </si>
  <si>
    <t>2B311231</t>
  </si>
  <si>
    <t>2B311245</t>
  </si>
  <si>
    <t>2B311334</t>
  </si>
  <si>
    <t>2B318999</t>
  </si>
  <si>
    <t>2B281242</t>
  </si>
  <si>
    <t>2D101101</t>
  </si>
  <si>
    <t>2D101168</t>
  </si>
  <si>
    <t>2D101227</t>
  </si>
  <si>
    <t>2D101229</t>
  </si>
  <si>
    <t>2D101230</t>
  </si>
  <si>
    <t>2D101231</t>
  </si>
  <si>
    <t>2D101245</t>
  </si>
  <si>
    <t>2D101334</t>
  </si>
  <si>
    <t>2D108999</t>
  </si>
  <si>
    <t>2D081101</t>
  </si>
  <si>
    <t>2D081168</t>
  </si>
  <si>
    <t>2D081227</t>
  </si>
  <si>
    <t>2D081229</t>
  </si>
  <si>
    <t>2D081230</t>
  </si>
  <si>
    <t>2D081231</t>
  </si>
  <si>
    <t>2D081245</t>
  </si>
  <si>
    <t>2D081246</t>
  </si>
  <si>
    <t>2D081334</t>
  </si>
  <si>
    <t>2D088999</t>
  </si>
  <si>
    <t>2D231101</t>
  </si>
  <si>
    <t>2D231168</t>
  </si>
  <si>
    <t>2D231227</t>
  </si>
  <si>
    <t>2D231229</t>
  </si>
  <si>
    <t>2D231230</t>
  </si>
  <si>
    <t>2D231231</t>
  </si>
  <si>
    <t>2D231245</t>
  </si>
  <si>
    <t>2D231334</t>
  </si>
  <si>
    <t>2D238999</t>
  </si>
  <si>
    <t>2D201101</t>
  </si>
  <si>
    <t>2D201168</t>
  </si>
  <si>
    <t>2D201227</t>
  </si>
  <si>
    <t>2D201229</t>
  </si>
  <si>
    <t>2D201230</t>
  </si>
  <si>
    <t>2D201231</t>
  </si>
  <si>
    <t>2D201245</t>
  </si>
  <si>
    <t>2D201334</t>
  </si>
  <si>
    <t>2D208999</t>
  </si>
  <si>
    <t>2D021101</t>
  </si>
  <si>
    <t>2D021168</t>
  </si>
  <si>
    <t>2D021227</t>
  </si>
  <si>
    <t>2D021229</t>
  </si>
  <si>
    <t>2D021230</t>
  </si>
  <si>
    <t>2D021231</t>
  </si>
  <si>
    <t>2D021245</t>
  </si>
  <si>
    <t>2D021246</t>
  </si>
  <si>
    <t>2D021334</t>
  </si>
  <si>
    <t>2D028999</t>
  </si>
  <si>
    <t>2D071101</t>
  </si>
  <si>
    <t>2D071168</t>
  </si>
  <si>
    <t>2D071227</t>
  </si>
  <si>
    <t>2D071229</t>
  </si>
  <si>
    <t>2D071230</t>
  </si>
  <si>
    <t>2D071231</t>
  </si>
  <si>
    <t>2D071245</t>
  </si>
  <si>
    <t>2D071246</t>
  </si>
  <si>
    <t>2D071334</t>
  </si>
  <si>
    <t>2D078999</t>
  </si>
  <si>
    <t>2D041101</t>
  </si>
  <si>
    <t>2D041168</t>
  </si>
  <si>
    <t>2D041227</t>
  </si>
  <si>
    <t>2D041229</t>
  </si>
  <si>
    <t>2D041231</t>
  </si>
  <si>
    <t>2D041245</t>
  </si>
  <si>
    <t>2D041334</t>
  </si>
  <si>
    <t>2D048999</t>
  </si>
  <si>
    <t>2D111101</t>
  </si>
  <si>
    <t>2D111168</t>
  </si>
  <si>
    <t>2D111227</t>
  </si>
  <si>
    <t>2D111229</t>
  </si>
  <si>
    <t>2D111230</t>
  </si>
  <si>
    <t>2D111231</t>
  </si>
  <si>
    <t>2D111245</t>
  </si>
  <si>
    <t>2D111334</t>
  </si>
  <si>
    <t>2D118999</t>
  </si>
  <si>
    <t>1220C29</t>
  </si>
  <si>
    <t>2C291102</t>
  </si>
  <si>
    <t>2C291204</t>
  </si>
  <si>
    <t>2C291221</t>
  </si>
  <si>
    <t>2C291229</t>
  </si>
  <si>
    <t>2C291230</t>
  </si>
  <si>
    <t>2C291245</t>
  </si>
  <si>
    <t>2C291334</t>
  </si>
  <si>
    <t>2C298999</t>
  </si>
  <si>
    <t>2C358999</t>
  </si>
  <si>
    <t>1220C48</t>
  </si>
  <si>
    <t>2C481102</t>
  </si>
  <si>
    <t>2C481204</t>
  </si>
  <si>
    <t>2C481194</t>
  </si>
  <si>
    <t>2C481224</t>
  </si>
  <si>
    <t>2C481229</t>
  </si>
  <si>
    <t>2C481230</t>
  </si>
  <si>
    <t>2C481231</t>
  </si>
  <si>
    <t>2C481245</t>
  </si>
  <si>
    <t>2C481334</t>
  </si>
  <si>
    <t>2C488999</t>
  </si>
  <si>
    <t>2C038999</t>
  </si>
  <si>
    <t>2C228999</t>
  </si>
  <si>
    <t>2C218999</t>
  </si>
  <si>
    <t>2C248999</t>
  </si>
  <si>
    <t>2C078999</t>
  </si>
  <si>
    <t>2C068999</t>
  </si>
  <si>
    <t>2C378999</t>
  </si>
  <si>
    <t>2C571222</t>
  </si>
  <si>
    <t>2C578999</t>
  </si>
  <si>
    <t>2C468999</t>
  </si>
  <si>
    <t>2C361225</t>
  </si>
  <si>
    <t>2C368999</t>
  </si>
  <si>
    <t>2C138999</t>
  </si>
  <si>
    <t>2C128999</t>
  </si>
  <si>
    <t>2C158999</t>
  </si>
  <si>
    <t>2C058999</t>
  </si>
  <si>
    <t>1220C49</t>
  </si>
  <si>
    <t>2C491102</t>
  </si>
  <si>
    <t>2C491198</t>
  </si>
  <si>
    <t>2C491194</t>
  </si>
  <si>
    <t>2C491195</t>
  </si>
  <si>
    <t>2C491221</t>
  </si>
  <si>
    <t>2C491229</t>
  </si>
  <si>
    <t>2C491230</t>
  </si>
  <si>
    <t>2C491231</t>
  </si>
  <si>
    <t>2C491245</t>
  </si>
  <si>
    <t>2C491334</t>
  </si>
  <si>
    <t>2C498999</t>
  </si>
  <si>
    <t>2C348999</t>
  </si>
  <si>
    <t>1220C11</t>
  </si>
  <si>
    <t>2C111102</t>
  </si>
  <si>
    <t>2C111198</t>
  </si>
  <si>
    <t>2C111194</t>
  </si>
  <si>
    <t>2C111195</t>
  </si>
  <si>
    <t>2C111224</t>
  </si>
  <si>
    <t>2C111229</t>
  </si>
  <si>
    <t>2C111230</t>
  </si>
  <si>
    <t>2C111231</t>
  </si>
  <si>
    <t>2C111245</t>
  </si>
  <si>
    <t>2C111334</t>
  </si>
  <si>
    <t>2C118999</t>
  </si>
  <si>
    <t>2C028999</t>
  </si>
  <si>
    <t>2C408999</t>
  </si>
  <si>
    <t>2C278999</t>
  </si>
  <si>
    <t>2C258999</t>
  </si>
  <si>
    <t>2C048999</t>
  </si>
  <si>
    <t>2C268999</t>
  </si>
  <si>
    <t>2C438999</t>
  </si>
  <si>
    <t>2C428999</t>
  </si>
  <si>
    <t>2C448999</t>
  </si>
  <si>
    <t>2C418999</t>
  </si>
  <si>
    <t>2C458999</t>
  </si>
  <si>
    <t>Middle for Short Loin, [Exp]</t>
  </si>
  <si>
    <t>Re - allocated Weight 1</t>
  </si>
  <si>
    <t>Re  allocated Weight</t>
  </si>
  <si>
    <t>ByProduct</t>
  </si>
  <si>
    <t>Breaking Amount</t>
  </si>
  <si>
    <t>Deboned Amount</t>
  </si>
  <si>
    <t>Process Text</t>
  </si>
  <si>
    <t>Proccess Text</t>
  </si>
  <si>
    <t>2B031242</t>
  </si>
  <si>
    <t>2B061242</t>
  </si>
  <si>
    <t>Sows Sides Total</t>
  </si>
  <si>
    <t>x</t>
  </si>
  <si>
    <t>Balances Reallocation [(Cells(AL))]</t>
  </si>
  <si>
    <t>(Item Weight/Total Weight) * (Item Yield %) Figures</t>
  </si>
  <si>
    <t>By-Products Balances By- Yields Re-Allocated Weight (Kgs)</t>
  </si>
  <si>
    <t>Total Average</t>
  </si>
  <si>
    <t>Calculation Week</t>
  </si>
  <si>
    <t>Cost Price</t>
  </si>
  <si>
    <t>No. of Units</t>
  </si>
  <si>
    <t>Percentage Yield</t>
  </si>
  <si>
    <t>Percentage Main Product</t>
  </si>
  <si>
    <t>Link Recipe No.</t>
  </si>
  <si>
    <t>Auto. Accum. Weight</t>
  </si>
  <si>
    <t>Control Digit Type</t>
  </si>
  <si>
    <t>Total Product Value</t>
  </si>
  <si>
    <t>Unit of Measure Code</t>
  </si>
  <si>
    <t>Recipe Name</t>
  </si>
  <si>
    <t>Level Code</t>
  </si>
  <si>
    <t>Active By-Product</t>
  </si>
  <si>
    <t>1220B08</t>
  </si>
  <si>
    <t>Debone Pork Leg for Proshuto</t>
  </si>
  <si>
    <t>Prk Leg for Prosciutto-Bforest</t>
  </si>
  <si>
    <t>1220B10</t>
  </si>
  <si>
    <t>Debone Pork Leg for Ham</t>
  </si>
  <si>
    <t>G1124</t>
  </si>
  <si>
    <t>1220B12</t>
  </si>
  <si>
    <t>Debone PLeg for B'ess Collar</t>
  </si>
  <si>
    <t>G1259</t>
  </si>
  <si>
    <t>Pork Leg Shanks</t>
  </si>
  <si>
    <t>1220B13</t>
  </si>
  <si>
    <t>Debone PLeg for B/R'ss (Sale)</t>
  </si>
  <si>
    <t>1220B14</t>
  </si>
  <si>
    <t>Debone Leg-In, (Sale) Prm Chop</t>
  </si>
  <si>
    <t>G1254</t>
  </si>
  <si>
    <t>Prime Chops</t>
  </si>
  <si>
    <t>1220B16</t>
  </si>
  <si>
    <t>Debone PLeg for Topside R'On</t>
  </si>
  <si>
    <t>Topside R'O for Roll [Leg]</t>
  </si>
  <si>
    <t>1220B18</t>
  </si>
  <si>
    <t>Debone PLeg for Whole Ham</t>
  </si>
  <si>
    <t>G1137</t>
  </si>
  <si>
    <t>Pork Leg B'ss R'On [Whole Ham]</t>
  </si>
  <si>
    <t>1220B19</t>
  </si>
  <si>
    <t>Debone PLeg for "Ssg + Shanks"</t>
  </si>
  <si>
    <t>G1289</t>
  </si>
  <si>
    <t>Rindless Shanks</t>
  </si>
  <si>
    <t>1220B20</t>
  </si>
  <si>
    <t>Debone PLeg--&gt;B's R'O Rolled 2</t>
  </si>
  <si>
    <t>1220B21</t>
  </si>
  <si>
    <t>Debone PLeg R'O for PLeg B/R's</t>
  </si>
  <si>
    <t>1220B22</t>
  </si>
  <si>
    <t>Debone PLeg Prime Hams B's/R's</t>
  </si>
  <si>
    <t>G1141</t>
  </si>
  <si>
    <t>P-Leg B'ss R'ss-Prime Gam Ham</t>
  </si>
  <si>
    <t>1220B23</t>
  </si>
  <si>
    <t>Debone P-Leg for Rfm &amp; S/Side</t>
  </si>
  <si>
    <t>Pork Leg Silverside for Steaks</t>
  </si>
  <si>
    <t>1220B24</t>
  </si>
  <si>
    <t>Debone P-Leg Ckd Whole Ham-UAE</t>
  </si>
  <si>
    <t>G1146</t>
  </si>
  <si>
    <t>P-Leg B'sR'o Ckd Whole Ham-UAE</t>
  </si>
  <si>
    <t>1220B25</t>
  </si>
  <si>
    <t>Debone Pork Leg-In 4 Sale(New)</t>
  </si>
  <si>
    <t>G1122N</t>
  </si>
  <si>
    <t>Pork Leg (Fresh for Xpt)</t>
  </si>
  <si>
    <t>1220B26</t>
  </si>
  <si>
    <t>Debone Pork Leg for LowFat Ham</t>
  </si>
  <si>
    <t>G1124A</t>
  </si>
  <si>
    <t>Pork Leg B'ss R'ss Low Fat Ham</t>
  </si>
  <si>
    <t>1220B29</t>
  </si>
  <si>
    <t>Debone Pk Leg 4 Rform &amp; TFlank</t>
  </si>
  <si>
    <t>G1341</t>
  </si>
  <si>
    <t>Pork Thick Flank</t>
  </si>
  <si>
    <t>1220B30</t>
  </si>
  <si>
    <t>Debone Pk Leg 4 PrmG &amp; TFlank</t>
  </si>
  <si>
    <t>1220B32</t>
  </si>
  <si>
    <t>Debone PLeg 4 Topside (exCBcn)</t>
  </si>
  <si>
    <t>G1150</t>
  </si>
  <si>
    <t>Pork Topside</t>
  </si>
  <si>
    <t>1220B33</t>
  </si>
  <si>
    <t>Debone PLeg 4 MiniHam &amp; Collar</t>
  </si>
  <si>
    <t>G1347</t>
  </si>
  <si>
    <t>Pork Mini Ham</t>
  </si>
  <si>
    <t>1220B76</t>
  </si>
  <si>
    <t>G1156</t>
  </si>
  <si>
    <t>Imp Pork Leg B' 'in Rón [Xpt]</t>
  </si>
  <si>
    <t>Debone Imported Leg for Ham</t>
  </si>
  <si>
    <t>G1309</t>
  </si>
  <si>
    <t>Im'p Pork Leg B'ss Rss (Ham)</t>
  </si>
  <si>
    <t>G1306</t>
  </si>
  <si>
    <t>Lean pork [Imp Pork Trimmings]</t>
  </si>
  <si>
    <t>G1311</t>
  </si>
  <si>
    <t>Rinds with Fat [Imported]</t>
  </si>
  <si>
    <t>1220B79</t>
  </si>
  <si>
    <t>Debone Imported Leg for Collar</t>
  </si>
  <si>
    <t>G1310</t>
  </si>
  <si>
    <t>Boneless Collar [Imported]</t>
  </si>
  <si>
    <t>G1303</t>
  </si>
  <si>
    <t>Pork Stamps [Rinds] [Imported]</t>
  </si>
  <si>
    <t>1220B80</t>
  </si>
  <si>
    <t>Debone Imp Leg for Prime Ham</t>
  </si>
  <si>
    <t>G1140</t>
  </si>
  <si>
    <t>Imp Pork Leg B's R'O (Prm Ham)</t>
  </si>
  <si>
    <t>1220B81</t>
  </si>
  <si>
    <t>Debone Imp Leg B'I for B's R'O</t>
  </si>
  <si>
    <t>G1142</t>
  </si>
  <si>
    <t>Imp Pork Leg B'ss R'On</t>
  </si>
  <si>
    <t>1220B82</t>
  </si>
  <si>
    <t>Debone Imp Leg-&gt;Prm Gm Ham R's</t>
  </si>
  <si>
    <t>G1143</t>
  </si>
  <si>
    <t>Imp Pk Leg Prime Gam R's</t>
  </si>
  <si>
    <t>1220B83</t>
  </si>
  <si>
    <t>Debone Imported Leg for Reform</t>
  </si>
  <si>
    <t>G1316</t>
  </si>
  <si>
    <t>Im'p Pork Leg B'ss Rs (Reform)</t>
  </si>
  <si>
    <t>1220C01</t>
  </si>
  <si>
    <t>Debone Middle BackBacon Expo</t>
  </si>
  <si>
    <t>G1192</t>
  </si>
  <si>
    <t>B'ess R'On BackBacon (Loc/Exp)</t>
  </si>
  <si>
    <t>1220C10</t>
  </si>
  <si>
    <t>Debone Middle for Classic Back</t>
  </si>
  <si>
    <t>G1151</t>
  </si>
  <si>
    <t>Middle, Classic Back Bacon</t>
  </si>
  <si>
    <t>Middle for Loin BsRO&amp;Blly BsRs</t>
  </si>
  <si>
    <t>1220C14</t>
  </si>
  <si>
    <t>Middle for L-L &amp; B'ly B'In R's</t>
  </si>
  <si>
    <t>1220C16</t>
  </si>
  <si>
    <t>Middle for L-Chp &amp; BlyB'ssR'On</t>
  </si>
  <si>
    <t>G1205</t>
  </si>
  <si>
    <t>Pork Loin for Chops R'ss [U]</t>
  </si>
  <si>
    <t>1220C17</t>
  </si>
  <si>
    <t>Middle for Loin Chop &amp; Streaky</t>
  </si>
  <si>
    <t>1220C18</t>
  </si>
  <si>
    <t>Middle for L-Chp &amp; BlyB'InR'On</t>
  </si>
  <si>
    <t>1220C19</t>
  </si>
  <si>
    <t>Middle for L-Chp &amp; BlyB'InR'ss</t>
  </si>
  <si>
    <t>1220C20</t>
  </si>
  <si>
    <t>Middle for L-Chp &amp; Blly B/R'ss</t>
  </si>
  <si>
    <t>1220C23</t>
  </si>
  <si>
    <t>Middle for R'ssBck &amp; BlyB'IR's</t>
  </si>
  <si>
    <t>1220C28</t>
  </si>
  <si>
    <t>Middle for B's L'n &amp; BlyB'IR's</t>
  </si>
  <si>
    <t>1220C30</t>
  </si>
  <si>
    <t>Middle for Kassler+Belly BsROn</t>
  </si>
  <si>
    <t>1220C31</t>
  </si>
  <si>
    <t>Middle for Clsc Back &amp; Streaky</t>
  </si>
  <si>
    <t>1220C32</t>
  </si>
  <si>
    <t>Middle, Clsc Bk &amp; Belly BssROn</t>
  </si>
  <si>
    <t>1220C33</t>
  </si>
  <si>
    <t>Middle for R's Bck &amp; Clsc Strk</t>
  </si>
  <si>
    <t>1220C38</t>
  </si>
  <si>
    <t>Middle for L-Ln &amp; Clsc Streaky</t>
  </si>
  <si>
    <t>1220C39</t>
  </si>
  <si>
    <t>Middle for PLoin Chp, Cls Stky</t>
  </si>
  <si>
    <t>1220C47</t>
  </si>
  <si>
    <t>Debone Middle -&gt;Middle B'I R'O</t>
  </si>
  <si>
    <t>G1190</t>
  </si>
  <si>
    <t>Pork Middle B'In R'On</t>
  </si>
  <si>
    <t>Middle for SLoin &amp; Belly Bs Rs</t>
  </si>
  <si>
    <t>Middle for Loin BsRO&amp;Blly BiRO</t>
  </si>
  <si>
    <t>1220C53</t>
  </si>
  <si>
    <t>Debone for B'ss R'On Middle</t>
  </si>
  <si>
    <t>G1201</t>
  </si>
  <si>
    <t>Pork Middle B'ss R'On</t>
  </si>
  <si>
    <t>1220C54</t>
  </si>
  <si>
    <t>G1102N</t>
  </si>
  <si>
    <t>Pork Middle - (New)</t>
  </si>
  <si>
    <t>Middle-&gt;(Loin+Blly) B'sR'O-xpt</t>
  </si>
  <si>
    <t>G1198N</t>
  </si>
  <si>
    <t>Pork Loin B'ss R'On (for Xpt)</t>
  </si>
  <si>
    <t>G1222N</t>
  </si>
  <si>
    <t>Pork Belly B'ss R'On (for Xpt)</t>
  </si>
  <si>
    <t>1220C55</t>
  </si>
  <si>
    <t>Middle for Back Bacon &amp; S-Lean</t>
  </si>
  <si>
    <t>1220C58</t>
  </si>
  <si>
    <t>Middle for Long Loin &amp; S-Lean</t>
  </si>
  <si>
    <t>1220C59</t>
  </si>
  <si>
    <t>Middle for Loin Chops &amp; S-Lean</t>
  </si>
  <si>
    <t>1220C66</t>
  </si>
  <si>
    <t>G1219</t>
  </si>
  <si>
    <t>Unstripped Pork Belly B'ss/R'O</t>
  </si>
  <si>
    <t>Strip Belly B's/R'O --&gt;Streaky</t>
  </si>
  <si>
    <t>Pork Stamps [Rinds]</t>
  </si>
  <si>
    <t>1220C81</t>
  </si>
  <si>
    <t>G1153</t>
  </si>
  <si>
    <t>Imp Pork Belly [Xpt Mkt] - WIP</t>
  </si>
  <si>
    <t>Debone Imp Belly--&gt;Streaky Xpt</t>
  </si>
  <si>
    <t>G1297</t>
  </si>
  <si>
    <t>Rinds [Imported]</t>
  </si>
  <si>
    <t>G1298</t>
  </si>
  <si>
    <t>Cooking Fat [Imported]</t>
  </si>
  <si>
    <t>G1302</t>
  </si>
  <si>
    <t>Soft Fat [Imported]</t>
  </si>
  <si>
    <t>1220C82</t>
  </si>
  <si>
    <t>G1174</t>
  </si>
  <si>
    <t>Imp Pork Loins B/R'ss [thawed]</t>
  </si>
  <si>
    <t>1220A94</t>
  </si>
  <si>
    <t>Trim Imp Loin B/R'ss Back Bcn</t>
  </si>
  <si>
    <t>G1256</t>
  </si>
  <si>
    <t>Back Bacon, [Imp Loin]</t>
  </si>
  <si>
    <t>1220C83</t>
  </si>
  <si>
    <t>G1154</t>
  </si>
  <si>
    <t>Imp Pork Loins B'ss R'On [Xpt]</t>
  </si>
  <si>
    <t>Debone Imp Loins-&gt;Back Bcn Xpt</t>
  </si>
  <si>
    <t>G1299</t>
  </si>
  <si>
    <t>Back Fat [Imported]</t>
  </si>
  <si>
    <t>1220C84</t>
  </si>
  <si>
    <t>Debone Imp Belly-&gt;Strky+Rib Xp</t>
  </si>
  <si>
    <t>1220C85</t>
  </si>
  <si>
    <t>Debone Imp Belly&gt;Sky &amp; No Rind</t>
  </si>
  <si>
    <t>1220C86</t>
  </si>
  <si>
    <t>G1155</t>
  </si>
  <si>
    <t>Imp Pork Loins B'I R'ss [Xpt]</t>
  </si>
  <si>
    <t>Imp Loin B'I R'ss for Backs Xp</t>
  </si>
  <si>
    <t>1220C87</t>
  </si>
  <si>
    <t>Debone Imp Loins-&gt;Kassler Xpt</t>
  </si>
  <si>
    <t>G1307</t>
  </si>
  <si>
    <t>Kassler [Imp--&gt;Xpt]</t>
  </si>
  <si>
    <t>1220C88</t>
  </si>
  <si>
    <t>Imp Loin B'I-&gt;Backs Xp No Ribs</t>
  </si>
  <si>
    <t>1220C89</t>
  </si>
  <si>
    <t>Imp Loin B'IR's-&gt;Backs+Mty Rib</t>
  </si>
  <si>
    <t>G1312</t>
  </si>
  <si>
    <t>Meaty Pork Ribs [Imported]</t>
  </si>
  <si>
    <t>1220C90</t>
  </si>
  <si>
    <t>Imp Loin B'IR's-&gt;Backs+Kassler</t>
  </si>
  <si>
    <t>1220C91</t>
  </si>
  <si>
    <t>Imp Loin B'IR's-&gt;Backs+BbyRibs</t>
  </si>
  <si>
    <t>1220C92</t>
  </si>
  <si>
    <t>Imp Loin B'I/R's-&gt;B/R'ss Loin</t>
  </si>
  <si>
    <t>1220C93</t>
  </si>
  <si>
    <t>G1099</t>
  </si>
  <si>
    <t>Imported Pork Loin B'In R'ss</t>
  </si>
  <si>
    <t>Imp Loin BiRs-&gt;Loin B'I+Shd Bi</t>
  </si>
  <si>
    <t>G1179</t>
  </si>
  <si>
    <t>Imp Pk Loin B'I/R's for Chops</t>
  </si>
  <si>
    <t>G1180</t>
  </si>
  <si>
    <t>Imp Pk Shld B'I/R's for Chops</t>
  </si>
  <si>
    <t>1220C94</t>
  </si>
  <si>
    <t>Imported Pork Belly B'ss R'ss</t>
  </si>
  <si>
    <t>Debon Imp Belly B/R'ss-&gt;G1295</t>
  </si>
  <si>
    <t>1220D00</t>
  </si>
  <si>
    <t>Debone Shld for Shld B'In R'On</t>
  </si>
  <si>
    <t>G1163</t>
  </si>
  <si>
    <t>Shoulder Bone-In R-On</t>
  </si>
  <si>
    <t>1220D01</t>
  </si>
  <si>
    <t>Debone Shld for Rss Bcn/Cllr</t>
  </si>
  <si>
    <t>1220D03</t>
  </si>
  <si>
    <t>Debone Shoulder for S/Chops</t>
  </si>
  <si>
    <t>1220D06</t>
  </si>
  <si>
    <t>Debone for B/R'ss Shoulder Exp</t>
  </si>
  <si>
    <t>1220D12</t>
  </si>
  <si>
    <t>Shoulder for Half Rolled R'On</t>
  </si>
  <si>
    <t>1220D13</t>
  </si>
  <si>
    <t>Debone Shoulder-&gt;Prk Hand B'in</t>
  </si>
  <si>
    <t>G1282</t>
  </si>
  <si>
    <t>Pork Hand B'In R'On</t>
  </si>
  <si>
    <t>1220D14</t>
  </si>
  <si>
    <t>Shld -&gt; Collar[+Shank&amp;Trotter]</t>
  </si>
  <si>
    <t>G1285</t>
  </si>
  <si>
    <t>Shank with Trotter</t>
  </si>
  <si>
    <t>1220D15</t>
  </si>
  <si>
    <t>Shoulder for Sh'lder B'ss R'On</t>
  </si>
  <si>
    <t>G1167</t>
  </si>
  <si>
    <t>Shld B'ss R'On (Bacon Pieces)</t>
  </si>
  <si>
    <t>1220D16</t>
  </si>
  <si>
    <t>Shoulder for Shld B'In [NAS]</t>
  </si>
  <si>
    <t>G1173</t>
  </si>
  <si>
    <t>Shoulder B'In [NAS]</t>
  </si>
  <si>
    <t>1220D17</t>
  </si>
  <si>
    <t>G1101N</t>
  </si>
  <si>
    <t>Pork Shoulder - (New)</t>
  </si>
  <si>
    <t>Debone Shld-&gt;Chops+Shd B'I(new</t>
  </si>
  <si>
    <t>G1177</t>
  </si>
  <si>
    <t>Pork Shoulder Chops</t>
  </si>
  <si>
    <t>1220D18</t>
  </si>
  <si>
    <t>Debon Shld 4 B'sR'O[PicnicHam]</t>
  </si>
  <si>
    <t>G1181</t>
  </si>
  <si>
    <t>Shld B'ss R'On for Picnic Ham</t>
  </si>
  <si>
    <t>1220D19</t>
  </si>
  <si>
    <t>Dbn Shld 4 Rs Bcn/Clr(XShnk)</t>
  </si>
  <si>
    <t>1220D21</t>
  </si>
  <si>
    <t>Dbn Shld 4 S/Chops(XShnk)</t>
  </si>
  <si>
    <t>1220D24</t>
  </si>
  <si>
    <t>Shoulder 4 Shld Bs R'On(XShnk)</t>
  </si>
  <si>
    <t>1220D25</t>
  </si>
  <si>
    <t>Shlder 4 Shld BIn [NAS](XShnk)</t>
  </si>
  <si>
    <t>1220D81</t>
  </si>
  <si>
    <t>G1157</t>
  </si>
  <si>
    <t>Imp Shoulder B'ss R'ss [Xpt]</t>
  </si>
  <si>
    <t>De-Bone Imp Shld--&gt;Shld B/R'ss</t>
  </si>
  <si>
    <t>G1158</t>
  </si>
  <si>
    <t>Imp Rindless Collar [Xpt]</t>
  </si>
  <si>
    <t>1220D82</t>
  </si>
  <si>
    <t>De-Bone Imp Shld for Lean Pork</t>
  </si>
  <si>
    <t>G1318</t>
  </si>
  <si>
    <t>Lean pork [Imported]</t>
  </si>
  <si>
    <t>2B081120</t>
  </si>
  <si>
    <t>2B231121</t>
  </si>
  <si>
    <t>2B291121</t>
  </si>
  <si>
    <t>2B141122</t>
  </si>
  <si>
    <t>2B251122N</t>
  </si>
  <si>
    <t>2B101124</t>
  </si>
  <si>
    <t>2B261124A</t>
  </si>
  <si>
    <t>2B301125</t>
  </si>
  <si>
    <t>2B191126</t>
  </si>
  <si>
    <t>2B201128</t>
  </si>
  <si>
    <t>2B131130</t>
  </si>
  <si>
    <t>2B121131</t>
  </si>
  <si>
    <t>2B161135</t>
  </si>
  <si>
    <t>2B181137</t>
  </si>
  <si>
    <t>2B221141</t>
  </si>
  <si>
    <t>2B241146</t>
  </si>
  <si>
    <t>2B321150</t>
  </si>
  <si>
    <t>2B331347</t>
  </si>
  <si>
    <t>2D001163</t>
  </si>
  <si>
    <t>2D011161</t>
  </si>
  <si>
    <t>2D031160</t>
  </si>
  <si>
    <t>2D061159</t>
  </si>
  <si>
    <t>2D121170</t>
  </si>
  <si>
    <t>2D131282</t>
  </si>
  <si>
    <t>2D141162</t>
  </si>
  <si>
    <t>2D151167</t>
  </si>
  <si>
    <t>2D161173</t>
  </si>
  <si>
    <t>2D181181</t>
  </si>
  <si>
    <t>2D191161</t>
  </si>
  <si>
    <t>2D211160</t>
  </si>
  <si>
    <t>2D241167</t>
  </si>
  <si>
    <t>2D251173</t>
  </si>
  <si>
    <t>2C101151</t>
  </si>
  <si>
    <t>2C311151</t>
  </si>
  <si>
    <t>2C321151</t>
  </si>
  <si>
    <t>2C471190</t>
  </si>
  <si>
    <t>2C231191</t>
  </si>
  <si>
    <t>2C331191</t>
  </si>
  <si>
    <t>2C551191</t>
  </si>
  <si>
    <t>2C011192</t>
  </si>
  <si>
    <t>2C301193</t>
  </si>
  <si>
    <t>2C141197</t>
  </si>
  <si>
    <t>2C381197</t>
  </si>
  <si>
    <t>2C581197</t>
  </si>
  <si>
    <t>2C281199</t>
  </si>
  <si>
    <t>2C531201</t>
  </si>
  <si>
    <t>2C161205</t>
  </si>
  <si>
    <t>2C171205</t>
  </si>
  <si>
    <t>2C181205</t>
  </si>
  <si>
    <t>2C191205</t>
  </si>
  <si>
    <t>2C201205</t>
  </si>
  <si>
    <t>2C391205</t>
  </si>
  <si>
    <t>2C591205</t>
  </si>
  <si>
    <t>Double|ByProducts</t>
  </si>
  <si>
    <t>None|Bones-G1231</t>
  </si>
  <si>
    <t>*</t>
  </si>
  <si>
    <t>Total By X-Products</t>
  </si>
  <si>
    <t>Stardard Yields Allocation %</t>
  </si>
  <si>
    <t>Actual Yields Allocation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</si>
</sst>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(* #,##0.00_);_(* \(#,##0.00\);_(* &quot;-&quot;??_);_(@_)"/>
    <numFmt numFmtId="164" formatCode="_-* #,##0_-;\-* #,##0_-;_-* &quot;-&quot;_-;_-@_-"/>
    <numFmt numFmtId="165" formatCode="_-* #,##0.00_-;\-* #,##0.00_-;_-* &quot;-&quot;??_-;_-@_-"/>
    <numFmt numFmtId="166" formatCode="[$-F800]dddd\,\ mmmm\ dd\,\ yyyy"/>
    <numFmt numFmtId="167" formatCode="0.0"/>
    <numFmt numFmtId="168" formatCode="_(* #,##0.0_);_(* \(#,##0.0\);_(* &quot;-&quot;??_);_(@_)"/>
    <numFmt numFmtId="169" formatCode="0.0%"/>
    <numFmt numFmtId="170" formatCode="#,##0.0;[Red]\(#,##0.0\)"/>
    <numFmt numFmtId="171" formatCode="0.000%"/>
    <numFmt numFmtId="172" formatCode="_(* #,##0.0_);_(* \(#,##0.0\);_(* &quot;-&quot;_);_(@_)"/>
    <numFmt numFmtId="173" formatCode="0\ &quot;Pcs&quot;"/>
    <numFmt numFmtId="174" formatCode="#,##0.00%;[Red]\(#,##0.00%\)"/>
    <numFmt numFmtId="175" formatCode="\-#,##0.0;\-\(#,##0.0\)"/>
    <numFmt numFmtId="176" formatCode="#,##0.0_);\(#,##0.0\)"/>
    <numFmt numFmtId="177" formatCode="\(#,##0.0\)"/>
    <numFmt numFmtId="178" formatCode="_(* #,##0.00_);[Red]_(* \(#,##0.00\);_(* &quot;-&quot;??_);_(@_)"/>
    <numFmt numFmtId="179" formatCode="_(* #,##0.00%_);[Red]_(* \(#,##0.00%\);_(* &quot;-&quot;??_);_(@_)"/>
    <numFmt numFmtId="180" formatCode="_(* #,##0.0_);[Red]_(* \(#,##0.0\);_(* &quot;-&quot;??_);_(@_)"/>
    <numFmt numFmtId="181" formatCode="_(* #,##0_);[Red]_(* \(#,##0\);_(* &quot;-&quot;??_);_(@_)"/>
    <numFmt numFmtId="182" formatCode="0.00_);[Red]\(0.00\)"/>
    <numFmt numFmtId="183" formatCode="m/d/yyyy;@"/>
  </numFmts>
  <fonts count="9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3"/>
      <name val="Calibri"/>
      <family val="2"/>
      <scheme val="minor"/>
    </font>
    <font>
      <b/>
      <sz val="13"/>
      <name val="Arial"/>
      <family val="2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8"/>
      <color theme="1" tint="0.34998626667073579"/>
      <name val="Calibri"/>
      <family val="2"/>
      <scheme val="minor"/>
    </font>
    <font>
      <sz val="8"/>
      <color rgb="FF000000"/>
      <name val="Segoe UI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name val="Calibri"/>
      <family val="2"/>
      <scheme val="minor"/>
    </font>
    <font>
      <sz val="10"/>
      <color indexed="12"/>
      <name val="Calibri"/>
      <family val="2"/>
      <scheme val="minor"/>
    </font>
    <font>
      <b/>
      <sz val="9"/>
      <color rgb="FF003300"/>
      <name val="Calibri"/>
      <family val="2"/>
      <scheme val="minor"/>
    </font>
    <font>
      <b/>
      <i/>
      <u/>
      <sz val="9"/>
      <name val="Calibri"/>
      <family val="2"/>
      <scheme val="minor"/>
    </font>
    <font>
      <b/>
      <u/>
      <sz val="9"/>
      <name val="Calibri"/>
      <family val="2"/>
      <scheme val="minor"/>
    </font>
    <font>
      <b/>
      <i/>
      <sz val="9"/>
      <name val="Calibri"/>
      <family val="2"/>
      <scheme val="minor"/>
    </font>
    <font>
      <sz val="9"/>
      <color theme="3" tint="-0.249977111117893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b/>
      <sz val="9"/>
      <color indexed="10"/>
      <name val="Calibri"/>
      <family val="2"/>
      <scheme val="minor"/>
    </font>
    <font>
      <b/>
      <sz val="9"/>
      <color theme="3" tint="-0.249977111117893"/>
      <name val="Calibri"/>
      <family val="2"/>
      <scheme val="minor"/>
    </font>
    <font>
      <b/>
      <sz val="10"/>
      <color theme="8" tint="-0.499984740745262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4"/>
      <color rgb="FF0000FF"/>
      <name val="Calibri"/>
      <family val="2"/>
      <scheme val="minor"/>
    </font>
    <font>
      <b/>
      <sz val="14"/>
      <color indexed="8"/>
      <name val="Calibri"/>
      <family val="2"/>
      <scheme val="minor"/>
    </font>
    <font>
      <b/>
      <sz val="36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0"/>
      <color theme="1" tint="4.9989318521683403E-2"/>
      <name val="Calibri"/>
      <family val="2"/>
      <scheme val="minor"/>
    </font>
    <font>
      <sz val="9"/>
      <color rgb="FF6F20A0"/>
      <name val="Calibri"/>
      <family val="2"/>
      <scheme val="minor"/>
    </font>
    <font>
      <sz val="8"/>
      <name val="Calibri"/>
      <family val="2"/>
      <scheme val="minor"/>
    </font>
    <font>
      <b/>
      <i/>
      <sz val="9"/>
      <color rgb="FFC00000"/>
      <name val="Calibri"/>
      <family val="2"/>
      <scheme val="minor"/>
    </font>
    <font>
      <b/>
      <i/>
      <sz val="11"/>
      <name val="Calibri"/>
      <family val="2"/>
      <scheme val="minor"/>
    </font>
    <font>
      <sz val="8"/>
      <color indexed="8"/>
      <name val="Calibri"/>
      <family val="2"/>
      <scheme val="minor"/>
    </font>
    <font>
      <sz val="9"/>
      <color indexed="8"/>
      <name val="Calibri"/>
      <family val="2"/>
      <scheme val="minor"/>
    </font>
    <font>
      <b/>
      <sz val="9"/>
      <color rgb="FF0070C0"/>
      <name val="Calibri"/>
      <family val="2"/>
      <scheme val="minor"/>
    </font>
    <font>
      <sz val="9"/>
      <color rgb="FF0070C0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8"/>
      <color rgb="FF0000FF"/>
      <name val="Calibri"/>
      <family val="2"/>
      <scheme val="minor"/>
    </font>
    <font>
      <b/>
      <u/>
      <sz val="8"/>
      <name val="Calibri"/>
      <family val="2"/>
      <scheme val="minor"/>
    </font>
    <font>
      <sz val="8"/>
      <color rgb="FF0000FF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0"/>
      <color rgb="FF0000FF"/>
      <name val="Calibri"/>
      <family val="2"/>
      <scheme val="minor"/>
    </font>
    <font>
      <b/>
      <sz val="12"/>
      <color indexed="8"/>
      <name val="Calibri"/>
      <family val="2"/>
      <scheme val="minor"/>
    </font>
    <font>
      <b/>
      <sz val="48"/>
      <name val="Calibri"/>
      <family val="2"/>
      <scheme val="minor"/>
    </font>
    <font>
      <b/>
      <sz val="9"/>
      <color indexed="8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9"/>
      <name val="Calibri"/>
      <family val="2"/>
      <scheme val="minor"/>
    </font>
    <font>
      <b/>
      <i/>
      <sz val="10"/>
      <name val="Calibri"/>
      <family val="2"/>
      <scheme val="minor"/>
    </font>
    <font>
      <sz val="12"/>
      <color indexed="12"/>
      <name val="Calibri"/>
      <family val="2"/>
      <scheme val="minor"/>
    </font>
    <font>
      <b/>
      <sz val="9"/>
      <color rgb="FF0000FF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48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2"/>
      <color indexed="10"/>
      <name val="Calibri"/>
      <family val="2"/>
      <scheme val="minor"/>
    </font>
    <font>
      <sz val="9"/>
      <color rgb="FF0000FF"/>
      <name val="Calibri"/>
      <family val="2"/>
      <scheme val="minor"/>
    </font>
    <font>
      <b/>
      <i/>
      <sz val="9"/>
      <color rgb="FF0000FF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sz val="9"/>
      <color rgb="FF002060"/>
      <name val="Calibri"/>
      <family val="2"/>
      <scheme val="minor"/>
    </font>
    <font>
      <sz val="9"/>
      <color theme="1" tint="4.9989318521683403E-2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0"/>
      <color indexed="8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4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CF4FA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499984740745262"/>
        <bgColor indexed="64"/>
      </patternFill>
    </fill>
  </fills>
  <borders count="2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/>
      <top/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medium">
        <color indexed="64"/>
      </right>
      <top/>
      <bottom style="medium">
        <color indexed="64"/>
      </bottom>
      <diagonal/>
    </border>
    <border>
      <left style="dotted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 style="thin">
        <color indexed="64"/>
      </top>
      <bottom style="thick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/>
      <top style="medium">
        <color indexed="64"/>
      </top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dotted">
        <color indexed="64"/>
      </left>
      <right/>
      <top style="thick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hair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dotted">
        <color indexed="64"/>
      </left>
      <right style="hair">
        <color indexed="64"/>
      </right>
      <top/>
      <bottom style="dotted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dotted">
        <color indexed="64"/>
      </left>
      <right style="dotted">
        <color indexed="64"/>
      </right>
      <top style="thick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hair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dotted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dotted">
        <color indexed="64"/>
      </right>
      <top style="hair">
        <color indexed="64"/>
      </top>
      <bottom style="thin">
        <color indexed="64"/>
      </bottom>
      <diagonal/>
    </border>
    <border>
      <left style="dotted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dotted">
        <color indexed="64"/>
      </right>
      <top style="hair">
        <color indexed="64"/>
      </top>
      <bottom style="thin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dotted">
        <color indexed="64"/>
      </bottom>
      <diagonal/>
    </border>
    <border>
      <left style="dotted">
        <color indexed="64"/>
      </left>
      <right/>
      <top/>
      <bottom style="thin">
        <color indexed="64"/>
      </bottom>
      <diagonal/>
    </border>
    <border>
      <left/>
      <right style="dotted">
        <color indexed="64"/>
      </right>
      <top style="thick">
        <color indexed="64"/>
      </top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/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</borders>
  <cellStyleXfs count="8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7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1396">
    <xf numFmtId="0" fontId="0" fillId="0" borderId="0" xfId="0"/>
    <xf numFmtId="1" fontId="0" fillId="0" borderId="0" xfId="0" applyNumberFormat="1"/>
    <xf numFmtId="2" fontId="0" fillId="0" borderId="0" xfId="0" applyNumberFormat="1"/>
    <xf numFmtId="0" fontId="3" fillId="3" borderId="4" xfId="0" applyFont="1" applyFill="1" applyBorder="1" applyAlignment="1" applyProtection="1">
      <alignment horizontal="left"/>
      <protection hidden="1"/>
    </xf>
    <xf numFmtId="0" fontId="3" fillId="3" borderId="5" xfId="0" applyFont="1" applyFill="1" applyBorder="1" applyAlignment="1" applyProtection="1">
      <alignment horizontal="center"/>
      <protection hidden="1"/>
    </xf>
    <xf numFmtId="167" fontId="3" fillId="3" borderId="5" xfId="1" applyNumberFormat="1" applyFont="1" applyFill="1" applyBorder="1" applyAlignment="1" applyProtection="1">
      <alignment horizontal="center"/>
      <protection hidden="1"/>
    </xf>
    <xf numFmtId="0" fontId="5" fillId="0" borderId="0" xfId="0" applyFont="1"/>
    <xf numFmtId="2" fontId="8" fillId="0" borderId="3" xfId="1" applyNumberFormat="1" applyFont="1" applyBorder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0" fontId="0" fillId="0" borderId="0" xfId="2" applyNumberFormat="1" applyFont="1" applyFill="1" applyBorder="1" applyAlignment="1">
      <alignment horizontal="center"/>
    </xf>
    <xf numFmtId="9" fontId="0" fillId="0" borderId="0" xfId="2" applyFont="1"/>
    <xf numFmtId="9" fontId="0" fillId="0" borderId="0" xfId="2" applyFont="1" applyFill="1" applyBorder="1" applyAlignment="1">
      <alignment horizontal="center" wrapText="1"/>
    </xf>
    <xf numFmtId="2" fontId="0" fillId="0" borderId="0" xfId="0" applyNumberFormat="1" applyAlignment="1">
      <alignment horizontal="center" wrapText="1"/>
    </xf>
    <xf numFmtId="0" fontId="0" fillId="0" borderId="0" xfId="0" applyAlignment="1">
      <alignment horizontal="center" wrapText="1"/>
    </xf>
    <xf numFmtId="2" fontId="0" fillId="4" borderId="0" xfId="0" applyNumberFormat="1" applyFill="1" applyAlignment="1">
      <alignment horizontal="center" wrapText="1"/>
    </xf>
    <xf numFmtId="49" fontId="5" fillId="4" borderId="0" xfId="0" applyNumberFormat="1" applyFont="1" applyFill="1"/>
    <xf numFmtId="9" fontId="0" fillId="0" borderId="0" xfId="2" applyFont="1" applyFill="1" applyBorder="1" applyAlignment="1">
      <alignment horizontal="center"/>
    </xf>
    <xf numFmtId="10" fontId="11" fillId="0" borderId="0" xfId="2" applyNumberFormat="1" applyFont="1" applyFill="1" applyBorder="1" applyAlignment="1">
      <alignment horizontal="center"/>
    </xf>
    <xf numFmtId="2" fontId="12" fillId="0" borderId="0" xfId="0" applyNumberFormat="1" applyFont="1" applyAlignment="1">
      <alignment horizontal="center"/>
    </xf>
    <xf numFmtId="172" fontId="12" fillId="0" borderId="0" xfId="0" applyNumberFormat="1" applyFont="1"/>
    <xf numFmtId="9" fontId="11" fillId="0" borderId="0" xfId="2" applyFont="1" applyFill="1" applyBorder="1" applyAlignment="1">
      <alignment horizontal="center"/>
    </xf>
    <xf numFmtId="10" fontId="0" fillId="0" borderId="0" xfId="2" applyNumberFormat="1" applyFont="1"/>
    <xf numFmtId="0" fontId="0" fillId="0" borderId="0" xfId="0" applyAlignment="1">
      <alignment wrapText="1"/>
    </xf>
    <xf numFmtId="0" fontId="0" fillId="4" borderId="0" xfId="0" applyFill="1"/>
    <xf numFmtId="0" fontId="13" fillId="0" borderId="0" xfId="0" applyFont="1"/>
    <xf numFmtId="14" fontId="5" fillId="0" borderId="0" xfId="0" applyNumberFormat="1" applyFont="1" applyAlignment="1">
      <alignment horizontal="center"/>
    </xf>
    <xf numFmtId="2" fontId="0" fillId="0" borderId="0" xfId="7" applyNumberFormat="1" applyFont="1"/>
    <xf numFmtId="10" fontId="0" fillId="0" borderId="0" xfId="2" applyNumberFormat="1" applyFont="1" applyProtection="1">
      <protection hidden="1"/>
    </xf>
    <xf numFmtId="10" fontId="0" fillId="0" borderId="28" xfId="2" applyNumberFormat="1" applyFont="1" applyBorder="1" applyProtection="1">
      <protection hidden="1"/>
    </xf>
    <xf numFmtId="10" fontId="0" fillId="0" borderId="19" xfId="2" applyNumberFormat="1" applyFont="1" applyBorder="1" applyProtection="1">
      <protection hidden="1"/>
    </xf>
    <xf numFmtId="174" fontId="0" fillId="0" borderId="28" xfId="2" applyNumberFormat="1" applyFont="1" applyBorder="1" applyProtection="1">
      <protection hidden="1"/>
    </xf>
    <xf numFmtId="10" fontId="0" fillId="0" borderId="23" xfId="2" applyNumberFormat="1" applyFont="1" applyBorder="1" applyProtection="1">
      <protection hidden="1"/>
    </xf>
    <xf numFmtId="174" fontId="0" fillId="0" borderId="23" xfId="2" applyNumberFormat="1" applyFont="1" applyBorder="1" applyProtection="1">
      <protection hidden="1"/>
    </xf>
    <xf numFmtId="174" fontId="0" fillId="0" borderId="19" xfId="2" applyNumberFormat="1" applyFont="1" applyBorder="1" applyProtection="1">
      <protection hidden="1"/>
    </xf>
    <xf numFmtId="0" fontId="14" fillId="0" borderId="0" xfId="0" applyFont="1"/>
    <xf numFmtId="10" fontId="0" fillId="0" borderId="0" xfId="2" applyNumberFormat="1" applyFont="1" applyProtection="1">
      <protection locked="0"/>
    </xf>
    <xf numFmtId="0" fontId="5" fillId="0" borderId="0" xfId="0" applyFont="1" applyProtection="1">
      <protection locked="0"/>
    </xf>
    <xf numFmtId="167" fontId="4" fillId="3" borderId="11" xfId="1" applyNumberFormat="1" applyFont="1" applyFill="1" applyBorder="1" applyAlignment="1" applyProtection="1">
      <alignment horizontal="center"/>
      <protection hidden="1"/>
    </xf>
    <xf numFmtId="0" fontId="15" fillId="0" borderId="0" xfId="0" applyFont="1" applyProtection="1">
      <protection hidden="1"/>
    </xf>
    <xf numFmtId="0" fontId="15" fillId="0" borderId="0" xfId="0" applyFont="1" applyProtection="1">
      <protection locked="0"/>
    </xf>
    <xf numFmtId="0" fontId="17" fillId="0" borderId="0" xfId="0" applyFont="1" applyProtection="1">
      <protection hidden="1"/>
    </xf>
    <xf numFmtId="0" fontId="17" fillId="0" borderId="0" xfId="0" applyFont="1" applyProtection="1">
      <protection locked="0"/>
    </xf>
    <xf numFmtId="178" fontId="19" fillId="0" borderId="0" xfId="1" applyNumberFormat="1" applyFont="1" applyAlignment="1">
      <alignment horizontal="left"/>
    </xf>
    <xf numFmtId="178" fontId="20" fillId="0" borderId="0" xfId="1" applyNumberFormat="1" applyFont="1" applyAlignment="1">
      <alignment horizontal="left"/>
    </xf>
    <xf numFmtId="178" fontId="20" fillId="0" borderId="127" xfId="1" applyNumberFormat="1" applyFont="1" applyBorder="1" applyAlignment="1">
      <alignment horizontal="left"/>
    </xf>
    <xf numFmtId="178" fontId="19" fillId="0" borderId="127" xfId="1" applyNumberFormat="1" applyFont="1" applyBorder="1" applyAlignment="1">
      <alignment horizontal="left"/>
    </xf>
    <xf numFmtId="178" fontId="20" fillId="0" borderId="0" xfId="1" applyNumberFormat="1" applyFont="1" applyBorder="1" applyAlignment="1">
      <alignment horizontal="left"/>
    </xf>
    <xf numFmtId="178" fontId="20" fillId="0" borderId="10" xfId="1" applyNumberFormat="1" applyFont="1" applyBorder="1" applyAlignment="1">
      <alignment horizontal="left"/>
    </xf>
    <xf numFmtId="178" fontId="19" fillId="0" borderId="0" xfId="1" applyNumberFormat="1" applyFont="1" applyBorder="1" applyAlignment="1">
      <alignment horizontal="left"/>
    </xf>
    <xf numFmtId="178" fontId="19" fillId="0" borderId="186" xfId="1" applyNumberFormat="1" applyFont="1" applyBorder="1" applyAlignment="1">
      <alignment horizontal="left"/>
    </xf>
    <xf numFmtId="178" fontId="5" fillId="0" borderId="0" xfId="1" applyNumberFormat="1" applyFont="1" applyAlignment="1">
      <alignment horizontal="left" wrapText="1"/>
    </xf>
    <xf numFmtId="178" fontId="5" fillId="0" borderId="198" xfId="1" applyNumberFormat="1" applyFont="1" applyBorder="1" applyAlignment="1">
      <alignment horizontal="left" wrapText="1"/>
    </xf>
    <xf numFmtId="178" fontId="5" fillId="0" borderId="0" xfId="1" applyNumberFormat="1" applyFont="1" applyAlignment="1">
      <alignment horizontal="left"/>
    </xf>
    <xf numFmtId="178" fontId="5" fillId="18" borderId="197" xfId="1" applyNumberFormat="1" applyFont="1" applyFill="1" applyBorder="1" applyAlignment="1">
      <alignment horizontal="left"/>
    </xf>
    <xf numFmtId="178" fontId="21" fillId="18" borderId="197" xfId="0" applyNumberFormat="1" applyFont="1" applyFill="1" applyBorder="1" applyAlignment="1">
      <alignment horizontal="left" wrapText="1"/>
    </xf>
    <xf numFmtId="178" fontId="23" fillId="18" borderId="197" xfId="1" applyNumberFormat="1" applyFont="1" applyFill="1" applyBorder="1" applyAlignment="1">
      <alignment horizontal="left"/>
    </xf>
    <xf numFmtId="178" fontId="1" fillId="18" borderId="197" xfId="0" applyNumberFormat="1" applyFont="1" applyFill="1" applyBorder="1" applyAlignment="1">
      <alignment horizontal="left" wrapText="1"/>
    </xf>
    <xf numFmtId="178" fontId="1" fillId="18" borderId="197" xfId="1" applyNumberFormat="1" applyFont="1" applyFill="1" applyBorder="1" applyAlignment="1">
      <alignment horizontal="left"/>
    </xf>
    <xf numFmtId="178" fontId="23" fillId="18" borderId="197" xfId="0" applyNumberFormat="1" applyFont="1" applyFill="1" applyBorder="1" applyAlignment="1">
      <alignment horizontal="left" wrapText="1"/>
    </xf>
    <xf numFmtId="178" fontId="5" fillId="3" borderId="191" xfId="1" applyNumberFormat="1" applyFont="1" applyFill="1" applyBorder="1" applyAlignment="1">
      <alignment horizontal="left" vertical="center" wrapText="1"/>
    </xf>
    <xf numFmtId="178" fontId="5" fillId="3" borderId="190" xfId="1" applyNumberFormat="1" applyFont="1" applyFill="1" applyBorder="1" applyAlignment="1">
      <alignment horizontal="left" vertical="center" wrapText="1"/>
    </xf>
    <xf numFmtId="178" fontId="5" fillId="3" borderId="140" xfId="1" applyNumberFormat="1" applyFont="1" applyFill="1" applyBorder="1" applyAlignment="1">
      <alignment horizontal="left" vertical="center" wrapText="1"/>
    </xf>
    <xf numFmtId="178" fontId="19" fillId="3" borderId="0" xfId="1" applyNumberFormat="1" applyFont="1" applyFill="1" applyBorder="1" applyAlignment="1">
      <alignment horizontal="left" vertical="center"/>
    </xf>
    <xf numFmtId="178" fontId="5" fillId="3" borderId="199" xfId="1" applyNumberFormat="1" applyFont="1" applyFill="1" applyBorder="1" applyAlignment="1">
      <alignment horizontal="left" vertical="center" wrapText="1"/>
    </xf>
    <xf numFmtId="2" fontId="8" fillId="0" borderId="27" xfId="1" applyNumberFormat="1" applyFont="1" applyBorder="1" applyAlignment="1">
      <alignment horizontal="right"/>
    </xf>
    <xf numFmtId="178" fontId="20" fillId="0" borderId="91" xfId="1" applyNumberFormat="1" applyFont="1" applyFill="1" applyBorder="1" applyAlignment="1">
      <alignment horizontal="left"/>
    </xf>
    <xf numFmtId="178" fontId="19" fillId="0" borderId="91" xfId="1" applyNumberFormat="1" applyFont="1" applyFill="1" applyBorder="1" applyAlignment="1">
      <alignment horizontal="left"/>
    </xf>
    <xf numFmtId="178" fontId="19" fillId="0" borderId="161" xfId="1" applyNumberFormat="1" applyFont="1" applyFill="1" applyBorder="1" applyAlignment="1">
      <alignment horizontal="left"/>
    </xf>
    <xf numFmtId="178" fontId="20" fillId="0" borderId="0" xfId="1" applyNumberFormat="1" applyFont="1" applyFill="1" applyBorder="1" applyAlignment="1">
      <alignment horizontal="left"/>
    </xf>
    <xf numFmtId="178" fontId="20" fillId="0" borderId="0" xfId="1" applyNumberFormat="1" applyFont="1" applyFill="1" applyAlignment="1">
      <alignment horizontal="left"/>
    </xf>
    <xf numFmtId="178" fontId="20" fillId="0" borderId="194" xfId="1" applyNumberFormat="1" applyFont="1" applyFill="1" applyBorder="1" applyAlignment="1">
      <alignment horizontal="left"/>
    </xf>
    <xf numFmtId="178" fontId="5" fillId="0" borderId="0" xfId="1" applyNumberFormat="1" applyFont="1" applyAlignment="1">
      <alignment horizontal="center"/>
    </xf>
    <xf numFmtId="178" fontId="5" fillId="0" borderId="191" xfId="1" applyNumberFormat="1" applyFont="1" applyBorder="1" applyAlignment="1">
      <alignment horizontal="center" wrapText="1"/>
    </xf>
    <xf numFmtId="178" fontId="20" fillId="0" borderId="0" xfId="1" applyNumberFormat="1" applyFont="1" applyBorder="1" applyAlignment="1">
      <alignment horizontal="center"/>
    </xf>
    <xf numFmtId="178" fontId="5" fillId="0" borderId="190" xfId="1" applyNumberFormat="1" applyFont="1" applyBorder="1" applyAlignment="1">
      <alignment horizontal="center" wrapText="1"/>
    </xf>
    <xf numFmtId="178" fontId="5" fillId="0" borderId="140" xfId="1" applyNumberFormat="1" applyFont="1" applyBorder="1" applyAlignment="1">
      <alignment horizontal="center" wrapText="1"/>
    </xf>
    <xf numFmtId="178" fontId="5" fillId="0" borderId="157" xfId="1" applyNumberFormat="1" applyFont="1" applyBorder="1" applyAlignment="1">
      <alignment horizontal="center" wrapText="1"/>
    </xf>
    <xf numFmtId="178" fontId="5" fillId="0" borderId="157" xfId="1" applyNumberFormat="1" applyFont="1" applyBorder="1" applyAlignment="1">
      <alignment horizontal="center"/>
    </xf>
    <xf numFmtId="178" fontId="5" fillId="0" borderId="191" xfId="1" applyNumberFormat="1" applyFont="1" applyFill="1" applyBorder="1" applyAlignment="1">
      <alignment horizontal="center" wrapText="1"/>
    </xf>
    <xf numFmtId="178" fontId="5" fillId="0" borderId="190" xfId="1" applyNumberFormat="1" applyFont="1" applyFill="1" applyBorder="1" applyAlignment="1">
      <alignment horizontal="center" wrapText="1"/>
    </xf>
    <xf numFmtId="178" fontId="5" fillId="0" borderId="157" xfId="1" applyNumberFormat="1" applyFont="1" applyFill="1" applyBorder="1" applyAlignment="1">
      <alignment horizontal="center"/>
    </xf>
    <xf numFmtId="178" fontId="5" fillId="0" borderId="193" xfId="1" applyNumberFormat="1" applyFont="1" applyBorder="1" applyAlignment="1">
      <alignment horizontal="center" wrapText="1"/>
    </xf>
    <xf numFmtId="178" fontId="5" fillId="3" borderId="0" xfId="1" applyNumberFormat="1" applyFont="1" applyFill="1" applyBorder="1" applyAlignment="1">
      <alignment horizontal="left" vertical="center" wrapText="1"/>
    </xf>
    <xf numFmtId="178" fontId="19" fillId="0" borderId="0" xfId="1" applyNumberFormat="1" applyFont="1" applyFill="1" applyBorder="1" applyAlignment="1">
      <alignment horizontal="left"/>
    </xf>
    <xf numFmtId="178" fontId="19" fillId="0" borderId="198" xfId="1" applyNumberFormat="1" applyFont="1" applyBorder="1" applyAlignment="1">
      <alignment horizontal="left" wrapText="1"/>
    </xf>
    <xf numFmtId="179" fontId="19" fillId="0" borderId="186" xfId="2" applyNumberFormat="1" applyFont="1" applyBorder="1" applyAlignment="1">
      <alignment horizontal="right"/>
    </xf>
    <xf numFmtId="1" fontId="20" fillId="0" borderId="127" xfId="1" applyNumberFormat="1" applyFont="1" applyBorder="1" applyAlignment="1">
      <alignment horizontal="right"/>
    </xf>
    <xf numFmtId="179" fontId="20" fillId="0" borderId="127" xfId="2" applyNumberFormat="1" applyFont="1" applyBorder="1" applyAlignment="1">
      <alignment horizontal="right"/>
    </xf>
    <xf numFmtId="1" fontId="20" fillId="0" borderId="0" xfId="1" applyNumberFormat="1" applyFont="1" applyBorder="1" applyAlignment="1">
      <alignment horizontal="right"/>
    </xf>
    <xf numFmtId="179" fontId="20" fillId="0" borderId="0" xfId="2" applyNumberFormat="1" applyFont="1" applyBorder="1" applyAlignment="1">
      <alignment horizontal="right"/>
    </xf>
    <xf numFmtId="178" fontId="5" fillId="3" borderId="191" xfId="1" applyNumberFormat="1" applyFont="1" applyFill="1" applyBorder="1" applyAlignment="1">
      <alignment horizontal="center" vertical="center" wrapText="1"/>
    </xf>
    <xf numFmtId="178" fontId="20" fillId="0" borderId="194" xfId="1" applyNumberFormat="1" applyFont="1" applyFill="1" applyBorder="1" applyAlignment="1">
      <alignment horizontal="center"/>
    </xf>
    <xf numFmtId="181" fontId="5" fillId="0" borderId="198" xfId="1" applyNumberFormat="1" applyFont="1" applyBorder="1" applyAlignment="1">
      <alignment horizontal="left" wrapText="1"/>
    </xf>
    <xf numFmtId="181" fontId="5" fillId="18" borderId="197" xfId="1" applyNumberFormat="1" applyFont="1" applyFill="1" applyBorder="1" applyAlignment="1">
      <alignment horizontal="left"/>
    </xf>
    <xf numFmtId="178" fontId="5" fillId="0" borderId="157" xfId="1" applyNumberFormat="1" applyFont="1" applyFill="1" applyBorder="1" applyAlignment="1">
      <alignment horizontal="center" wrapText="1"/>
    </xf>
    <xf numFmtId="181" fontId="20" fillId="0" borderId="127" xfId="1" applyNumberFormat="1" applyFont="1" applyBorder="1" applyAlignment="1">
      <alignment horizontal="right"/>
    </xf>
    <xf numFmtId="181" fontId="20" fillId="0" borderId="0" xfId="1" applyNumberFormat="1" applyFont="1" applyBorder="1" applyAlignment="1">
      <alignment horizontal="right"/>
    </xf>
    <xf numFmtId="181" fontId="5" fillId="0" borderId="191" xfId="1" applyNumberFormat="1" applyFont="1" applyBorder="1" applyAlignment="1">
      <alignment horizontal="center" wrapText="1"/>
    </xf>
    <xf numFmtId="178" fontId="19" fillId="0" borderId="186" xfId="1" applyNumberFormat="1" applyFont="1" applyBorder="1" applyAlignment="1"/>
    <xf numFmtId="178" fontId="20" fillId="0" borderId="127" xfId="1" applyNumberFormat="1" applyFont="1" applyFill="1" applyBorder="1" applyAlignment="1">
      <alignment horizontal="left"/>
    </xf>
    <xf numFmtId="178" fontId="20" fillId="0" borderId="127" xfId="0" applyNumberFormat="1" applyFont="1" applyBorder="1" applyAlignment="1">
      <alignment horizontal="left"/>
    </xf>
    <xf numFmtId="178" fontId="5" fillId="0" borderId="198" xfId="1" applyNumberFormat="1" applyFont="1" applyFill="1" applyBorder="1" applyAlignment="1">
      <alignment horizontal="left" wrapText="1"/>
    </xf>
    <xf numFmtId="178" fontId="16" fillId="0" borderId="0" xfId="1" applyNumberFormat="1" applyFont="1" applyFill="1" applyBorder="1" applyAlignment="1">
      <alignment vertical="center" wrapText="1"/>
    </xf>
    <xf numFmtId="178" fontId="16" fillId="0" borderId="198" xfId="1" applyNumberFormat="1" applyFont="1" applyFill="1" applyBorder="1" applyAlignment="1">
      <alignment vertical="center" wrapText="1"/>
    </xf>
    <xf numFmtId="178" fontId="28" fillId="0" borderId="127" xfId="0" applyNumberFormat="1" applyFont="1" applyBorder="1" applyAlignment="1">
      <alignment horizontal="left"/>
    </xf>
    <xf numFmtId="178" fontId="27" fillId="0" borderId="127" xfId="1" applyNumberFormat="1" applyFont="1" applyFill="1" applyBorder="1" applyAlignment="1">
      <alignment horizontal="center" vertical="center" wrapText="1"/>
    </xf>
    <xf numFmtId="178" fontId="29" fillId="0" borderId="127" xfId="1" applyNumberFormat="1" applyFont="1" applyFill="1" applyBorder="1" applyAlignment="1">
      <alignment horizontal="left"/>
    </xf>
    <xf numFmtId="178" fontId="27" fillId="0" borderId="127" xfId="1" applyNumberFormat="1" applyFont="1" applyBorder="1" applyAlignment="1">
      <alignment horizontal="left" vertical="center" wrapText="1"/>
    </xf>
    <xf numFmtId="178" fontId="28" fillId="0" borderId="0" xfId="0" applyNumberFormat="1" applyFont="1" applyAlignment="1">
      <alignment horizontal="left"/>
    </xf>
    <xf numFmtId="178" fontId="27" fillId="0" borderId="0" xfId="1" applyNumberFormat="1" applyFont="1" applyFill="1" applyBorder="1" applyAlignment="1">
      <alignment horizontal="center" vertical="center" wrapText="1"/>
    </xf>
    <xf numFmtId="178" fontId="29" fillId="0" borderId="0" xfId="1" applyNumberFormat="1" applyFont="1" applyFill="1" applyBorder="1" applyAlignment="1">
      <alignment horizontal="left"/>
    </xf>
    <xf numFmtId="178" fontId="27" fillId="0" borderId="0" xfId="1" applyNumberFormat="1" applyFont="1" applyBorder="1" applyAlignment="1">
      <alignment horizontal="left" vertical="center" wrapText="1"/>
    </xf>
    <xf numFmtId="178" fontId="26" fillId="0" borderId="198" xfId="1" applyNumberFormat="1" applyFont="1" applyFill="1" applyBorder="1" applyAlignment="1">
      <alignment horizontal="left" wrapText="1"/>
    </xf>
    <xf numFmtId="178" fontId="27" fillId="0" borderId="198" xfId="1" applyNumberFormat="1" applyFont="1" applyFill="1" applyBorder="1" applyAlignment="1">
      <alignment horizontal="left" wrapText="1"/>
    </xf>
    <xf numFmtId="178" fontId="27" fillId="0" borderId="198" xfId="1" applyNumberFormat="1" applyFont="1" applyFill="1" applyBorder="1" applyAlignment="1">
      <alignment horizontal="center" vertical="center" wrapText="1"/>
    </xf>
    <xf numFmtId="178" fontId="27" fillId="0" borderId="198" xfId="1" applyNumberFormat="1" applyFont="1" applyBorder="1" applyAlignment="1">
      <alignment horizontal="left" vertical="center" wrapText="1"/>
    </xf>
    <xf numFmtId="178" fontId="30" fillId="0" borderId="127" xfId="1" applyNumberFormat="1" applyFont="1" applyFill="1" applyBorder="1" applyAlignment="1">
      <alignment horizontal="left"/>
    </xf>
    <xf numFmtId="178" fontId="27" fillId="0" borderId="127" xfId="1" applyNumberFormat="1" applyFont="1" applyFill="1" applyBorder="1" applyAlignment="1">
      <alignment horizontal="left"/>
    </xf>
    <xf numFmtId="178" fontId="30" fillId="0" borderId="0" xfId="1" applyNumberFormat="1" applyFont="1" applyFill="1" applyBorder="1" applyAlignment="1">
      <alignment horizontal="left"/>
    </xf>
    <xf numFmtId="178" fontId="27" fillId="0" borderId="0" xfId="1" applyNumberFormat="1" applyFont="1" applyFill="1" applyBorder="1" applyAlignment="1">
      <alignment horizontal="left"/>
    </xf>
    <xf numFmtId="178" fontId="27" fillId="0" borderId="127" xfId="1" applyNumberFormat="1" applyFont="1" applyFill="1" applyBorder="1" applyAlignment="1">
      <alignment vertical="center" wrapText="1"/>
    </xf>
    <xf numFmtId="178" fontId="27" fillId="0" borderId="0" xfId="1" applyNumberFormat="1" applyFont="1" applyFill="1" applyBorder="1" applyAlignment="1">
      <alignment vertical="center" wrapText="1"/>
    </xf>
    <xf numFmtId="178" fontId="27" fillId="0" borderId="198" xfId="1" applyNumberFormat="1" applyFont="1" applyFill="1" applyBorder="1" applyAlignment="1">
      <alignment vertical="center" wrapText="1"/>
    </xf>
    <xf numFmtId="178" fontId="31" fillId="20" borderId="127" xfId="1" applyNumberFormat="1" applyFont="1" applyFill="1" applyBorder="1" applyAlignment="1">
      <alignment horizontal="center" vertical="center" wrapText="1"/>
    </xf>
    <xf numFmtId="178" fontId="31" fillId="20" borderId="0" xfId="1" applyNumberFormat="1" applyFont="1" applyFill="1" applyBorder="1" applyAlignment="1">
      <alignment horizontal="center" vertical="center" wrapText="1"/>
    </xf>
    <xf numFmtId="178" fontId="31" fillId="20" borderId="198" xfId="1" applyNumberFormat="1" applyFont="1" applyFill="1" applyBorder="1" applyAlignment="1">
      <alignment horizontal="center" vertical="center" wrapText="1"/>
    </xf>
    <xf numFmtId="178" fontId="16" fillId="0" borderId="0" xfId="1" applyNumberFormat="1" applyFont="1" applyFill="1" applyBorder="1" applyAlignment="1">
      <alignment horizontal="center" vertical="center"/>
    </xf>
    <xf numFmtId="178" fontId="16" fillId="0" borderId="198" xfId="1" applyNumberFormat="1" applyFont="1" applyFill="1" applyBorder="1" applyAlignment="1">
      <alignment horizontal="center" vertical="center"/>
    </xf>
    <xf numFmtId="0" fontId="20" fillId="0" borderId="0" xfId="0" applyFont="1"/>
    <xf numFmtId="169" fontId="0" fillId="0" borderId="0" xfId="2" applyNumberFormat="1" applyFont="1"/>
    <xf numFmtId="178" fontId="5" fillId="0" borderId="191" xfId="1" applyNumberFormat="1" applyFont="1" applyFill="1" applyBorder="1" applyAlignment="1">
      <alignment horizontal="left" wrapText="1"/>
    </xf>
    <xf numFmtId="178" fontId="5" fillId="0" borderId="190" xfId="1" applyNumberFormat="1" applyFont="1" applyFill="1" applyBorder="1" applyAlignment="1">
      <alignment horizontal="left" wrapText="1"/>
    </xf>
    <xf numFmtId="178" fontId="20" fillId="0" borderId="161" xfId="1" applyNumberFormat="1" applyFont="1" applyFill="1" applyBorder="1" applyAlignment="1">
      <alignment horizontal="left"/>
    </xf>
    <xf numFmtId="1" fontId="20" fillId="0" borderId="161" xfId="1" applyNumberFormat="1" applyFont="1" applyFill="1" applyBorder="1" applyAlignment="1"/>
    <xf numFmtId="178" fontId="20" fillId="0" borderId="89" xfId="1" applyNumberFormat="1" applyFont="1" applyFill="1" applyBorder="1" applyAlignment="1">
      <alignment horizontal="left"/>
    </xf>
    <xf numFmtId="178" fontId="19" fillId="0" borderId="195" xfId="1" applyNumberFormat="1" applyFont="1" applyFill="1" applyBorder="1" applyAlignment="1">
      <alignment horizontal="left"/>
    </xf>
    <xf numFmtId="178" fontId="19" fillId="0" borderId="76" xfId="1" applyNumberFormat="1" applyFont="1" applyFill="1" applyBorder="1" applyAlignment="1">
      <alignment horizontal="left"/>
    </xf>
    <xf numFmtId="178" fontId="20" fillId="0" borderId="212" xfId="1" applyNumberFormat="1" applyFont="1" applyFill="1" applyBorder="1" applyAlignment="1">
      <alignment horizontal="left"/>
    </xf>
    <xf numFmtId="178" fontId="20" fillId="0" borderId="76" xfId="1" applyNumberFormat="1" applyFont="1" applyFill="1" applyBorder="1" applyAlignment="1">
      <alignment horizontal="left"/>
    </xf>
    <xf numFmtId="181" fontId="20" fillId="0" borderId="91" xfId="1" applyNumberFormat="1" applyFont="1" applyFill="1" applyBorder="1" applyAlignment="1">
      <alignment horizontal="left"/>
    </xf>
    <xf numFmtId="178" fontId="20" fillId="0" borderId="213" xfId="1" applyNumberFormat="1" applyFont="1" applyFill="1" applyBorder="1" applyAlignment="1">
      <alignment horizontal="left"/>
    </xf>
    <xf numFmtId="178" fontId="19" fillId="0" borderId="192" xfId="1" applyNumberFormat="1" applyFont="1" applyFill="1" applyBorder="1" applyAlignment="1">
      <alignment horizontal="left"/>
    </xf>
    <xf numFmtId="178" fontId="19" fillId="0" borderId="206" xfId="1" applyNumberFormat="1" applyFont="1" applyFill="1" applyBorder="1" applyAlignment="1">
      <alignment horizontal="left"/>
    </xf>
    <xf numFmtId="178" fontId="20" fillId="0" borderId="161" xfId="1" quotePrefix="1" applyNumberFormat="1" applyFont="1" applyFill="1" applyBorder="1" applyAlignment="1">
      <alignment horizontal="left"/>
    </xf>
    <xf numFmtId="178" fontId="19" fillId="0" borderId="196" xfId="1" applyNumberFormat="1" applyFont="1" applyFill="1" applyBorder="1" applyAlignment="1">
      <alignment horizontal="left"/>
    </xf>
    <xf numFmtId="181" fontId="20" fillId="0" borderId="161" xfId="1" applyNumberFormat="1" applyFont="1" applyFill="1" applyBorder="1" applyAlignment="1">
      <alignment horizontal="left"/>
    </xf>
    <xf numFmtId="165" fontId="20" fillId="0" borderId="194" xfId="1" applyFont="1" applyFill="1" applyBorder="1" applyAlignment="1">
      <alignment horizontal="left"/>
    </xf>
    <xf numFmtId="169" fontId="0" fillId="0" borderId="3" xfId="2" applyNumberFormat="1" applyFont="1" applyBorder="1" applyProtection="1">
      <protection locked="0"/>
    </xf>
    <xf numFmtId="9" fontId="0" fillId="0" borderId="0" xfId="2" applyFont="1" applyProtection="1">
      <protection hidden="1"/>
    </xf>
    <xf numFmtId="178" fontId="19" fillId="0" borderId="0" xfId="1" applyNumberFormat="1" applyFont="1" applyFill="1" applyAlignment="1">
      <alignment horizontal="left"/>
    </xf>
    <xf numFmtId="178" fontId="20" fillId="0" borderId="195" xfId="1" applyNumberFormat="1" applyFont="1" applyFill="1" applyBorder="1" applyAlignment="1">
      <alignment horizontal="left"/>
    </xf>
    <xf numFmtId="0" fontId="19" fillId="3" borderId="15" xfId="0" applyFont="1" applyFill="1" applyBorder="1" applyAlignment="1" applyProtection="1">
      <alignment horizontal="left" vertical="center"/>
      <protection hidden="1"/>
    </xf>
    <xf numFmtId="0" fontId="19" fillId="3" borderId="16" xfId="0" applyFont="1" applyFill="1" applyBorder="1" applyAlignment="1" applyProtection="1">
      <alignment vertical="center"/>
      <protection hidden="1"/>
    </xf>
    <xf numFmtId="0" fontId="19" fillId="3" borderId="0" xfId="0" applyFont="1" applyFill="1" applyAlignment="1" applyProtection="1">
      <alignment vertical="center"/>
      <protection hidden="1"/>
    </xf>
    <xf numFmtId="0" fontId="33" fillId="0" borderId="0" xfId="0" applyFont="1"/>
    <xf numFmtId="0" fontId="16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34" fillId="0" borderId="0" xfId="0" applyFont="1" applyProtection="1">
      <protection locked="0"/>
    </xf>
    <xf numFmtId="2" fontId="34" fillId="0" borderId="0" xfId="0" applyNumberFormat="1" applyFont="1" applyProtection="1">
      <protection locked="0"/>
    </xf>
    <xf numFmtId="0" fontId="29" fillId="0" borderId="1" xfId="0" applyFont="1" applyBorder="1" applyProtection="1">
      <protection locked="0"/>
    </xf>
    <xf numFmtId="0" fontId="29" fillId="0" borderId="1" xfId="0" applyFont="1" applyBorder="1" applyAlignment="1" applyProtection="1">
      <alignment horizontal="center"/>
      <protection locked="0"/>
    </xf>
    <xf numFmtId="0" fontId="35" fillId="0" borderId="0" xfId="0" applyFont="1" applyProtection="1">
      <protection locked="0"/>
    </xf>
    <xf numFmtId="2" fontId="35" fillId="0" borderId="0" xfId="0" applyNumberFormat="1" applyFont="1" applyProtection="1">
      <protection locked="0"/>
    </xf>
    <xf numFmtId="0" fontId="4" fillId="0" borderId="0" xfId="0" applyFont="1" applyProtection="1">
      <protection locked="0"/>
    </xf>
    <xf numFmtId="0" fontId="36" fillId="0" borderId="2" xfId="0" applyFont="1" applyBorder="1" applyAlignment="1" applyProtection="1">
      <alignment horizontal="center"/>
      <protection locked="0"/>
    </xf>
    <xf numFmtId="2" fontId="37" fillId="0" borderId="2" xfId="0" applyNumberFormat="1" applyFont="1" applyBorder="1" applyAlignment="1" applyProtection="1">
      <alignment horizontal="center"/>
      <protection hidden="1"/>
    </xf>
    <xf numFmtId="0" fontId="4" fillId="0" borderId="2" xfId="0" applyFont="1" applyBorder="1" applyAlignment="1" applyProtection="1">
      <alignment horizontal="center"/>
      <protection hidden="1"/>
    </xf>
    <xf numFmtId="0" fontId="37" fillId="0" borderId="14" xfId="0" applyFont="1" applyBorder="1" applyAlignment="1" applyProtection="1">
      <alignment horizontal="center"/>
      <protection hidden="1"/>
    </xf>
    <xf numFmtId="0" fontId="34" fillId="0" borderId="0" xfId="0" applyFont="1" applyProtection="1">
      <protection hidden="1"/>
    </xf>
    <xf numFmtId="0" fontId="4" fillId="0" borderId="1" xfId="0" applyFont="1" applyBorder="1" applyProtection="1">
      <protection hidden="1"/>
    </xf>
    <xf numFmtId="0" fontId="38" fillId="0" borderId="2" xfId="0" applyFont="1" applyBorder="1" applyProtection="1">
      <protection hidden="1"/>
    </xf>
    <xf numFmtId="0" fontId="4" fillId="0" borderId="59" xfId="0" applyFont="1" applyBorder="1" applyProtection="1">
      <protection hidden="1"/>
    </xf>
    <xf numFmtId="0" fontId="4" fillId="0" borderId="0" xfId="0" applyFont="1" applyAlignment="1" applyProtection="1">
      <alignment horizontal="center"/>
      <protection hidden="1"/>
    </xf>
    <xf numFmtId="2" fontId="39" fillId="0" borderId="0" xfId="0" applyNumberFormat="1" applyFont="1" applyAlignment="1" applyProtection="1">
      <alignment horizontal="center"/>
      <protection hidden="1"/>
    </xf>
    <xf numFmtId="2" fontId="37" fillId="0" borderId="20" xfId="0" applyNumberFormat="1" applyFont="1" applyBorder="1" applyAlignment="1" applyProtection="1">
      <alignment horizontal="center"/>
      <protection hidden="1"/>
    </xf>
    <xf numFmtId="0" fontId="4" fillId="0" borderId="20" xfId="0" applyFont="1" applyBorder="1" applyAlignment="1" applyProtection="1">
      <alignment horizontal="center"/>
      <protection hidden="1"/>
    </xf>
    <xf numFmtId="0" fontId="37" fillId="0" borderId="2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38" fillId="0" borderId="0" xfId="0" applyFont="1" applyProtection="1">
      <protection hidden="1"/>
    </xf>
    <xf numFmtId="0" fontId="37" fillId="0" borderId="20" xfId="0" applyFont="1" applyBorder="1" applyProtection="1">
      <protection locked="0" hidden="1"/>
    </xf>
    <xf numFmtId="0" fontId="39" fillId="0" borderId="52" xfId="0" applyFont="1" applyBorder="1" applyAlignment="1" applyProtection="1">
      <alignment horizontal="center"/>
      <protection locked="0" hidden="1"/>
    </xf>
    <xf numFmtId="0" fontId="37" fillId="0" borderId="21" xfId="0" applyFont="1" applyBorder="1" applyProtection="1">
      <protection locked="0" hidden="1"/>
    </xf>
    <xf numFmtId="0" fontId="30" fillId="0" borderId="0" xfId="0" applyFont="1" applyProtection="1">
      <protection locked="0"/>
    </xf>
    <xf numFmtId="2" fontId="27" fillId="0" borderId="0" xfId="0" applyNumberFormat="1" applyFont="1" applyProtection="1">
      <protection locked="0"/>
    </xf>
    <xf numFmtId="0" fontId="27" fillId="0" borderId="0" xfId="0" applyFont="1" applyProtection="1">
      <protection locked="0"/>
    </xf>
    <xf numFmtId="0" fontId="34" fillId="0" borderId="37" xfId="0" applyFont="1" applyBorder="1" applyProtection="1">
      <protection locked="0"/>
    </xf>
    <xf numFmtId="2" fontId="4" fillId="0" borderId="0" xfId="0" applyNumberFormat="1" applyFont="1" applyProtection="1">
      <protection locked="0"/>
    </xf>
    <xf numFmtId="0" fontId="27" fillId="0" borderId="1" xfId="0" applyFont="1" applyBorder="1" applyAlignment="1" applyProtection="1">
      <alignment horizontal="center"/>
      <protection hidden="1"/>
    </xf>
    <xf numFmtId="0" fontId="29" fillId="0" borderId="2" xfId="0" applyFont="1" applyBorder="1" applyAlignment="1" applyProtection="1">
      <alignment horizontal="center"/>
      <protection locked="0"/>
    </xf>
    <xf numFmtId="0" fontId="29" fillId="0" borderId="47" xfId="0" applyFont="1" applyBorder="1" applyProtection="1">
      <protection hidden="1"/>
    </xf>
    <xf numFmtId="1" fontId="4" fillId="0" borderId="47" xfId="0" applyNumberFormat="1" applyFont="1" applyBorder="1" applyAlignment="1" applyProtection="1">
      <alignment horizontal="center"/>
      <protection hidden="1"/>
    </xf>
    <xf numFmtId="1" fontId="34" fillId="0" borderId="69" xfId="0" applyNumberFormat="1" applyFont="1" applyBorder="1" applyAlignment="1" applyProtection="1">
      <alignment horizontal="center"/>
      <protection locked="0"/>
    </xf>
    <xf numFmtId="1" fontId="34" fillId="0" borderId="221" xfId="0" applyNumberFormat="1" applyFont="1" applyBorder="1" applyAlignment="1" applyProtection="1">
      <alignment horizontal="center"/>
      <protection locked="0"/>
    </xf>
    <xf numFmtId="1" fontId="34" fillId="0" borderId="66" xfId="0" applyNumberFormat="1" applyFont="1" applyBorder="1" applyAlignment="1" applyProtection="1">
      <alignment horizontal="center"/>
      <protection locked="0"/>
    </xf>
    <xf numFmtId="1" fontId="34" fillId="0" borderId="67" xfId="0" applyNumberFormat="1" applyFont="1" applyBorder="1" applyAlignment="1" applyProtection="1">
      <alignment horizontal="center"/>
      <protection locked="0"/>
    </xf>
    <xf numFmtId="0" fontId="29" fillId="0" borderId="125" xfId="0" applyFont="1" applyBorder="1" applyProtection="1">
      <protection hidden="1"/>
    </xf>
    <xf numFmtId="0" fontId="34" fillId="0" borderId="125" xfId="0" applyFont="1" applyBorder="1" applyAlignment="1" applyProtection="1">
      <alignment horizontal="center"/>
      <protection hidden="1"/>
    </xf>
    <xf numFmtId="1" fontId="34" fillId="0" borderId="160" xfId="0" applyNumberFormat="1" applyFont="1" applyBorder="1" applyAlignment="1" applyProtection="1">
      <alignment horizontal="center"/>
      <protection locked="0"/>
    </xf>
    <xf numFmtId="1" fontId="34" fillId="0" borderId="213" xfId="0" applyNumberFormat="1" applyFont="1" applyBorder="1" applyAlignment="1" applyProtection="1">
      <alignment horizontal="center"/>
      <protection locked="0"/>
    </xf>
    <xf numFmtId="1" fontId="34" fillId="0" borderId="210" xfId="0" applyNumberFormat="1" applyFont="1" applyBorder="1" applyAlignment="1" applyProtection="1">
      <alignment horizontal="center"/>
      <protection locked="0"/>
    </xf>
    <xf numFmtId="1" fontId="34" fillId="0" borderId="162" xfId="0" applyNumberFormat="1" applyFont="1" applyBorder="1" applyAlignment="1" applyProtection="1">
      <alignment horizontal="center"/>
      <protection locked="0"/>
    </xf>
    <xf numFmtId="1" fontId="34" fillId="0" borderId="83" xfId="0" applyNumberFormat="1" applyFont="1" applyBorder="1" applyAlignment="1" applyProtection="1">
      <alignment horizontal="center"/>
      <protection locked="0"/>
    </xf>
    <xf numFmtId="1" fontId="34" fillId="0" borderId="222" xfId="0" applyNumberFormat="1" applyFont="1" applyBorder="1" applyAlignment="1" applyProtection="1">
      <alignment horizontal="center"/>
      <protection locked="0"/>
    </xf>
    <xf numFmtId="1" fontId="34" fillId="0" borderId="80" xfId="0" applyNumberFormat="1" applyFont="1" applyBorder="1" applyAlignment="1" applyProtection="1">
      <alignment horizontal="center"/>
      <protection locked="0"/>
    </xf>
    <xf numFmtId="1" fontId="34" fillId="0" borderId="81" xfId="0" applyNumberFormat="1" applyFont="1" applyBorder="1" applyAlignment="1" applyProtection="1">
      <alignment horizontal="center"/>
      <protection locked="0"/>
    </xf>
    <xf numFmtId="0" fontId="29" fillId="0" borderId="13" xfId="0" applyFont="1" applyBorder="1" applyProtection="1">
      <protection hidden="1"/>
    </xf>
    <xf numFmtId="1" fontId="4" fillId="0" borderId="41" xfId="0" applyNumberFormat="1" applyFont="1" applyBorder="1" applyAlignment="1" applyProtection="1">
      <alignment horizontal="center"/>
      <protection hidden="1"/>
    </xf>
    <xf numFmtId="1" fontId="4" fillId="0" borderId="12" xfId="0" applyNumberFormat="1" applyFont="1" applyBorder="1" applyAlignment="1" applyProtection="1">
      <alignment horizontal="center"/>
      <protection hidden="1"/>
    </xf>
    <xf numFmtId="0" fontId="29" fillId="0" borderId="34" xfId="0" applyFont="1" applyBorder="1" applyProtection="1">
      <protection hidden="1"/>
    </xf>
    <xf numFmtId="0" fontId="34" fillId="0" borderId="34" xfId="0" applyFont="1" applyBorder="1" applyAlignment="1" applyProtection="1">
      <alignment horizontal="center"/>
      <protection hidden="1"/>
    </xf>
    <xf numFmtId="1" fontId="34" fillId="0" borderId="74" xfId="0" applyNumberFormat="1" applyFont="1" applyBorder="1" applyAlignment="1" applyProtection="1">
      <alignment horizontal="center"/>
      <protection locked="0"/>
    </xf>
    <xf numFmtId="1" fontId="34" fillId="0" borderId="223" xfId="0" applyNumberFormat="1" applyFont="1" applyBorder="1" applyAlignment="1" applyProtection="1">
      <alignment horizontal="center"/>
      <protection locked="0"/>
    </xf>
    <xf numFmtId="1" fontId="34" fillId="0" borderId="71" xfId="0" applyNumberFormat="1" applyFont="1" applyBorder="1" applyAlignment="1" applyProtection="1">
      <alignment horizontal="center"/>
      <protection locked="0"/>
    </xf>
    <xf numFmtId="1" fontId="34" fillId="0" borderId="72" xfId="0" applyNumberFormat="1" applyFont="1" applyBorder="1" applyAlignment="1" applyProtection="1">
      <alignment horizontal="center"/>
      <protection locked="0"/>
    </xf>
    <xf numFmtId="0" fontId="29" fillId="0" borderId="20" xfId="0" applyFont="1" applyBorder="1" applyAlignment="1" applyProtection="1">
      <alignment horizontal="center" vertical="center"/>
      <protection hidden="1"/>
    </xf>
    <xf numFmtId="0" fontId="27" fillId="0" borderId="20" xfId="0" applyFont="1" applyBorder="1" applyAlignment="1" applyProtection="1">
      <alignment horizontal="left" vertical="center"/>
      <protection hidden="1"/>
    </xf>
    <xf numFmtId="0" fontId="27" fillId="0" borderId="20" xfId="0" applyFont="1" applyBorder="1" applyAlignment="1" applyProtection="1">
      <alignment horizontal="center" vertical="center"/>
      <protection hidden="1"/>
    </xf>
    <xf numFmtId="0" fontId="27" fillId="0" borderId="2" xfId="0" applyFont="1" applyBorder="1" applyAlignment="1" applyProtection="1">
      <alignment horizontal="center"/>
      <protection hidden="1"/>
    </xf>
    <xf numFmtId="0" fontId="29" fillId="0" borderId="99" xfId="0" applyFont="1" applyBorder="1" applyProtection="1">
      <protection hidden="1"/>
    </xf>
    <xf numFmtId="2" fontId="36" fillId="0" borderId="104" xfId="0" applyNumberFormat="1" applyFont="1" applyBorder="1" applyAlignment="1" applyProtection="1">
      <alignment horizontal="center" vertical="center"/>
      <protection hidden="1"/>
    </xf>
    <xf numFmtId="2" fontId="40" fillId="0" borderId="116" xfId="0" applyNumberFormat="1" applyFont="1" applyBorder="1" applyAlignment="1" applyProtection="1">
      <alignment horizontal="center" vertical="center"/>
      <protection hidden="1"/>
    </xf>
    <xf numFmtId="0" fontId="27" fillId="0" borderId="216" xfId="0" applyFont="1" applyBorder="1" applyAlignment="1" applyProtection="1">
      <alignment horizontal="left" vertical="center"/>
      <protection hidden="1"/>
    </xf>
    <xf numFmtId="0" fontId="27" fillId="0" borderId="216" xfId="0" applyFont="1" applyBorder="1" applyAlignment="1" applyProtection="1">
      <alignment horizontal="center" vertical="center"/>
      <protection hidden="1"/>
    </xf>
    <xf numFmtId="0" fontId="41" fillId="0" borderId="217" xfId="0" applyFont="1" applyBorder="1" applyAlignment="1" applyProtection="1">
      <alignment horizontal="center" vertical="center"/>
      <protection hidden="1"/>
    </xf>
    <xf numFmtId="1" fontId="27" fillId="0" borderId="56" xfId="0" applyNumberFormat="1" applyFont="1" applyBorder="1" applyAlignment="1" applyProtection="1">
      <alignment horizontal="center" vertical="center"/>
      <protection locked="0"/>
    </xf>
    <xf numFmtId="1" fontId="27" fillId="0" borderId="92" xfId="0" applyNumberFormat="1" applyFont="1" applyBorder="1" applyAlignment="1" applyProtection="1">
      <alignment horizontal="center" vertical="center"/>
      <protection locked="0"/>
    </xf>
    <xf numFmtId="0" fontId="41" fillId="0" borderId="1" xfId="0" applyFont="1" applyBorder="1" applyAlignment="1" applyProtection="1">
      <alignment horizontal="left" vertical="center"/>
      <protection hidden="1"/>
    </xf>
    <xf numFmtId="0" fontId="41" fillId="0" borderId="2" xfId="0" applyFont="1" applyBorder="1" applyAlignment="1" applyProtection="1">
      <alignment horizontal="center" vertical="center"/>
      <protection hidden="1"/>
    </xf>
    <xf numFmtId="2" fontId="41" fillId="0" borderId="59" xfId="0" applyNumberFormat="1" applyFont="1" applyBorder="1" applyAlignment="1" applyProtection="1">
      <alignment horizontal="center" vertical="center"/>
      <protection hidden="1"/>
    </xf>
    <xf numFmtId="0" fontId="34" fillId="0" borderId="0" xfId="0" applyFont="1" applyAlignment="1" applyProtection="1">
      <alignment vertical="center"/>
      <protection locked="0"/>
    </xf>
    <xf numFmtId="0" fontId="0" fillId="0" borderId="0" xfId="0" applyAlignment="1">
      <alignment vertical="center"/>
    </xf>
    <xf numFmtId="0" fontId="32" fillId="0" borderId="1" xfId="0" applyFont="1" applyBorder="1" applyAlignment="1" applyProtection="1">
      <alignment horizontal="center" vertical="center"/>
      <protection hidden="1"/>
    </xf>
    <xf numFmtId="167" fontId="34" fillId="0" borderId="0" xfId="0" applyNumberFormat="1" applyFont="1" applyProtection="1">
      <protection locked="0"/>
    </xf>
    <xf numFmtId="0" fontId="41" fillId="0" borderId="0" xfId="0" applyFont="1" applyAlignment="1" applyProtection="1">
      <alignment horizontal="left" vertical="center"/>
      <protection hidden="1"/>
    </xf>
    <xf numFmtId="0" fontId="41" fillId="0" borderId="0" xfId="0" applyFont="1" applyAlignment="1" applyProtection="1">
      <alignment horizontal="center" vertical="center"/>
      <protection hidden="1"/>
    </xf>
    <xf numFmtId="168" fontId="42" fillId="0" borderId="0" xfId="0" applyNumberFormat="1" applyFont="1" applyProtection="1">
      <protection hidden="1"/>
    </xf>
    <xf numFmtId="174" fontId="42" fillId="0" borderId="0" xfId="2" applyNumberFormat="1" applyFont="1" applyFill="1" applyBorder="1" applyProtection="1">
      <protection hidden="1"/>
    </xf>
    <xf numFmtId="0" fontId="34" fillId="0" borderId="0" xfId="0" applyFont="1" applyAlignment="1" applyProtection="1">
      <alignment horizontal="left"/>
      <protection locked="0"/>
    </xf>
    <xf numFmtId="0" fontId="4" fillId="0" borderId="0" xfId="0" applyFont="1" applyAlignment="1" applyProtection="1">
      <alignment horizontal="center"/>
      <protection locked="0"/>
    </xf>
    <xf numFmtId="0" fontId="34" fillId="0" borderId="0" xfId="0" applyFont="1" applyAlignment="1" applyProtection="1">
      <alignment horizontal="center"/>
      <protection locked="0"/>
    </xf>
    <xf numFmtId="0" fontId="27" fillId="0" borderId="2" xfId="0" applyFont="1" applyBorder="1" applyAlignment="1" applyProtection="1">
      <alignment horizontal="center" vertical="center"/>
      <protection hidden="1"/>
    </xf>
    <xf numFmtId="0" fontId="40" fillId="0" borderId="116" xfId="0" applyFont="1" applyBorder="1" applyAlignment="1" applyProtection="1">
      <alignment horizontal="center" vertical="center"/>
      <protection hidden="1"/>
    </xf>
    <xf numFmtId="0" fontId="40" fillId="0" borderId="111" xfId="0" applyFont="1" applyBorder="1" applyAlignment="1" applyProtection="1">
      <alignment horizontal="center" vertical="center"/>
      <protection hidden="1"/>
    </xf>
    <xf numFmtId="43" fontId="41" fillId="0" borderId="0" xfId="0" applyNumberFormat="1" applyFont="1" applyAlignment="1" applyProtection="1">
      <alignment horizontal="center" vertical="center"/>
      <protection hidden="1"/>
    </xf>
    <xf numFmtId="0" fontId="4" fillId="0" borderId="24" xfId="0" applyFont="1" applyBorder="1" applyAlignment="1" applyProtection="1">
      <alignment horizontal="center"/>
      <protection hidden="1"/>
    </xf>
    <xf numFmtId="0" fontId="4" fillId="0" borderId="125" xfId="0" applyFont="1" applyBorder="1" applyAlignment="1" applyProtection="1">
      <alignment horizontal="center"/>
      <protection hidden="1"/>
    </xf>
    <xf numFmtId="2" fontId="43" fillId="0" borderId="116" xfId="0" applyNumberFormat="1" applyFont="1" applyBorder="1" applyAlignment="1" applyProtection="1">
      <alignment horizontal="center" vertical="center"/>
      <protection hidden="1"/>
    </xf>
    <xf numFmtId="167" fontId="34" fillId="0" borderId="160" xfId="0" applyNumberFormat="1" applyFont="1" applyBorder="1" applyAlignment="1" applyProtection="1">
      <alignment horizontal="center"/>
      <protection locked="0"/>
    </xf>
    <xf numFmtId="167" fontId="34" fillId="0" borderId="224" xfId="0" applyNumberFormat="1" applyFont="1" applyBorder="1" applyAlignment="1" applyProtection="1">
      <alignment horizontal="center"/>
      <protection locked="0"/>
    </xf>
    <xf numFmtId="167" fontId="34" fillId="0" borderId="210" xfId="0" applyNumberFormat="1" applyFont="1" applyBorder="1" applyAlignment="1" applyProtection="1">
      <alignment horizontal="center"/>
      <protection locked="0"/>
    </xf>
    <xf numFmtId="167" fontId="34" fillId="0" borderId="74" xfId="0" applyNumberFormat="1" applyFont="1" applyBorder="1" applyAlignment="1" applyProtection="1">
      <alignment horizontal="center"/>
      <protection locked="0"/>
    </xf>
    <xf numFmtId="167" fontId="34" fillId="0" borderId="223" xfId="0" applyNumberFormat="1" applyFont="1" applyBorder="1" applyAlignment="1" applyProtection="1">
      <alignment horizontal="center"/>
      <protection locked="0"/>
    </xf>
    <xf numFmtId="167" fontId="34" fillId="0" borderId="71" xfId="0" applyNumberFormat="1" applyFont="1" applyBorder="1" applyAlignment="1" applyProtection="1">
      <alignment horizontal="center"/>
      <protection locked="0"/>
    </xf>
    <xf numFmtId="167" fontId="27" fillId="0" borderId="56" xfId="0" applyNumberFormat="1" applyFont="1" applyBorder="1" applyAlignment="1" applyProtection="1">
      <alignment horizontal="center" vertical="center"/>
      <protection locked="0"/>
    </xf>
    <xf numFmtId="167" fontId="27" fillId="0" borderId="92" xfId="0" applyNumberFormat="1" applyFont="1" applyBorder="1" applyAlignment="1" applyProtection="1">
      <alignment horizontal="center" vertical="center"/>
      <protection locked="0"/>
    </xf>
    <xf numFmtId="167" fontId="34" fillId="0" borderId="88" xfId="0" applyNumberFormat="1" applyFont="1" applyBorder="1" applyAlignment="1" applyProtection="1">
      <alignment horizontal="center"/>
      <protection locked="0"/>
    </xf>
    <xf numFmtId="167" fontId="34" fillId="0" borderId="91" xfId="0" applyNumberFormat="1" applyFont="1" applyBorder="1" applyAlignment="1" applyProtection="1">
      <alignment horizontal="center"/>
      <protection locked="0"/>
    </xf>
    <xf numFmtId="167" fontId="34" fillId="0" borderId="75" xfId="0" applyNumberFormat="1" applyFont="1" applyBorder="1" applyAlignment="1" applyProtection="1">
      <alignment horizontal="center"/>
      <protection locked="0"/>
    </xf>
    <xf numFmtId="179" fontId="41" fillId="0" borderId="59" xfId="2" applyNumberFormat="1" applyFont="1" applyFill="1" applyBorder="1" applyAlignment="1" applyProtection="1">
      <alignment horizontal="center" vertical="center"/>
      <protection hidden="1"/>
    </xf>
    <xf numFmtId="182" fontId="41" fillId="0" borderId="59" xfId="0" applyNumberFormat="1" applyFont="1" applyBorder="1" applyAlignment="1" applyProtection="1">
      <alignment horizontal="center" vertical="center"/>
      <protection hidden="1"/>
    </xf>
    <xf numFmtId="1" fontId="20" fillId="0" borderId="91" xfId="1" applyNumberFormat="1" applyFont="1" applyFill="1" applyBorder="1" applyAlignment="1"/>
    <xf numFmtId="178" fontId="0" fillId="0" borderId="0" xfId="0" applyNumberFormat="1"/>
    <xf numFmtId="0" fontId="27" fillId="0" borderId="1" xfId="0" applyFont="1" applyBorder="1" applyAlignment="1" applyProtection="1">
      <alignment horizontal="center" vertical="center"/>
      <protection locked="0"/>
    </xf>
    <xf numFmtId="0" fontId="29" fillId="2" borderId="76" xfId="0" applyFont="1" applyFill="1" applyBorder="1" applyAlignment="1" applyProtection="1">
      <alignment horizontal="center" vertical="center"/>
      <protection hidden="1"/>
    </xf>
    <xf numFmtId="0" fontId="29" fillId="6" borderId="77" xfId="0" applyFont="1" applyFill="1" applyBorder="1" applyAlignment="1" applyProtection="1">
      <alignment horizontal="center" vertical="center"/>
      <protection hidden="1"/>
    </xf>
    <xf numFmtId="167" fontId="29" fillId="3" borderId="18" xfId="1" applyNumberFormat="1" applyFont="1" applyFill="1" applyBorder="1" applyAlignment="1" applyProtection="1">
      <alignment vertical="center"/>
      <protection hidden="1"/>
    </xf>
    <xf numFmtId="2" fontId="0" fillId="0" borderId="0" xfId="0" applyNumberFormat="1" applyAlignment="1">
      <alignment wrapText="1"/>
    </xf>
    <xf numFmtId="0" fontId="0" fillId="0" borderId="43" xfId="0" applyBorder="1"/>
    <xf numFmtId="0" fontId="46" fillId="0" borderId="0" xfId="0" applyFont="1"/>
    <xf numFmtId="0" fontId="13" fillId="0" borderId="1" xfId="0" applyFont="1" applyBorder="1" applyProtection="1">
      <protection hidden="1"/>
    </xf>
    <xf numFmtId="166" fontId="47" fillId="0" borderId="59" xfId="0" applyNumberFormat="1" applyFont="1" applyBorder="1" applyAlignment="1" applyProtection="1">
      <alignment horizontal="left"/>
      <protection hidden="1"/>
    </xf>
    <xf numFmtId="1" fontId="48" fillId="0" borderId="0" xfId="0" applyNumberFormat="1" applyFont="1" applyProtection="1">
      <protection hidden="1"/>
    </xf>
    <xf numFmtId="0" fontId="3" fillId="3" borderId="5" xfId="0" applyFont="1" applyFill="1" applyBorder="1" applyAlignment="1" applyProtection="1">
      <alignment horizontal="right"/>
      <protection hidden="1"/>
    </xf>
    <xf numFmtId="2" fontId="4" fillId="3" borderId="5" xfId="0" applyNumberFormat="1" applyFont="1" applyFill="1" applyBorder="1" applyAlignment="1" applyProtection="1">
      <alignment horizontal="right"/>
      <protection hidden="1"/>
    </xf>
    <xf numFmtId="0" fontId="50" fillId="3" borderId="5" xfId="0" applyFont="1" applyFill="1" applyBorder="1" applyAlignment="1" applyProtection="1">
      <alignment horizontal="center"/>
      <protection hidden="1"/>
    </xf>
    <xf numFmtId="167" fontId="3" fillId="3" borderId="6" xfId="1" applyNumberFormat="1" applyFont="1" applyFill="1" applyBorder="1" applyAlignment="1" applyProtection="1">
      <alignment horizontal="center"/>
      <protection hidden="1"/>
    </xf>
    <xf numFmtId="0" fontId="3" fillId="3" borderId="15" xfId="0" applyFont="1" applyFill="1" applyBorder="1" applyAlignment="1" applyProtection="1">
      <alignment horizontal="left" vertical="center"/>
      <protection hidden="1"/>
    </xf>
    <xf numFmtId="0" fontId="3" fillId="3" borderId="16" xfId="0" applyFont="1" applyFill="1" applyBorder="1" applyAlignment="1" applyProtection="1">
      <alignment vertical="center"/>
      <protection hidden="1"/>
    </xf>
    <xf numFmtId="0" fontId="3" fillId="3" borderId="0" xfId="0" applyFont="1" applyFill="1" applyAlignment="1" applyProtection="1">
      <alignment horizontal="right" vertical="center"/>
      <protection hidden="1"/>
    </xf>
    <xf numFmtId="2" fontId="4" fillId="3" borderId="0" xfId="0" applyNumberFormat="1" applyFont="1" applyFill="1" applyAlignment="1" applyProtection="1">
      <alignment horizontal="right" vertical="center"/>
      <protection hidden="1"/>
    </xf>
    <xf numFmtId="0" fontId="4" fillId="2" borderId="76" xfId="0" applyFont="1" applyFill="1" applyBorder="1" applyAlignment="1" applyProtection="1">
      <alignment horizontal="center" vertical="center"/>
      <protection hidden="1"/>
    </xf>
    <xf numFmtId="167" fontId="3" fillId="3" borderId="17" xfId="1" applyNumberFormat="1" applyFont="1" applyFill="1" applyBorder="1" applyAlignment="1" applyProtection="1">
      <alignment vertical="center"/>
      <protection hidden="1"/>
    </xf>
    <xf numFmtId="10" fontId="15" fillId="3" borderId="13" xfId="2" applyNumberFormat="1" applyFont="1" applyFill="1" applyBorder="1" applyAlignment="1" applyProtection="1">
      <alignment horizontal="right"/>
      <protection hidden="1"/>
    </xf>
    <xf numFmtId="2" fontId="34" fillId="3" borderId="36" xfId="2" applyNumberFormat="1" applyFont="1" applyFill="1" applyBorder="1" applyAlignment="1" applyProtection="1">
      <alignment horizontal="right"/>
      <protection hidden="1"/>
    </xf>
    <xf numFmtId="0" fontId="4" fillId="3" borderId="13" xfId="0" applyFont="1" applyFill="1" applyBorder="1" applyAlignment="1" applyProtection="1">
      <alignment horizontal="center"/>
      <protection hidden="1"/>
    </xf>
    <xf numFmtId="167" fontId="3" fillId="3" borderId="65" xfId="1" applyNumberFormat="1" applyFont="1" applyFill="1" applyBorder="1" applyAlignment="1" applyProtection="1">
      <alignment horizontal="center"/>
      <protection hidden="1"/>
    </xf>
    <xf numFmtId="1" fontId="4" fillId="3" borderId="95" xfId="0" applyNumberFormat="1" applyFont="1" applyFill="1" applyBorder="1" applyAlignment="1" applyProtection="1">
      <alignment horizontal="center"/>
      <protection hidden="1"/>
    </xf>
    <xf numFmtId="1" fontId="4" fillId="3" borderId="96" xfId="0" applyNumberFormat="1" applyFont="1" applyFill="1" applyBorder="1" applyAlignment="1" applyProtection="1">
      <alignment horizontal="center"/>
      <protection hidden="1"/>
    </xf>
    <xf numFmtId="1" fontId="4" fillId="3" borderId="97" xfId="0" applyNumberFormat="1" applyFont="1" applyFill="1" applyBorder="1" applyAlignment="1" applyProtection="1">
      <alignment horizontal="center"/>
      <protection hidden="1"/>
    </xf>
    <xf numFmtId="1" fontId="4" fillId="3" borderId="98" xfId="0" applyNumberFormat="1" applyFont="1" applyFill="1" applyBorder="1" applyAlignment="1" applyProtection="1">
      <alignment horizontal="center"/>
      <protection hidden="1"/>
    </xf>
    <xf numFmtId="0" fontId="51" fillId="19" borderId="65" xfId="0" applyFont="1" applyFill="1" applyBorder="1" applyProtection="1">
      <protection hidden="1"/>
    </xf>
    <xf numFmtId="0" fontId="52" fillId="3" borderId="13" xfId="0" applyFont="1" applyFill="1" applyBorder="1" applyAlignment="1" applyProtection="1">
      <alignment horizontal="right"/>
      <protection hidden="1"/>
    </xf>
    <xf numFmtId="2" fontId="34" fillId="3" borderId="65" xfId="0" applyNumberFormat="1" applyFont="1" applyFill="1" applyBorder="1" applyAlignment="1" applyProtection="1">
      <alignment horizontal="right"/>
      <protection hidden="1"/>
    </xf>
    <xf numFmtId="2" fontId="34" fillId="3" borderId="13" xfId="0" applyNumberFormat="1" applyFont="1" applyFill="1" applyBorder="1" applyAlignment="1" applyProtection="1">
      <alignment horizontal="right"/>
      <protection hidden="1"/>
    </xf>
    <xf numFmtId="2" fontId="26" fillId="3" borderId="13" xfId="0" applyNumberFormat="1" applyFont="1" applyFill="1" applyBorder="1" applyAlignment="1" applyProtection="1">
      <alignment horizontal="center" vertical="center"/>
      <protection hidden="1"/>
    </xf>
    <xf numFmtId="2" fontId="53" fillId="2" borderId="200" xfId="0" applyNumberFormat="1" applyFont="1" applyFill="1" applyBorder="1" applyProtection="1">
      <protection locked="0"/>
    </xf>
    <xf numFmtId="2" fontId="53" fillId="13" borderId="201" xfId="0" applyNumberFormat="1" applyFont="1" applyFill="1" applyBorder="1" applyProtection="1">
      <protection locked="0"/>
    </xf>
    <xf numFmtId="2" fontId="53" fillId="2" borderId="202" xfId="0" applyNumberFormat="1" applyFont="1" applyFill="1" applyBorder="1" applyProtection="1">
      <protection locked="0"/>
    </xf>
    <xf numFmtId="0" fontId="34" fillId="3" borderId="100" xfId="0" applyFont="1" applyFill="1" applyBorder="1" applyAlignment="1" applyProtection="1">
      <alignment horizontal="left"/>
      <protection hidden="1"/>
    </xf>
    <xf numFmtId="0" fontId="34" fillId="3" borderId="99" xfId="0" applyFont="1" applyFill="1" applyBorder="1" applyAlignment="1" applyProtection="1">
      <alignment horizontal="right"/>
      <protection hidden="1"/>
    </xf>
    <xf numFmtId="2" fontId="34" fillId="3" borderId="99" xfId="0" applyNumberFormat="1" applyFont="1" applyFill="1" applyBorder="1" applyAlignment="1" applyProtection="1">
      <alignment horizontal="right"/>
      <protection hidden="1"/>
    </xf>
    <xf numFmtId="2" fontId="28" fillId="3" borderId="99" xfId="0" applyNumberFormat="1" applyFont="1" applyFill="1" applyBorder="1" applyAlignment="1" applyProtection="1">
      <alignment horizontal="center" vertical="center"/>
      <protection hidden="1"/>
    </xf>
    <xf numFmtId="2" fontId="53" fillId="2" borderId="203" xfId="0" applyNumberFormat="1" applyFont="1" applyFill="1" applyBorder="1" applyProtection="1">
      <protection locked="0"/>
    </xf>
    <xf numFmtId="2" fontId="53" fillId="13" borderId="204" xfId="0" applyNumberFormat="1" applyFont="1" applyFill="1" applyBorder="1" applyProtection="1">
      <protection locked="0"/>
    </xf>
    <xf numFmtId="2" fontId="53" fillId="2" borderId="205" xfId="0" applyNumberFormat="1" applyFont="1" applyFill="1" applyBorder="1" applyProtection="1">
      <protection locked="0"/>
    </xf>
    <xf numFmtId="0" fontId="34" fillId="3" borderId="100" xfId="0" applyFont="1" applyFill="1" applyBorder="1" applyProtection="1">
      <protection hidden="1"/>
    </xf>
    <xf numFmtId="0" fontId="34" fillId="5" borderId="104" xfId="0" applyFont="1" applyFill="1" applyBorder="1"/>
    <xf numFmtId="0" fontId="34" fillId="5" borderId="99" xfId="0" applyFont="1" applyFill="1" applyBorder="1" applyAlignment="1">
      <alignment horizontal="right"/>
    </xf>
    <xf numFmtId="2" fontId="34" fillId="5" borderId="99" xfId="0" applyNumberFormat="1" applyFont="1" applyFill="1" applyBorder="1" applyAlignment="1">
      <alignment horizontal="right"/>
    </xf>
    <xf numFmtId="2" fontId="28" fillId="5" borderId="99" xfId="0" applyNumberFormat="1" applyFont="1" applyFill="1" applyBorder="1" applyAlignment="1">
      <alignment horizontal="center" vertical="center"/>
    </xf>
    <xf numFmtId="2" fontId="53" fillId="2" borderId="101" xfId="0" applyNumberFormat="1" applyFont="1" applyFill="1" applyBorder="1" applyProtection="1">
      <protection locked="0"/>
    </xf>
    <xf numFmtId="2" fontId="53" fillId="13" borderId="102" xfId="0" applyNumberFormat="1" applyFont="1" applyFill="1" applyBorder="1" applyProtection="1">
      <protection locked="0"/>
    </xf>
    <xf numFmtId="2" fontId="53" fillId="2" borderId="103" xfId="0" applyNumberFormat="1" applyFont="1" applyFill="1" applyBorder="1" applyProtection="1">
      <protection locked="0"/>
    </xf>
    <xf numFmtId="0" fontId="34" fillId="5" borderId="100" xfId="0" applyFont="1" applyFill="1" applyBorder="1"/>
    <xf numFmtId="0" fontId="34" fillId="3" borderId="104" xfId="0" applyFont="1" applyFill="1" applyBorder="1" applyProtection="1">
      <protection hidden="1"/>
    </xf>
    <xf numFmtId="2" fontId="28" fillId="5" borderId="47" xfId="0" applyNumberFormat="1" applyFont="1" applyFill="1" applyBorder="1" applyAlignment="1">
      <alignment horizontal="center" vertical="center"/>
    </xf>
    <xf numFmtId="2" fontId="53" fillId="2" borderId="105" xfId="0" applyNumberFormat="1" applyFont="1" applyFill="1" applyBorder="1" applyProtection="1">
      <protection locked="0"/>
    </xf>
    <xf numFmtId="2" fontId="53" fillId="13" borderId="106" xfId="0" applyNumberFormat="1" applyFont="1" applyFill="1" applyBorder="1" applyProtection="1">
      <protection locked="0"/>
    </xf>
    <xf numFmtId="2" fontId="53" fillId="2" borderId="107" xfId="0" applyNumberFormat="1" applyFont="1" applyFill="1" applyBorder="1" applyProtection="1">
      <protection locked="0"/>
    </xf>
    <xf numFmtId="0" fontId="34" fillId="3" borderId="111" xfId="0" applyFont="1" applyFill="1" applyBorder="1" applyProtection="1">
      <protection hidden="1"/>
    </xf>
    <xf numFmtId="0" fontId="34" fillId="5" borderId="111" xfId="0" applyFont="1" applyFill="1" applyBorder="1"/>
    <xf numFmtId="2" fontId="28" fillId="5" borderId="34" xfId="0" applyNumberFormat="1" applyFont="1" applyFill="1" applyBorder="1" applyAlignment="1">
      <alignment horizontal="center" vertical="center"/>
    </xf>
    <xf numFmtId="2" fontId="53" fillId="2" borderId="112" xfId="0" applyNumberFormat="1" applyFont="1" applyFill="1" applyBorder="1" applyProtection="1">
      <protection locked="0"/>
    </xf>
    <xf numFmtId="2" fontId="53" fillId="13" borderId="113" xfId="0" applyNumberFormat="1" applyFont="1" applyFill="1" applyBorder="1" applyProtection="1">
      <protection locked="0"/>
    </xf>
    <xf numFmtId="2" fontId="53" fillId="2" borderId="114" xfId="0" applyNumberFormat="1" applyFont="1" applyFill="1" applyBorder="1" applyProtection="1">
      <protection locked="0"/>
    </xf>
    <xf numFmtId="0" fontId="34" fillId="3" borderId="65" xfId="0" applyFont="1" applyFill="1" applyBorder="1" applyAlignment="1" applyProtection="1">
      <alignment horizontal="right"/>
      <protection hidden="1"/>
    </xf>
    <xf numFmtId="2" fontId="53" fillId="2" borderId="117" xfId="0" applyNumberFormat="1" applyFont="1" applyFill="1" applyBorder="1" applyProtection="1">
      <protection locked="0"/>
    </xf>
    <xf numFmtId="2" fontId="53" fillId="13" borderId="118" xfId="0" applyNumberFormat="1" applyFont="1" applyFill="1" applyBorder="1" applyProtection="1">
      <protection locked="0"/>
    </xf>
    <xf numFmtId="2" fontId="53" fillId="2" borderId="119" xfId="0" applyNumberFormat="1" applyFont="1" applyFill="1" applyBorder="1" applyProtection="1">
      <protection locked="0"/>
    </xf>
    <xf numFmtId="2" fontId="26" fillId="3" borderId="99" xfId="0" applyNumberFormat="1" applyFont="1" applyFill="1" applyBorder="1" applyAlignment="1" applyProtection="1">
      <alignment horizontal="center" vertical="center"/>
      <protection hidden="1"/>
    </xf>
    <xf numFmtId="0" fontId="34" fillId="3" borderId="52" xfId="0" applyFont="1" applyFill="1" applyBorder="1" applyProtection="1">
      <protection hidden="1"/>
    </xf>
    <xf numFmtId="2" fontId="28" fillId="3" borderId="20" xfId="0" applyNumberFormat="1" applyFont="1" applyFill="1" applyBorder="1" applyAlignment="1" applyProtection="1">
      <alignment horizontal="center" vertical="center"/>
      <protection hidden="1"/>
    </xf>
    <xf numFmtId="2" fontId="53" fillId="2" borderId="84" xfId="0" applyNumberFormat="1" applyFont="1" applyFill="1" applyBorder="1" applyProtection="1">
      <protection locked="0"/>
    </xf>
    <xf numFmtId="2" fontId="53" fillId="13" borderId="85" xfId="0" applyNumberFormat="1" applyFont="1" applyFill="1" applyBorder="1" applyProtection="1">
      <protection locked="0"/>
    </xf>
    <xf numFmtId="2" fontId="53" fillId="2" borderId="87" xfId="0" applyNumberFormat="1" applyFont="1" applyFill="1" applyBorder="1" applyProtection="1">
      <protection locked="0"/>
    </xf>
    <xf numFmtId="0" fontId="34" fillId="3" borderId="13" xfId="0" applyFont="1" applyFill="1" applyBorder="1" applyAlignment="1" applyProtection="1">
      <alignment horizontal="right"/>
      <protection hidden="1"/>
    </xf>
    <xf numFmtId="0" fontId="54" fillId="3" borderId="99" xfId="0" applyFont="1" applyFill="1" applyBorder="1" applyAlignment="1" applyProtection="1">
      <alignment horizontal="right"/>
      <protection hidden="1"/>
    </xf>
    <xf numFmtId="2" fontId="39" fillId="3" borderId="99" xfId="0" applyNumberFormat="1" applyFont="1" applyFill="1" applyBorder="1" applyAlignment="1" applyProtection="1">
      <alignment horizontal="right"/>
      <protection hidden="1"/>
    </xf>
    <xf numFmtId="2" fontId="55" fillId="3" borderId="99" xfId="0" applyNumberFormat="1" applyFont="1" applyFill="1" applyBorder="1" applyAlignment="1" applyProtection="1">
      <alignment horizontal="center" vertical="center"/>
      <protection hidden="1"/>
    </xf>
    <xf numFmtId="0" fontId="34" fillId="5" borderId="52" xfId="0" applyFont="1" applyFill="1" applyBorder="1"/>
    <xf numFmtId="2" fontId="34" fillId="5" borderId="20" xfId="0" applyNumberFormat="1" applyFont="1" applyFill="1" applyBorder="1" applyAlignment="1">
      <alignment horizontal="right"/>
    </xf>
    <xf numFmtId="2" fontId="28" fillId="5" borderId="20" xfId="0" applyNumberFormat="1" applyFont="1" applyFill="1" applyBorder="1" applyAlignment="1">
      <alignment horizontal="center" vertical="center"/>
    </xf>
    <xf numFmtId="2" fontId="29" fillId="3" borderId="42" xfId="0" applyNumberFormat="1" applyFont="1" applyFill="1" applyBorder="1" applyAlignment="1" applyProtection="1">
      <alignment horizontal="center" vertical="center"/>
      <protection hidden="1"/>
    </xf>
    <xf numFmtId="167" fontId="29" fillId="3" borderId="12" xfId="0" applyNumberFormat="1" applyFont="1" applyFill="1" applyBorder="1" applyAlignment="1" applyProtection="1">
      <alignment horizontal="center" vertical="center"/>
      <protection hidden="1"/>
    </xf>
    <xf numFmtId="10" fontId="29" fillId="3" borderId="12" xfId="2" applyNumberFormat="1" applyFont="1" applyFill="1" applyBorder="1" applyAlignment="1" applyProtection="1">
      <alignment horizontal="center" vertical="center"/>
      <protection hidden="1"/>
    </xf>
    <xf numFmtId="2" fontId="29" fillId="3" borderId="48" xfId="0" applyNumberFormat="1" applyFont="1" applyFill="1" applyBorder="1" applyAlignment="1" applyProtection="1">
      <alignment horizontal="center" vertical="center"/>
      <protection hidden="1"/>
    </xf>
    <xf numFmtId="167" fontId="29" fillId="3" borderId="111" xfId="0" applyNumberFormat="1" applyFont="1" applyFill="1" applyBorder="1" applyAlignment="1" applyProtection="1">
      <alignment horizontal="center" vertical="center"/>
      <protection hidden="1"/>
    </xf>
    <xf numFmtId="10" fontId="29" fillId="3" borderId="111" xfId="2" applyNumberFormat="1" applyFont="1" applyFill="1" applyBorder="1" applyAlignment="1" applyProtection="1">
      <alignment horizontal="center" vertical="center"/>
      <protection hidden="1"/>
    </xf>
    <xf numFmtId="2" fontId="29" fillId="3" borderId="21" xfId="0" applyNumberFormat="1" applyFont="1" applyFill="1" applyBorder="1" applyAlignment="1" applyProtection="1">
      <alignment horizontal="center" vertical="center"/>
      <protection hidden="1"/>
    </xf>
    <xf numFmtId="40" fontId="29" fillId="3" borderId="52" xfId="0" applyNumberFormat="1" applyFont="1" applyFill="1" applyBorder="1" applyAlignment="1" applyProtection="1">
      <alignment horizontal="center" vertical="center"/>
      <protection hidden="1"/>
    </xf>
    <xf numFmtId="40" fontId="29" fillId="3" borderId="52" xfId="2" applyNumberFormat="1" applyFont="1" applyFill="1" applyBorder="1" applyAlignment="1" applyProtection="1">
      <alignment horizontal="center" vertical="center"/>
      <protection hidden="1"/>
    </xf>
    <xf numFmtId="0" fontId="26" fillId="3" borderId="1" xfId="0" applyFont="1" applyFill="1" applyBorder="1" applyAlignment="1" applyProtection="1">
      <alignment horizontal="center" vertical="center"/>
      <protection hidden="1"/>
    </xf>
    <xf numFmtId="0" fontId="26" fillId="3" borderId="53" xfId="0" applyFont="1" applyFill="1" applyBorder="1" applyAlignment="1" applyProtection="1">
      <alignment horizontal="center" vertical="center"/>
      <protection hidden="1"/>
    </xf>
    <xf numFmtId="2" fontId="26" fillId="3" borderId="53" xfId="0" applyNumberFormat="1" applyFont="1" applyFill="1" applyBorder="1" applyAlignment="1" applyProtection="1">
      <alignment horizontal="center" vertical="center"/>
      <protection hidden="1"/>
    </xf>
    <xf numFmtId="167" fontId="26" fillId="3" borderId="53" xfId="0" applyNumberFormat="1" applyFont="1" applyFill="1" applyBorder="1" applyAlignment="1" applyProtection="1">
      <alignment horizontal="center" vertical="center"/>
      <protection hidden="1"/>
    </xf>
    <xf numFmtId="10" fontId="26" fillId="3" borderId="59" xfId="2" applyNumberFormat="1" applyFont="1" applyFill="1" applyBorder="1" applyAlignment="1" applyProtection="1">
      <alignment horizontal="center" vertical="center"/>
      <protection hidden="1"/>
    </xf>
    <xf numFmtId="2" fontId="56" fillId="9" borderId="78" xfId="0" applyNumberFormat="1" applyFont="1" applyFill="1" applyBorder="1" applyProtection="1">
      <protection hidden="1"/>
    </xf>
    <xf numFmtId="2" fontId="56" fillId="9" borderId="57" xfId="0" applyNumberFormat="1" applyFont="1" applyFill="1" applyBorder="1" applyProtection="1">
      <protection hidden="1"/>
    </xf>
    <xf numFmtId="2" fontId="56" fillId="9" borderId="56" xfId="0" applyNumberFormat="1" applyFont="1" applyFill="1" applyBorder="1" applyProtection="1">
      <protection hidden="1"/>
    </xf>
    <xf numFmtId="0" fontId="34" fillId="3" borderId="13" xfId="0" applyFont="1" applyFill="1" applyBorder="1" applyProtection="1">
      <protection hidden="1"/>
    </xf>
    <xf numFmtId="0" fontId="34" fillId="3" borderId="13" xfId="0" applyFont="1" applyFill="1" applyBorder="1" applyAlignment="1" applyProtection="1">
      <alignment horizontal="left"/>
      <protection hidden="1"/>
    </xf>
    <xf numFmtId="2" fontId="29" fillId="3" borderId="65" xfId="0" applyNumberFormat="1" applyFont="1" applyFill="1" applyBorder="1" applyAlignment="1" applyProtection="1">
      <alignment horizontal="center"/>
      <protection hidden="1"/>
    </xf>
    <xf numFmtId="0" fontId="34" fillId="3" borderId="20" xfId="0" applyFont="1" applyFill="1" applyBorder="1" applyAlignment="1" applyProtection="1">
      <alignment horizontal="left"/>
      <protection hidden="1"/>
    </xf>
    <xf numFmtId="0" fontId="57" fillId="3" borderId="20" xfId="0" applyFont="1" applyFill="1" applyBorder="1" applyProtection="1">
      <protection hidden="1"/>
    </xf>
    <xf numFmtId="0" fontId="57" fillId="3" borderId="20" xfId="0" applyFont="1" applyFill="1" applyBorder="1" applyAlignment="1" applyProtection="1">
      <alignment horizontal="right"/>
      <protection hidden="1"/>
    </xf>
    <xf numFmtId="0" fontId="34" fillId="3" borderId="20" xfId="0" applyFont="1" applyFill="1" applyBorder="1" applyAlignment="1" applyProtection="1">
      <alignment horizontal="right"/>
      <protection hidden="1"/>
    </xf>
    <xf numFmtId="2" fontId="34" fillId="3" borderId="20" xfId="0" applyNumberFormat="1" applyFont="1" applyFill="1" applyBorder="1" applyAlignment="1" applyProtection="1">
      <alignment horizontal="right"/>
      <protection hidden="1"/>
    </xf>
    <xf numFmtId="0" fontId="34" fillId="3" borderId="52" xfId="0" applyFont="1" applyFill="1" applyBorder="1" applyAlignment="1" applyProtection="1">
      <alignment horizontal="center"/>
      <protection hidden="1"/>
    </xf>
    <xf numFmtId="0" fontId="34" fillId="3" borderId="20" xfId="0" applyFont="1" applyFill="1" applyBorder="1" applyProtection="1">
      <protection hidden="1"/>
    </xf>
    <xf numFmtId="2" fontId="53" fillId="2" borderId="108" xfId="0" applyNumberFormat="1" applyFont="1" applyFill="1" applyBorder="1" applyProtection="1">
      <protection locked="0"/>
    </xf>
    <xf numFmtId="2" fontId="53" fillId="13" borderId="109" xfId="0" applyNumberFormat="1" applyFont="1" applyFill="1" applyBorder="1" applyProtection="1">
      <protection locked="0"/>
    </xf>
    <xf numFmtId="2" fontId="53" fillId="2" borderId="110" xfId="0" applyNumberFormat="1" applyFont="1" applyFill="1" applyBorder="1" applyProtection="1">
      <protection locked="0"/>
    </xf>
    <xf numFmtId="0" fontId="34" fillId="3" borderId="24" xfId="0" applyFont="1" applyFill="1" applyBorder="1" applyAlignment="1" applyProtection="1">
      <alignment horizontal="left"/>
      <protection hidden="1"/>
    </xf>
    <xf numFmtId="0" fontId="34" fillId="3" borderId="24" xfId="0" applyFont="1" applyFill="1" applyBorder="1" applyAlignment="1" applyProtection="1">
      <alignment horizontal="right"/>
      <protection hidden="1"/>
    </xf>
    <xf numFmtId="2" fontId="34" fillId="3" borderId="24" xfId="0" applyNumberFormat="1" applyFont="1" applyFill="1" applyBorder="1" applyAlignment="1" applyProtection="1">
      <alignment horizontal="right"/>
      <protection hidden="1"/>
    </xf>
    <xf numFmtId="0" fontId="34" fillId="3" borderId="24" xfId="0" applyFont="1" applyFill="1" applyBorder="1" applyAlignment="1" applyProtection="1">
      <alignment horizontal="center"/>
      <protection hidden="1"/>
    </xf>
    <xf numFmtId="0" fontId="34" fillId="3" borderId="65" xfId="0" applyFont="1" applyFill="1" applyBorder="1" applyAlignment="1" applyProtection="1">
      <alignment horizontal="left"/>
      <protection hidden="1"/>
    </xf>
    <xf numFmtId="0" fontId="34" fillId="3" borderId="52" xfId="0" applyFont="1" applyFill="1" applyBorder="1" applyAlignment="1" applyProtection="1">
      <alignment horizontal="right"/>
      <protection hidden="1"/>
    </xf>
    <xf numFmtId="2" fontId="34" fillId="3" borderId="52" xfId="0" applyNumberFormat="1" applyFont="1" applyFill="1" applyBorder="1" applyAlignment="1" applyProtection="1">
      <alignment horizontal="right"/>
      <protection hidden="1"/>
    </xf>
    <xf numFmtId="0" fontId="58" fillId="3" borderId="24" xfId="0" applyFont="1" applyFill="1" applyBorder="1" applyProtection="1">
      <protection hidden="1"/>
    </xf>
    <xf numFmtId="0" fontId="4" fillId="3" borderId="0" xfId="0" applyFont="1" applyFill="1" applyAlignment="1" applyProtection="1">
      <alignment horizontal="center"/>
      <protection hidden="1"/>
    </xf>
    <xf numFmtId="0" fontId="4" fillId="3" borderId="0" xfId="0" applyFont="1" applyFill="1" applyAlignment="1" applyProtection="1">
      <alignment horizontal="right"/>
      <protection hidden="1"/>
    </xf>
    <xf numFmtId="2" fontId="4" fillId="3" borderId="0" xfId="0" applyNumberFormat="1" applyFont="1" applyFill="1" applyAlignment="1" applyProtection="1">
      <alignment horizontal="right"/>
      <protection hidden="1"/>
    </xf>
    <xf numFmtId="0" fontId="34" fillId="3" borderId="0" xfId="0" applyFont="1" applyFill="1" applyAlignment="1" applyProtection="1">
      <alignment horizontal="center"/>
      <protection hidden="1"/>
    </xf>
    <xf numFmtId="2" fontId="53" fillId="0" borderId="3" xfId="0" applyNumberFormat="1" applyFont="1" applyBorder="1" applyAlignment="1" applyProtection="1">
      <alignment horizontal="center"/>
      <protection hidden="1"/>
    </xf>
    <xf numFmtId="2" fontId="53" fillId="0" borderId="126" xfId="0" applyNumberFormat="1" applyFont="1" applyBorder="1" applyAlignment="1" applyProtection="1">
      <alignment horizontal="center"/>
      <protection hidden="1"/>
    </xf>
    <xf numFmtId="0" fontId="34" fillId="3" borderId="65" xfId="0" applyFont="1" applyFill="1" applyBorder="1" applyAlignment="1" applyProtection="1">
      <alignment horizontal="center"/>
      <protection hidden="1"/>
    </xf>
    <xf numFmtId="2" fontId="53" fillId="8" borderId="10" xfId="0" applyNumberFormat="1" applyFont="1" applyFill="1" applyBorder="1" applyProtection="1">
      <protection locked="0"/>
    </xf>
    <xf numFmtId="2" fontId="53" fillId="8" borderId="208" xfId="0" applyNumberFormat="1" applyFont="1" applyFill="1" applyBorder="1" applyProtection="1">
      <protection locked="0"/>
    </xf>
    <xf numFmtId="2" fontId="53" fillId="8" borderId="102" xfId="0" applyNumberFormat="1" applyFont="1" applyFill="1" applyBorder="1" applyProtection="1">
      <protection locked="0"/>
    </xf>
    <xf numFmtId="2" fontId="53" fillId="8" borderId="33" xfId="0" applyNumberFormat="1" applyFont="1" applyFill="1" applyBorder="1" applyProtection="1">
      <protection locked="0"/>
    </xf>
    <xf numFmtId="2" fontId="53" fillId="8" borderId="121" xfId="0" applyNumberFormat="1" applyFont="1" applyFill="1" applyBorder="1" applyProtection="1">
      <protection locked="0"/>
    </xf>
    <xf numFmtId="2" fontId="53" fillId="8" borderId="113" xfId="0" applyNumberFormat="1" applyFont="1" applyFill="1" applyBorder="1" applyProtection="1">
      <protection locked="0"/>
    </xf>
    <xf numFmtId="2" fontId="53" fillId="8" borderId="41" xfId="0" applyNumberFormat="1" applyFont="1" applyFill="1" applyBorder="1" applyProtection="1">
      <protection locked="0"/>
    </xf>
    <xf numFmtId="2" fontId="53" fillId="8" borderId="120" xfId="0" applyNumberFormat="1" applyFont="1" applyFill="1" applyBorder="1" applyProtection="1">
      <protection locked="0"/>
    </xf>
    <xf numFmtId="2" fontId="53" fillId="8" borderId="118" xfId="0" applyNumberFormat="1" applyFont="1" applyFill="1" applyBorder="1" applyProtection="1">
      <protection locked="0"/>
    </xf>
    <xf numFmtId="0" fontId="34" fillId="3" borderId="20" xfId="0" applyFont="1" applyFill="1" applyBorder="1" applyAlignment="1" applyProtection="1">
      <alignment horizontal="center"/>
      <protection hidden="1"/>
    </xf>
    <xf numFmtId="2" fontId="53" fillId="8" borderId="34" xfId="0" applyNumberFormat="1" applyFont="1" applyFill="1" applyBorder="1" applyProtection="1">
      <protection locked="0"/>
    </xf>
    <xf numFmtId="2" fontId="53" fillId="8" borderId="76" xfId="0" applyNumberFormat="1" applyFont="1" applyFill="1" applyBorder="1" applyProtection="1">
      <protection locked="0"/>
    </xf>
    <xf numFmtId="0" fontId="4" fillId="3" borderId="20" xfId="0" applyFont="1" applyFill="1" applyBorder="1" applyAlignment="1" applyProtection="1">
      <alignment horizontal="center"/>
      <protection hidden="1"/>
    </xf>
    <xf numFmtId="0" fontId="4" fillId="3" borderId="20" xfId="0" applyFont="1" applyFill="1" applyBorder="1" applyAlignment="1" applyProtection="1">
      <alignment horizontal="right"/>
      <protection hidden="1"/>
    </xf>
    <xf numFmtId="2" fontId="4" fillId="3" borderId="20" xfId="0" applyNumberFormat="1" applyFont="1" applyFill="1" applyBorder="1" applyAlignment="1" applyProtection="1">
      <alignment horizontal="right"/>
      <protection hidden="1"/>
    </xf>
    <xf numFmtId="0" fontId="59" fillId="3" borderId="13" xfId="0" applyFont="1" applyFill="1" applyBorder="1" applyProtection="1">
      <protection hidden="1"/>
    </xf>
    <xf numFmtId="1" fontId="56" fillId="0" borderId="0" xfId="0" applyNumberFormat="1" applyFont="1" applyProtection="1">
      <protection hidden="1"/>
    </xf>
    <xf numFmtId="0" fontId="59" fillId="3" borderId="20" xfId="0" applyFont="1" applyFill="1" applyBorder="1" applyProtection="1">
      <protection hidden="1"/>
    </xf>
    <xf numFmtId="0" fontId="39" fillId="3" borderId="21" xfId="0" applyFont="1" applyFill="1" applyBorder="1" applyAlignment="1" applyProtection="1">
      <alignment horizontal="left"/>
      <protection hidden="1"/>
    </xf>
    <xf numFmtId="0" fontId="39" fillId="3" borderId="0" xfId="0" applyFont="1" applyFill="1" applyAlignment="1" applyProtection="1">
      <alignment horizontal="right"/>
      <protection hidden="1"/>
    </xf>
    <xf numFmtId="2" fontId="39" fillId="3" borderId="0" xfId="0" applyNumberFormat="1" applyFont="1" applyFill="1" applyAlignment="1" applyProtection="1">
      <alignment horizontal="right"/>
      <protection hidden="1"/>
    </xf>
    <xf numFmtId="169" fontId="15" fillId="3" borderId="59" xfId="2" applyNumberFormat="1" applyFont="1" applyFill="1" applyBorder="1" applyProtection="1">
      <protection hidden="1"/>
    </xf>
    <xf numFmtId="0" fontId="59" fillId="3" borderId="1" xfId="0" applyFont="1" applyFill="1" applyBorder="1" applyProtection="1">
      <protection hidden="1"/>
    </xf>
    <xf numFmtId="0" fontId="39" fillId="3" borderId="59" xfId="0" applyFont="1" applyFill="1" applyBorder="1" applyAlignment="1" applyProtection="1">
      <alignment horizontal="center"/>
      <protection hidden="1"/>
    </xf>
    <xf numFmtId="0" fontId="39" fillId="3" borderId="53" xfId="0" applyFont="1" applyFill="1" applyBorder="1" applyAlignment="1" applyProtection="1">
      <alignment horizontal="right"/>
      <protection hidden="1"/>
    </xf>
    <xf numFmtId="2" fontId="39" fillId="3" borderId="53" xfId="0" applyNumberFormat="1" applyFont="1" applyFill="1" applyBorder="1" applyAlignment="1" applyProtection="1">
      <alignment horizontal="right"/>
      <protection hidden="1"/>
    </xf>
    <xf numFmtId="1" fontId="55" fillId="3" borderId="60" xfId="0" applyNumberFormat="1" applyFont="1" applyFill="1" applyBorder="1" applyAlignment="1" applyProtection="1">
      <alignment horizontal="center"/>
      <protection hidden="1"/>
    </xf>
    <xf numFmtId="9" fontId="5" fillId="3" borderId="122" xfId="2" applyFont="1" applyFill="1" applyBorder="1" applyProtection="1">
      <protection hidden="1"/>
    </xf>
    <xf numFmtId="0" fontId="59" fillId="3" borderId="20" xfId="0" applyFont="1" applyFill="1" applyBorder="1" applyAlignment="1" applyProtection="1">
      <alignment vertical="center"/>
      <protection hidden="1"/>
    </xf>
    <xf numFmtId="0" fontId="60" fillId="3" borderId="21" xfId="0" applyFont="1" applyFill="1" applyBorder="1" applyAlignment="1" applyProtection="1">
      <alignment horizontal="center" vertical="center"/>
      <protection hidden="1"/>
    </xf>
    <xf numFmtId="0" fontId="60" fillId="3" borderId="37" xfId="0" applyFont="1" applyFill="1" applyBorder="1" applyAlignment="1" applyProtection="1">
      <alignment horizontal="right" vertical="center"/>
      <protection hidden="1"/>
    </xf>
    <xf numFmtId="2" fontId="4" fillId="3" borderId="37" xfId="0" applyNumberFormat="1" applyFont="1" applyFill="1" applyBorder="1" applyAlignment="1" applyProtection="1">
      <alignment horizontal="right" vertical="center"/>
      <protection hidden="1"/>
    </xf>
    <xf numFmtId="1" fontId="32" fillId="3" borderId="94" xfId="0" applyNumberFormat="1" applyFont="1" applyFill="1" applyBorder="1" applyAlignment="1" applyProtection="1">
      <alignment horizontal="center" vertical="center"/>
      <protection hidden="1"/>
    </xf>
    <xf numFmtId="171" fontId="32" fillId="3" borderId="2" xfId="2" applyNumberFormat="1" applyFont="1" applyFill="1" applyBorder="1" applyAlignment="1" applyProtection="1">
      <alignment vertical="center"/>
      <protection hidden="1"/>
    </xf>
    <xf numFmtId="1" fontId="56" fillId="0" borderId="0" xfId="0" applyNumberFormat="1" applyFont="1" applyAlignment="1" applyProtection="1">
      <alignment vertical="center"/>
      <protection hidden="1"/>
    </xf>
    <xf numFmtId="0" fontId="59" fillId="0" borderId="0" xfId="0" applyFont="1" applyProtection="1">
      <protection hidden="1"/>
    </xf>
    <xf numFmtId="0" fontId="57" fillId="0" borderId="0" xfId="0" applyFont="1" applyProtection="1">
      <protection hidden="1"/>
    </xf>
    <xf numFmtId="0" fontId="57" fillId="0" borderId="0" xfId="0" applyFont="1" applyAlignment="1" applyProtection="1">
      <alignment horizontal="right"/>
      <protection hidden="1"/>
    </xf>
    <xf numFmtId="2" fontId="34" fillId="0" borderId="0" xfId="0" applyNumberFormat="1" applyFont="1" applyAlignment="1" applyProtection="1">
      <alignment horizontal="right"/>
      <protection hidden="1"/>
    </xf>
    <xf numFmtId="0" fontId="34" fillId="0" borderId="0" xfId="0" applyFont="1" applyAlignment="1" applyProtection="1">
      <alignment horizontal="center"/>
      <protection hidden="1"/>
    </xf>
    <xf numFmtId="0" fontId="61" fillId="0" borderId="141" xfId="0" applyFont="1" applyBorder="1"/>
    <xf numFmtId="2" fontId="62" fillId="0" borderId="156" xfId="1" applyNumberFormat="1" applyFont="1" applyBorder="1" applyAlignment="1">
      <alignment horizontal="left"/>
    </xf>
    <xf numFmtId="2" fontId="62" fillId="0" borderId="157" xfId="1" applyNumberFormat="1" applyFont="1" applyBorder="1" applyAlignment="1">
      <alignment horizontal="left"/>
    </xf>
    <xf numFmtId="1" fontId="62" fillId="0" borderId="157" xfId="1" applyNumberFormat="1" applyFont="1" applyBorder="1" applyAlignment="1">
      <alignment horizontal="left"/>
    </xf>
    <xf numFmtId="1" fontId="62" fillId="0" borderId="158" xfId="1" applyNumberFormat="1" applyFont="1" applyBorder="1" applyAlignment="1">
      <alignment horizontal="left"/>
    </xf>
    <xf numFmtId="0" fontId="53" fillId="0" borderId="46" xfId="0" applyFont="1" applyBorder="1"/>
    <xf numFmtId="2" fontId="53" fillId="0" borderId="3" xfId="1" applyNumberFormat="1" applyFont="1" applyBorder="1"/>
    <xf numFmtId="2" fontId="53" fillId="0" borderId="27" xfId="1" applyNumberFormat="1" applyFont="1" applyBorder="1" applyAlignment="1">
      <alignment horizontal="right"/>
    </xf>
    <xf numFmtId="167" fontId="8" fillId="0" borderId="45" xfId="1" applyNumberFormat="1" applyFont="1" applyBorder="1" applyProtection="1">
      <protection hidden="1"/>
    </xf>
    <xf numFmtId="167" fontId="53" fillId="0" borderId="3" xfId="1" applyNumberFormat="1" applyFont="1" applyBorder="1" applyProtection="1">
      <protection locked="0"/>
    </xf>
    <xf numFmtId="1" fontId="53" fillId="0" borderId="3" xfId="1" applyNumberFormat="1" applyFont="1" applyBorder="1" applyProtection="1">
      <protection locked="0"/>
    </xf>
    <xf numFmtId="1" fontId="53" fillId="0" borderId="3" xfId="0" applyNumberFormat="1" applyFont="1" applyBorder="1" applyProtection="1">
      <protection locked="0"/>
    </xf>
    <xf numFmtId="1" fontId="53" fillId="0" borderId="45" xfId="0" applyNumberFormat="1" applyFont="1" applyBorder="1" applyProtection="1">
      <protection locked="0"/>
    </xf>
    <xf numFmtId="167" fontId="53" fillId="0" borderId="115" xfId="1" applyNumberFormat="1" applyFont="1" applyBorder="1" applyProtection="1">
      <protection locked="0"/>
    </xf>
    <xf numFmtId="1" fontId="53" fillId="0" borderId="115" xfId="1" applyNumberFormat="1" applyFont="1" applyBorder="1" applyProtection="1">
      <protection locked="0"/>
    </xf>
    <xf numFmtId="1" fontId="53" fillId="0" borderId="115" xfId="0" applyNumberFormat="1" applyFont="1" applyBorder="1" applyProtection="1">
      <protection locked="0"/>
    </xf>
    <xf numFmtId="1" fontId="53" fillId="0" borderId="144" xfId="0" applyNumberFormat="1" applyFont="1" applyBorder="1" applyProtection="1">
      <protection locked="0"/>
    </xf>
    <xf numFmtId="2" fontId="63" fillId="0" borderId="3" xfId="1" applyNumberFormat="1" applyFont="1" applyBorder="1"/>
    <xf numFmtId="2" fontId="63" fillId="0" borderId="27" xfId="1" applyNumberFormat="1" applyFont="1" applyBorder="1" applyAlignment="1">
      <alignment horizontal="right"/>
    </xf>
    <xf numFmtId="167" fontId="63" fillId="0" borderId="45" xfId="1" applyNumberFormat="1" applyFont="1" applyBorder="1" applyProtection="1">
      <protection hidden="1"/>
    </xf>
    <xf numFmtId="167" fontId="53" fillId="0" borderId="0" xfId="1" applyNumberFormat="1" applyFont="1" applyBorder="1"/>
    <xf numFmtId="1" fontId="53" fillId="0" borderId="0" xfId="1" applyNumberFormat="1" applyFont="1" applyBorder="1"/>
    <xf numFmtId="1" fontId="53" fillId="0" borderId="0" xfId="0" applyNumberFormat="1" applyFont="1"/>
    <xf numFmtId="0" fontId="53" fillId="0" borderId="3" xfId="0" applyFont="1" applyBorder="1"/>
    <xf numFmtId="0" fontId="53" fillId="0" borderId="27" xfId="0" applyFont="1" applyBorder="1" applyAlignment="1">
      <alignment horizontal="right"/>
    </xf>
    <xf numFmtId="2" fontId="53" fillId="0" borderId="27" xfId="0" applyNumberFormat="1" applyFont="1" applyBorder="1" applyAlignment="1">
      <alignment horizontal="right"/>
    </xf>
    <xf numFmtId="167" fontId="8" fillId="0" borderId="45" xfId="0" applyNumberFormat="1" applyFont="1" applyBorder="1" applyProtection="1">
      <protection hidden="1"/>
    </xf>
    <xf numFmtId="0" fontId="64" fillId="0" borderId="143" xfId="0" applyFont="1" applyBorder="1"/>
    <xf numFmtId="0" fontId="65" fillId="0" borderId="115" xfId="0" applyFont="1" applyBorder="1"/>
    <xf numFmtId="0" fontId="65" fillId="0" borderId="145" xfId="0" applyFont="1" applyBorder="1" applyAlignment="1">
      <alignment horizontal="right"/>
    </xf>
    <xf numFmtId="2" fontId="8" fillId="0" borderId="145" xfId="0" applyNumberFormat="1" applyFont="1" applyBorder="1" applyAlignment="1">
      <alignment horizontal="right"/>
    </xf>
    <xf numFmtId="170" fontId="65" fillId="0" borderId="144" xfId="0" applyNumberFormat="1" applyFont="1" applyBorder="1" applyProtection="1">
      <protection hidden="1"/>
    </xf>
    <xf numFmtId="165" fontId="64" fillId="0" borderId="0" xfId="1" applyFont="1" applyBorder="1"/>
    <xf numFmtId="1" fontId="64" fillId="0" borderId="0" xfId="0" applyNumberFormat="1" applyFont="1"/>
    <xf numFmtId="1" fontId="64" fillId="0" borderId="0" xfId="0" applyNumberFormat="1" applyFont="1" applyAlignment="1">
      <alignment horizontal="center"/>
    </xf>
    <xf numFmtId="1" fontId="64" fillId="0" borderId="0" xfId="1" applyNumberFormat="1" applyFont="1" applyBorder="1"/>
    <xf numFmtId="1" fontId="65" fillId="0" borderId="0" xfId="0" applyNumberFormat="1" applyFont="1"/>
    <xf numFmtId="0" fontId="53" fillId="0" borderId="0" xfId="0" applyFont="1"/>
    <xf numFmtId="0" fontId="53" fillId="0" borderId="0" xfId="0" applyFont="1" applyAlignment="1">
      <alignment horizontal="right"/>
    </xf>
    <xf numFmtId="2" fontId="53" fillId="0" borderId="0" xfId="0" applyNumberFormat="1" applyFont="1" applyAlignment="1">
      <alignment horizontal="right"/>
    </xf>
    <xf numFmtId="167" fontId="53" fillId="0" borderId="0" xfId="0" applyNumberFormat="1" applyFont="1"/>
    <xf numFmtId="165" fontId="53" fillId="0" borderId="0" xfId="1" applyFont="1"/>
    <xf numFmtId="1" fontId="53" fillId="0" borderId="0" xfId="0" applyNumberFormat="1" applyFont="1" applyAlignment="1">
      <alignment horizontal="center"/>
    </xf>
    <xf numFmtId="1" fontId="53" fillId="0" borderId="0" xfId="1" applyNumberFormat="1" applyFont="1"/>
    <xf numFmtId="1" fontId="8" fillId="0" borderId="0" xfId="0" applyNumberFormat="1" applyFont="1"/>
    <xf numFmtId="0" fontId="57" fillId="0" borderId="0" xfId="0" applyFont="1" applyProtection="1">
      <protection locked="0"/>
    </xf>
    <xf numFmtId="0" fontId="57" fillId="0" borderId="0" xfId="0" applyFont="1" applyAlignment="1" applyProtection="1">
      <alignment horizontal="right"/>
      <protection locked="0"/>
    </xf>
    <xf numFmtId="2" fontId="34" fillId="0" borderId="0" xfId="0" applyNumberFormat="1" applyFont="1" applyAlignment="1" applyProtection="1">
      <alignment horizontal="right"/>
      <protection locked="0"/>
    </xf>
    <xf numFmtId="0" fontId="53" fillId="0" borderId="0" xfId="0" applyFont="1" applyProtection="1">
      <protection locked="0"/>
    </xf>
    <xf numFmtId="0" fontId="61" fillId="0" borderId="1" xfId="0" applyFont="1" applyBorder="1" applyProtection="1">
      <protection locked="0"/>
    </xf>
    <xf numFmtId="2" fontId="62" fillId="0" borderId="59" xfId="1" applyNumberFormat="1" applyFont="1" applyBorder="1" applyProtection="1">
      <protection locked="0"/>
    </xf>
    <xf numFmtId="2" fontId="62" fillId="0" borderId="0" xfId="1" applyNumberFormat="1" applyFont="1" applyBorder="1" applyAlignment="1" applyProtection="1">
      <alignment horizontal="right"/>
      <protection locked="0"/>
    </xf>
    <xf numFmtId="0" fontId="53" fillId="0" borderId="159" xfId="0" applyFont="1" applyBorder="1" applyProtection="1">
      <protection locked="0"/>
    </xf>
    <xf numFmtId="0" fontId="53" fillId="0" borderId="9" xfId="0" applyFont="1" applyBorder="1" applyProtection="1">
      <protection locked="0"/>
    </xf>
    <xf numFmtId="0" fontId="53" fillId="0" borderId="22" xfId="0" applyFont="1" applyBorder="1" applyAlignment="1" applyProtection="1">
      <alignment horizontal="right"/>
      <protection locked="0"/>
    </xf>
    <xf numFmtId="2" fontId="53" fillId="0" borderId="22" xfId="0" applyNumberFormat="1" applyFont="1" applyBorder="1" applyAlignment="1" applyProtection="1">
      <alignment horizontal="right"/>
      <protection locked="0"/>
    </xf>
    <xf numFmtId="167" fontId="53" fillId="0" borderId="139" xfId="0" applyNumberFormat="1" applyFont="1" applyBorder="1" applyProtection="1">
      <protection locked="0"/>
    </xf>
    <xf numFmtId="0" fontId="53" fillId="0" borderId="46" xfId="0" applyFont="1" applyBorder="1" applyProtection="1">
      <protection locked="0"/>
    </xf>
    <xf numFmtId="0" fontId="53" fillId="0" borderId="3" xfId="0" applyFont="1" applyBorder="1" applyProtection="1">
      <protection locked="0"/>
    </xf>
    <xf numFmtId="0" fontId="53" fillId="0" borderId="27" xfId="0" applyFont="1" applyBorder="1" applyAlignment="1" applyProtection="1">
      <alignment horizontal="right"/>
      <protection locked="0"/>
    </xf>
    <xf numFmtId="2" fontId="53" fillId="0" borderId="27" xfId="0" applyNumberFormat="1" applyFont="1" applyBorder="1" applyAlignment="1" applyProtection="1">
      <alignment horizontal="right"/>
      <protection locked="0"/>
    </xf>
    <xf numFmtId="0" fontId="53" fillId="0" borderId="143" xfId="0" applyFont="1" applyBorder="1" applyProtection="1">
      <protection locked="0"/>
    </xf>
    <xf numFmtId="0" fontId="53" fillId="0" borderId="115" xfId="0" applyFont="1" applyBorder="1" applyProtection="1">
      <protection locked="0"/>
    </xf>
    <xf numFmtId="0" fontId="53" fillId="0" borderId="145" xfId="0" applyFont="1" applyBorder="1" applyAlignment="1" applyProtection="1">
      <alignment horizontal="right"/>
      <protection locked="0"/>
    </xf>
    <xf numFmtId="2" fontId="53" fillId="0" borderId="145" xfId="0" applyNumberFormat="1" applyFont="1" applyBorder="1" applyAlignment="1" applyProtection="1">
      <alignment horizontal="right"/>
      <protection locked="0"/>
    </xf>
    <xf numFmtId="0" fontId="53" fillId="0" borderId="144" xfId="0" applyFont="1" applyBorder="1" applyProtection="1">
      <protection locked="0"/>
    </xf>
    <xf numFmtId="0" fontId="53" fillId="0" borderId="0" xfId="0" applyFont="1" applyAlignment="1" applyProtection="1">
      <alignment horizontal="right"/>
      <protection locked="0"/>
    </xf>
    <xf numFmtId="2" fontId="53" fillId="0" borderId="0" xfId="0" applyNumberFormat="1" applyFont="1" applyAlignment="1" applyProtection="1">
      <alignment horizontal="right"/>
      <protection locked="0"/>
    </xf>
    <xf numFmtId="0" fontId="57" fillId="0" borderId="0" xfId="0" applyFont="1" applyAlignment="1" applyProtection="1">
      <alignment horizontal="center"/>
      <protection locked="0"/>
    </xf>
    <xf numFmtId="2" fontId="34" fillId="0" borderId="0" xfId="0" applyNumberFormat="1" applyFont="1" applyAlignment="1" applyProtection="1">
      <alignment horizontal="center"/>
      <protection locked="0"/>
    </xf>
    <xf numFmtId="0" fontId="57" fillId="12" borderId="0" xfId="0" applyFont="1" applyFill="1" applyProtection="1">
      <protection locked="0"/>
    </xf>
    <xf numFmtId="0" fontId="66" fillId="0" borderId="0" xfId="0" applyFont="1" applyProtection="1">
      <protection locked="0"/>
    </xf>
    <xf numFmtId="0" fontId="19" fillId="0" borderId="1" xfId="0" applyFont="1" applyBorder="1" applyProtection="1">
      <protection hidden="1"/>
    </xf>
    <xf numFmtId="166" fontId="67" fillId="0" borderId="59" xfId="0" applyNumberFormat="1" applyFont="1" applyBorder="1" applyAlignment="1" applyProtection="1">
      <alignment horizontal="left"/>
      <protection hidden="1"/>
    </xf>
    <xf numFmtId="166" fontId="67" fillId="0" borderId="0" xfId="0" applyNumberFormat="1" applyFont="1" applyAlignment="1" applyProtection="1">
      <alignment horizontal="left"/>
      <protection hidden="1"/>
    </xf>
    <xf numFmtId="0" fontId="20" fillId="0" borderId="0" xfId="0" applyFont="1" applyProtection="1">
      <protection hidden="1"/>
    </xf>
    <xf numFmtId="0" fontId="28" fillId="0" borderId="37" xfId="0" applyFont="1" applyBorder="1" applyAlignment="1" applyProtection="1">
      <alignment horizontal="center"/>
      <protection locked="0"/>
    </xf>
    <xf numFmtId="2" fontId="28" fillId="0" borderId="37" xfId="0" applyNumberFormat="1" applyFont="1" applyBorder="1" applyAlignment="1" applyProtection="1">
      <alignment horizontal="center"/>
      <protection locked="0"/>
    </xf>
    <xf numFmtId="0" fontId="29" fillId="0" borderId="37" xfId="0" applyFont="1" applyBorder="1" applyProtection="1">
      <protection locked="0"/>
    </xf>
    <xf numFmtId="0" fontId="29" fillId="0" borderId="0" xfId="0" applyFont="1" applyProtection="1">
      <protection locked="0"/>
    </xf>
    <xf numFmtId="0" fontId="68" fillId="0" borderId="0" xfId="0" applyFont="1" applyProtection="1">
      <protection locked="0"/>
    </xf>
    <xf numFmtId="0" fontId="3" fillId="3" borderId="11" xfId="0" applyFont="1" applyFill="1" applyBorder="1" applyAlignment="1" applyProtection="1">
      <alignment horizontal="center"/>
      <protection hidden="1"/>
    </xf>
    <xf numFmtId="0" fontId="70" fillId="0" borderId="0" xfId="0" applyFont="1" applyProtection="1">
      <protection locked="0"/>
    </xf>
    <xf numFmtId="0" fontId="3" fillId="3" borderId="18" xfId="0" applyFont="1" applyFill="1" applyBorder="1" applyAlignment="1" applyProtection="1">
      <alignment vertical="center"/>
      <protection hidden="1"/>
    </xf>
    <xf numFmtId="0" fontId="4" fillId="6" borderId="85" xfId="0" applyFont="1" applyFill="1" applyBorder="1" applyProtection="1">
      <protection hidden="1"/>
    </xf>
    <xf numFmtId="9" fontId="3" fillId="3" borderId="17" xfId="2" applyFont="1" applyFill="1" applyBorder="1" applyAlignment="1" applyProtection="1">
      <protection hidden="1"/>
    </xf>
    <xf numFmtId="0" fontId="70" fillId="0" borderId="0" xfId="0" applyFont="1" applyAlignment="1" applyProtection="1">
      <alignment horizontal="center"/>
      <protection locked="0"/>
    </xf>
    <xf numFmtId="0" fontId="72" fillId="3" borderId="1" xfId="0" applyFont="1" applyFill="1" applyBorder="1" applyProtection="1">
      <protection hidden="1"/>
    </xf>
    <xf numFmtId="0" fontId="70" fillId="3" borderId="59" xfId="0" applyFont="1" applyFill="1" applyBorder="1" applyAlignment="1" applyProtection="1">
      <alignment horizontal="center"/>
      <protection hidden="1"/>
    </xf>
    <xf numFmtId="2" fontId="39" fillId="3" borderId="59" xfId="0" applyNumberFormat="1" applyFont="1" applyFill="1" applyBorder="1" applyAlignment="1" applyProtection="1">
      <alignment horizontal="center"/>
      <protection hidden="1"/>
    </xf>
    <xf numFmtId="0" fontId="70" fillId="3" borderId="2" xfId="0" applyFont="1" applyFill="1" applyBorder="1" applyAlignment="1" applyProtection="1">
      <alignment horizontal="center"/>
      <protection hidden="1"/>
    </xf>
    <xf numFmtId="0" fontId="4" fillId="2" borderId="60" xfId="0" applyFont="1" applyFill="1" applyBorder="1" applyAlignment="1">
      <alignment horizontal="center"/>
    </xf>
    <xf numFmtId="0" fontId="4" fillId="6" borderId="61" xfId="0" applyFont="1" applyFill="1" applyBorder="1" applyAlignment="1">
      <alignment horizontal="center"/>
    </xf>
    <xf numFmtId="0" fontId="4" fillId="6" borderId="62" xfId="0" applyFont="1" applyFill="1" applyBorder="1" applyAlignment="1">
      <alignment horizontal="center"/>
    </xf>
    <xf numFmtId="0" fontId="4" fillId="2" borderId="63" xfId="0" applyFont="1" applyFill="1" applyBorder="1" applyAlignment="1">
      <alignment horizontal="center"/>
    </xf>
    <xf numFmtId="0" fontId="4" fillId="6" borderId="64" xfId="0" applyFont="1" applyFill="1" applyBorder="1" applyAlignment="1">
      <alignment horizontal="center"/>
    </xf>
    <xf numFmtId="0" fontId="4" fillId="2" borderId="64" xfId="0" applyFont="1" applyFill="1" applyBorder="1" applyAlignment="1">
      <alignment horizontal="center"/>
    </xf>
    <xf numFmtId="0" fontId="57" fillId="3" borderId="13" xfId="0" applyFont="1" applyFill="1" applyBorder="1" applyProtection="1">
      <protection hidden="1"/>
    </xf>
    <xf numFmtId="0" fontId="4" fillId="3" borderId="65" xfId="0" applyFont="1" applyFill="1" applyBorder="1" applyAlignment="1" applyProtection="1">
      <alignment horizontal="left"/>
      <protection hidden="1"/>
    </xf>
    <xf numFmtId="0" fontId="34" fillId="2" borderId="66" xfId="0" applyFont="1" applyFill="1" applyBorder="1" applyProtection="1">
      <protection locked="0"/>
    </xf>
    <xf numFmtId="0" fontId="34" fillId="6" borderId="67" xfId="0" applyFont="1" applyFill="1" applyBorder="1" applyProtection="1">
      <protection locked="0"/>
    </xf>
    <xf numFmtId="0" fontId="34" fillId="6" borderId="68" xfId="0" applyFont="1" applyFill="1" applyBorder="1" applyProtection="1">
      <protection locked="0"/>
    </xf>
    <xf numFmtId="0" fontId="34" fillId="2" borderId="69" xfId="0" applyFont="1" applyFill="1" applyBorder="1" applyProtection="1">
      <protection locked="0"/>
    </xf>
    <xf numFmtId="0" fontId="34" fillId="3" borderId="52" xfId="0" applyFont="1" applyFill="1" applyBorder="1" applyAlignment="1" applyProtection="1">
      <alignment horizontal="left"/>
      <protection hidden="1"/>
    </xf>
    <xf numFmtId="0" fontId="34" fillId="2" borderId="71" xfId="0" applyFont="1" applyFill="1" applyBorder="1" applyProtection="1">
      <protection locked="0"/>
    </xf>
    <xf numFmtId="0" fontId="34" fillId="6" borderId="72" xfId="0" applyFont="1" applyFill="1" applyBorder="1" applyProtection="1">
      <protection locked="0"/>
    </xf>
    <xf numFmtId="0" fontId="34" fillId="6" borderId="73" xfId="0" applyFont="1" applyFill="1" applyBorder="1" applyProtection="1">
      <protection locked="0"/>
    </xf>
    <xf numFmtId="0" fontId="34" fillId="2" borderId="74" xfId="0" applyFont="1" applyFill="1" applyBorder="1" applyProtection="1">
      <protection locked="0"/>
    </xf>
    <xf numFmtId="0" fontId="57" fillId="3" borderId="24" xfId="0" applyFont="1" applyFill="1" applyBorder="1" applyProtection="1">
      <protection hidden="1"/>
    </xf>
    <xf numFmtId="0" fontId="34" fillId="3" borderId="29" xfId="0" applyFont="1" applyFill="1" applyBorder="1" applyAlignment="1" applyProtection="1">
      <alignment horizontal="left"/>
      <protection hidden="1"/>
    </xf>
    <xf numFmtId="0" fontId="34" fillId="2" borderId="76" xfId="0" applyFont="1" applyFill="1" applyBorder="1" applyProtection="1">
      <protection locked="0"/>
    </xf>
    <xf numFmtId="0" fontId="34" fillId="6" borderId="77" xfId="0" applyFont="1" applyFill="1" applyBorder="1" applyProtection="1">
      <protection locked="0"/>
    </xf>
    <xf numFmtId="0" fontId="34" fillId="6" borderId="89" xfId="0" applyFont="1" applyFill="1" applyBorder="1" applyProtection="1">
      <protection locked="0"/>
    </xf>
    <xf numFmtId="0" fontId="34" fillId="2" borderId="88" xfId="0" applyFont="1" applyFill="1" applyBorder="1" applyProtection="1">
      <protection locked="0"/>
    </xf>
    <xf numFmtId="0" fontId="34" fillId="2" borderId="83" xfId="0" applyFont="1" applyFill="1" applyBorder="1" applyProtection="1">
      <protection locked="0"/>
    </xf>
    <xf numFmtId="0" fontId="34" fillId="2" borderId="80" xfId="0" applyFont="1" applyFill="1" applyBorder="1" applyProtection="1">
      <protection locked="0"/>
    </xf>
    <xf numFmtId="0" fontId="34" fillId="6" borderId="82" xfId="0" applyFont="1" applyFill="1" applyBorder="1" applyProtection="1">
      <protection locked="0"/>
    </xf>
    <xf numFmtId="0" fontId="34" fillId="6" borderId="81" xfId="0" applyFont="1" applyFill="1" applyBorder="1" applyProtection="1">
      <protection locked="0"/>
    </xf>
    <xf numFmtId="0" fontId="57" fillId="3" borderId="1" xfId="0" applyFont="1" applyFill="1" applyBorder="1" applyProtection="1">
      <protection hidden="1"/>
    </xf>
    <xf numFmtId="0" fontId="34" fillId="3" borderId="2" xfId="0" applyFont="1" applyFill="1" applyBorder="1" applyAlignment="1" applyProtection="1">
      <alignment horizontal="left"/>
      <protection hidden="1"/>
    </xf>
    <xf numFmtId="0" fontId="34" fillId="2" borderId="60" xfId="0" applyFont="1" applyFill="1" applyBorder="1" applyProtection="1">
      <protection locked="0"/>
    </xf>
    <xf numFmtId="0" fontId="34" fillId="6" borderId="61" xfId="0" applyFont="1" applyFill="1" applyBorder="1" applyProtection="1">
      <protection locked="0"/>
    </xf>
    <xf numFmtId="0" fontId="34" fillId="6" borderId="62" xfId="0" applyFont="1" applyFill="1" applyBorder="1" applyProtection="1">
      <protection locked="0"/>
    </xf>
    <xf numFmtId="0" fontId="34" fillId="2" borderId="63" xfId="0" applyFont="1" applyFill="1" applyBorder="1" applyProtection="1">
      <protection locked="0"/>
    </xf>
    <xf numFmtId="0" fontId="4" fillId="3" borderId="36" xfId="0" applyFont="1" applyFill="1" applyBorder="1" applyAlignment="1" applyProtection="1">
      <alignment horizontal="center"/>
      <protection hidden="1"/>
    </xf>
    <xf numFmtId="167" fontId="4" fillId="3" borderId="53" xfId="0" applyNumberFormat="1" applyFont="1" applyFill="1" applyBorder="1" applyAlignment="1" applyProtection="1">
      <alignment horizontal="center"/>
      <protection hidden="1"/>
    </xf>
    <xf numFmtId="169" fontId="4" fillId="3" borderId="53" xfId="2" applyNumberFormat="1" applyFont="1" applyFill="1" applyBorder="1" applyAlignment="1" applyProtection="1">
      <alignment horizontal="center"/>
      <protection hidden="1"/>
    </xf>
    <xf numFmtId="0" fontId="34" fillId="0" borderId="13" xfId="0" applyFont="1" applyBorder="1" applyProtection="1">
      <protection locked="0"/>
    </xf>
    <xf numFmtId="0" fontId="34" fillId="0" borderId="36" xfId="0" applyFont="1" applyBorder="1" applyProtection="1">
      <protection locked="0"/>
    </xf>
    <xf numFmtId="0" fontId="34" fillId="0" borderId="14" xfId="0" applyFont="1" applyBorder="1" applyProtection="1">
      <protection locked="0"/>
    </xf>
    <xf numFmtId="2" fontId="4" fillId="3" borderId="0" xfId="0" applyNumberFormat="1" applyFont="1" applyFill="1" applyAlignment="1" applyProtection="1">
      <alignment horizontal="center"/>
      <protection hidden="1"/>
    </xf>
    <xf numFmtId="0" fontId="57" fillId="3" borderId="25" xfId="0" applyFont="1" applyFill="1" applyBorder="1" applyProtection="1">
      <protection hidden="1"/>
    </xf>
    <xf numFmtId="0" fontId="34" fillId="9" borderId="24" xfId="0" applyFont="1" applyFill="1" applyBorder="1" applyProtection="1">
      <protection locked="0"/>
    </xf>
    <xf numFmtId="0" fontId="34" fillId="9" borderId="0" xfId="0" applyFont="1" applyFill="1" applyProtection="1">
      <protection locked="0"/>
    </xf>
    <xf numFmtId="0" fontId="34" fillId="9" borderId="25" xfId="0" applyFont="1" applyFill="1" applyBorder="1" applyProtection="1">
      <protection locked="0"/>
    </xf>
    <xf numFmtId="0" fontId="34" fillId="0" borderId="21" xfId="0" applyFont="1" applyBorder="1" applyProtection="1">
      <protection locked="0"/>
    </xf>
    <xf numFmtId="0" fontId="4" fillId="0" borderId="90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25" xfId="0" applyFont="1" applyBorder="1" applyAlignment="1">
      <alignment horizontal="center"/>
    </xf>
    <xf numFmtId="10" fontId="34" fillId="3" borderId="29" xfId="2" applyNumberFormat="1" applyFont="1" applyFill="1" applyBorder="1" applyAlignment="1" applyProtection="1">
      <alignment horizontal="center"/>
      <protection hidden="1"/>
    </xf>
    <xf numFmtId="0" fontId="34" fillId="8" borderId="66" xfId="0" applyFont="1" applyFill="1" applyBorder="1" applyProtection="1">
      <protection locked="0"/>
    </xf>
    <xf numFmtId="0" fontId="34" fillId="8" borderId="70" xfId="0" applyFont="1" applyFill="1" applyBorder="1" applyProtection="1">
      <protection locked="0"/>
    </xf>
    <xf numFmtId="0" fontId="34" fillId="8" borderId="68" xfId="0" applyFont="1" applyFill="1" applyBorder="1" applyProtection="1">
      <protection locked="0"/>
    </xf>
    <xf numFmtId="0" fontId="34" fillId="8" borderId="123" xfId="0" applyFont="1" applyFill="1" applyBorder="1" applyProtection="1">
      <protection locked="0"/>
    </xf>
    <xf numFmtId="0" fontId="34" fillId="8" borderId="67" xfId="0" applyFont="1" applyFill="1" applyBorder="1" applyProtection="1">
      <protection locked="0"/>
    </xf>
    <xf numFmtId="10" fontId="34" fillId="3" borderId="52" xfId="2" applyNumberFormat="1" applyFont="1" applyFill="1" applyBorder="1" applyAlignment="1" applyProtection="1">
      <alignment horizontal="center"/>
      <protection hidden="1"/>
    </xf>
    <xf numFmtId="0" fontId="34" fillId="8" borderId="74" xfId="0" applyFont="1" applyFill="1" applyBorder="1" applyProtection="1">
      <protection locked="0"/>
    </xf>
    <xf numFmtId="0" fontId="34" fillId="8" borderId="75" xfId="0" applyFont="1" applyFill="1" applyBorder="1" applyProtection="1">
      <protection locked="0"/>
    </xf>
    <xf numFmtId="0" fontId="34" fillId="8" borderId="72" xfId="0" applyFont="1" applyFill="1" applyBorder="1" applyProtection="1">
      <protection locked="0"/>
    </xf>
    <xf numFmtId="0" fontId="34" fillId="8" borderId="76" xfId="0" applyFont="1" applyFill="1" applyBorder="1" applyProtection="1">
      <protection locked="0"/>
    </xf>
    <xf numFmtId="0" fontId="34" fillId="8" borderId="91" xfId="0" applyFont="1" applyFill="1" applyBorder="1" applyProtection="1">
      <protection locked="0"/>
    </xf>
    <xf numFmtId="0" fontId="34" fillId="8" borderId="77" xfId="0" applyFont="1" applyFill="1" applyBorder="1" applyProtection="1">
      <protection locked="0"/>
    </xf>
    <xf numFmtId="0" fontId="34" fillId="8" borderId="93" xfId="0" applyFont="1" applyFill="1" applyBorder="1" applyProtection="1">
      <protection locked="0"/>
    </xf>
    <xf numFmtId="0" fontId="34" fillId="8" borderId="81" xfId="0" applyFont="1" applyFill="1" applyBorder="1" applyProtection="1">
      <protection locked="0"/>
    </xf>
    <xf numFmtId="0" fontId="34" fillId="8" borderId="92" xfId="0" applyFont="1" applyFill="1" applyBorder="1" applyProtection="1">
      <protection locked="0"/>
    </xf>
    <xf numFmtId="0" fontId="73" fillId="3" borderId="36" xfId="0" applyFont="1" applyFill="1" applyBorder="1" applyAlignment="1" applyProtection="1">
      <alignment horizontal="center"/>
      <protection hidden="1"/>
    </xf>
    <xf numFmtId="169" fontId="19" fillId="3" borderId="2" xfId="2" applyNumberFormat="1" applyFont="1" applyFill="1" applyBorder="1" applyProtection="1">
      <protection hidden="1"/>
    </xf>
    <xf numFmtId="0" fontId="73" fillId="0" borderId="0" xfId="0" applyFont="1" applyAlignment="1" applyProtection="1">
      <alignment horizontal="center"/>
      <protection hidden="1"/>
    </xf>
    <xf numFmtId="2" fontId="73" fillId="0" borderId="0" xfId="0" applyNumberFormat="1" applyFont="1" applyAlignment="1" applyProtection="1">
      <alignment horizontal="center"/>
      <protection hidden="1"/>
    </xf>
    <xf numFmtId="0" fontId="39" fillId="3" borderId="37" xfId="0" applyFont="1" applyFill="1" applyBorder="1" applyAlignment="1" applyProtection="1">
      <alignment horizontal="left"/>
      <protection hidden="1"/>
    </xf>
    <xf numFmtId="167" fontId="34" fillId="3" borderId="37" xfId="0" applyNumberFormat="1" applyFont="1" applyFill="1" applyBorder="1" applyAlignment="1" applyProtection="1">
      <alignment horizontal="right"/>
      <protection hidden="1"/>
    </xf>
    <xf numFmtId="169" fontId="15" fillId="3" borderId="21" xfId="2" applyNumberFormat="1" applyFont="1" applyFill="1" applyBorder="1" applyProtection="1">
      <protection hidden="1"/>
    </xf>
    <xf numFmtId="0" fontId="39" fillId="0" borderId="0" xfId="0" applyFont="1" applyAlignment="1" applyProtection="1">
      <alignment horizontal="left"/>
      <protection hidden="1"/>
    </xf>
    <xf numFmtId="0" fontId="39" fillId="0" borderId="0" xfId="0" applyFont="1" applyAlignment="1" applyProtection="1">
      <alignment horizontal="center"/>
      <protection hidden="1"/>
    </xf>
    <xf numFmtId="0" fontId="74" fillId="0" borderId="0" xfId="0" applyFont="1" applyProtection="1">
      <protection locked="0"/>
    </xf>
    <xf numFmtId="167" fontId="55" fillId="3" borderId="85" xfId="0" applyNumberFormat="1" applyFont="1" applyFill="1" applyBorder="1" applyAlignment="1" applyProtection="1">
      <alignment horizontal="center"/>
      <protection hidden="1"/>
    </xf>
    <xf numFmtId="169" fontId="5" fillId="3" borderId="2" xfId="2" applyNumberFormat="1" applyFont="1" applyFill="1" applyBorder="1" applyProtection="1">
      <protection hidden="1"/>
    </xf>
    <xf numFmtId="0" fontId="60" fillId="3" borderId="21" xfId="0" applyFont="1" applyFill="1" applyBorder="1" applyAlignment="1" applyProtection="1">
      <alignment horizontal="center"/>
      <protection hidden="1"/>
    </xf>
    <xf numFmtId="0" fontId="60" fillId="3" borderId="37" xfId="0" applyFont="1" applyFill="1" applyBorder="1" applyAlignment="1" applyProtection="1">
      <alignment horizontal="center"/>
      <protection hidden="1"/>
    </xf>
    <xf numFmtId="170" fontId="25" fillId="3" borderId="39" xfId="1" applyNumberFormat="1" applyFont="1" applyFill="1" applyBorder="1" applyAlignment="1" applyProtection="1">
      <alignment horizontal="center"/>
      <protection hidden="1"/>
    </xf>
    <xf numFmtId="0" fontId="75" fillId="0" borderId="0" xfId="0" applyFont="1" applyProtection="1">
      <protection hidden="1"/>
    </xf>
    <xf numFmtId="2" fontId="75" fillId="0" borderId="0" xfId="0" applyNumberFormat="1" applyFont="1" applyProtection="1">
      <protection locked="0"/>
    </xf>
    <xf numFmtId="0" fontId="40" fillId="0" borderId="0" xfId="0" applyFont="1" applyProtection="1">
      <protection hidden="1"/>
    </xf>
    <xf numFmtId="2" fontId="57" fillId="0" borderId="0" xfId="0" applyNumberFormat="1" applyFont="1" applyAlignment="1" applyProtection="1">
      <alignment horizontal="center"/>
      <protection locked="0"/>
    </xf>
    <xf numFmtId="0" fontId="76" fillId="0" borderId="0" xfId="0" applyFont="1" applyAlignment="1" applyProtection="1">
      <alignment vertical="center"/>
      <protection locked="0"/>
    </xf>
    <xf numFmtId="0" fontId="66" fillId="0" borderId="0" xfId="0" applyFont="1" applyAlignment="1" applyProtection="1">
      <alignment vertical="center"/>
      <protection locked="0"/>
    </xf>
    <xf numFmtId="0" fontId="70" fillId="0" borderId="1" xfId="0" applyFont="1" applyBorder="1" applyProtection="1">
      <protection hidden="1"/>
    </xf>
    <xf numFmtId="0" fontId="78" fillId="0" borderId="2" xfId="0" applyFont="1" applyBorder="1" applyProtection="1">
      <protection hidden="1"/>
    </xf>
    <xf numFmtId="0" fontId="3" fillId="0" borderId="36" xfId="0" applyFont="1" applyBorder="1" applyProtection="1">
      <protection hidden="1"/>
    </xf>
    <xf numFmtId="2" fontId="39" fillId="3" borderId="65" xfId="0" applyNumberFormat="1" applyFont="1" applyFill="1" applyBorder="1" applyAlignment="1" applyProtection="1">
      <alignment horizontal="center"/>
      <protection hidden="1"/>
    </xf>
    <xf numFmtId="167" fontId="4" fillId="3" borderId="42" xfId="1" applyNumberFormat="1" applyFont="1" applyFill="1" applyBorder="1" applyAlignment="1" applyProtection="1">
      <alignment horizontal="center"/>
      <protection hidden="1"/>
    </xf>
    <xf numFmtId="0" fontId="4" fillId="2" borderId="78" xfId="0" applyFont="1" applyFill="1" applyBorder="1" applyAlignment="1" applyProtection="1">
      <alignment horizontal="center"/>
      <protection hidden="1"/>
    </xf>
    <xf numFmtId="0" fontId="4" fillId="6" borderId="57" xfId="0" applyFont="1" applyFill="1" applyBorder="1" applyAlignment="1" applyProtection="1">
      <alignment horizontal="center"/>
      <protection hidden="1"/>
    </xf>
    <xf numFmtId="0" fontId="4" fillId="6" borderId="79" xfId="0" applyFont="1" applyFill="1" applyBorder="1" applyAlignment="1" applyProtection="1">
      <alignment horizontal="center"/>
      <protection hidden="1"/>
    </xf>
    <xf numFmtId="0" fontId="4" fillId="2" borderId="56" xfId="0" applyFont="1" applyFill="1" applyBorder="1" applyAlignment="1" applyProtection="1">
      <alignment horizontal="center"/>
      <protection hidden="1"/>
    </xf>
    <xf numFmtId="0" fontId="15" fillId="3" borderId="65" xfId="0" applyFont="1" applyFill="1" applyBorder="1" applyProtection="1">
      <protection hidden="1"/>
    </xf>
    <xf numFmtId="2" fontId="43" fillId="3" borderId="65" xfId="0" applyNumberFormat="1" applyFont="1" applyFill="1" applyBorder="1" applyAlignment="1" applyProtection="1">
      <alignment horizontal="center"/>
      <protection hidden="1"/>
    </xf>
    <xf numFmtId="169" fontId="34" fillId="3" borderId="14" xfId="2" applyNumberFormat="1" applyFont="1" applyFill="1" applyBorder="1" applyAlignment="1" applyProtection="1">
      <alignment horizontal="center"/>
      <protection hidden="1"/>
    </xf>
    <xf numFmtId="2" fontId="34" fillId="6" borderId="67" xfId="0" applyNumberFormat="1" applyFont="1" applyFill="1" applyBorder="1" applyProtection="1">
      <protection locked="0"/>
    </xf>
    <xf numFmtId="0" fontId="15" fillId="3" borderId="29" xfId="0" applyFont="1" applyFill="1" applyBorder="1" applyAlignment="1" applyProtection="1">
      <alignment horizontal="left"/>
      <protection hidden="1"/>
    </xf>
    <xf numFmtId="2" fontId="40" fillId="3" borderId="29" xfId="0" applyNumberFormat="1" applyFont="1" applyFill="1" applyBorder="1" applyAlignment="1" applyProtection="1">
      <alignment horizontal="center"/>
      <protection hidden="1"/>
    </xf>
    <xf numFmtId="169" fontId="34" fillId="3" borderId="25" xfId="2" applyNumberFormat="1" applyFont="1" applyFill="1" applyBorder="1" applyAlignment="1" applyProtection="1">
      <alignment horizontal="center"/>
      <protection hidden="1"/>
    </xf>
    <xf numFmtId="2" fontId="34" fillId="6" borderId="81" xfId="0" applyNumberFormat="1" applyFont="1" applyFill="1" applyBorder="1" applyProtection="1">
      <protection locked="0"/>
    </xf>
    <xf numFmtId="0" fontId="79" fillId="3" borderId="20" xfId="0" applyFont="1" applyFill="1" applyBorder="1" applyProtection="1">
      <protection hidden="1"/>
    </xf>
    <xf numFmtId="0" fontId="15" fillId="3" borderId="52" xfId="0" applyFont="1" applyFill="1" applyBorder="1" applyProtection="1">
      <protection hidden="1"/>
    </xf>
    <xf numFmtId="2" fontId="40" fillId="3" borderId="52" xfId="0" applyNumberFormat="1" applyFont="1" applyFill="1" applyBorder="1" applyAlignment="1" applyProtection="1">
      <alignment horizontal="center"/>
      <protection hidden="1"/>
    </xf>
    <xf numFmtId="169" fontId="34" fillId="3" borderId="21" xfId="2" applyNumberFormat="1" applyFont="1" applyFill="1" applyBorder="1" applyAlignment="1" applyProtection="1">
      <alignment horizontal="center"/>
      <protection hidden="1"/>
    </xf>
    <xf numFmtId="2" fontId="34" fillId="6" borderId="72" xfId="0" applyNumberFormat="1" applyFont="1" applyFill="1" applyBorder="1" applyProtection="1">
      <protection locked="0"/>
    </xf>
    <xf numFmtId="0" fontId="34" fillId="0" borderId="50" xfId="0" applyFont="1" applyBorder="1"/>
    <xf numFmtId="0" fontId="34" fillId="2" borderId="78" xfId="0" applyFont="1" applyFill="1" applyBorder="1" applyProtection="1">
      <protection locked="0"/>
    </xf>
    <xf numFmtId="2" fontId="34" fillId="6" borderId="57" xfId="0" applyNumberFormat="1" applyFont="1" applyFill="1" applyBorder="1" applyProtection="1">
      <protection locked="0"/>
    </xf>
    <xf numFmtId="0" fontId="34" fillId="6" borderId="79" xfId="0" applyFont="1" applyFill="1" applyBorder="1" applyProtection="1">
      <protection locked="0"/>
    </xf>
    <xf numFmtId="0" fontId="34" fillId="2" borderId="56" xfId="0" applyFont="1" applyFill="1" applyBorder="1" applyProtection="1">
      <protection locked="0"/>
    </xf>
    <xf numFmtId="0" fontId="34" fillId="6" borderId="57" xfId="0" applyFont="1" applyFill="1" applyBorder="1" applyProtection="1">
      <protection locked="0"/>
    </xf>
    <xf numFmtId="13" fontId="34" fillId="6" borderId="68" xfId="0" applyNumberFormat="1" applyFont="1" applyFill="1" applyBorder="1" applyProtection="1">
      <protection locked="0"/>
    </xf>
    <xf numFmtId="0" fontId="15" fillId="3" borderId="52" xfId="0" applyFont="1" applyFill="1" applyBorder="1" applyAlignment="1" applyProtection="1">
      <alignment horizontal="left"/>
      <protection hidden="1"/>
    </xf>
    <xf numFmtId="0" fontId="34" fillId="0" borderId="52" xfId="0" applyFont="1" applyBorder="1"/>
    <xf numFmtId="0" fontId="34" fillId="2" borderId="84" xfId="0" applyFont="1" applyFill="1" applyBorder="1" applyProtection="1">
      <protection locked="0"/>
    </xf>
    <xf numFmtId="2" fontId="34" fillId="6" borderId="85" xfId="0" applyNumberFormat="1" applyFont="1" applyFill="1" applyBorder="1" applyProtection="1">
      <protection locked="0"/>
    </xf>
    <xf numFmtId="0" fontId="34" fillId="6" borderId="86" xfId="0" applyFont="1" applyFill="1" applyBorder="1" applyProtection="1">
      <protection locked="0"/>
    </xf>
    <xf numFmtId="0" fontId="34" fillId="2" borderId="87" xfId="0" applyFont="1" applyFill="1" applyBorder="1" applyProtection="1">
      <protection locked="0"/>
    </xf>
    <xf numFmtId="0" fontId="34" fillId="6" borderId="85" xfId="0" applyFont="1" applyFill="1" applyBorder="1" applyProtection="1">
      <protection locked="0"/>
    </xf>
    <xf numFmtId="0" fontId="15" fillId="3" borderId="29" xfId="0" applyFont="1" applyFill="1" applyBorder="1" applyProtection="1">
      <protection hidden="1"/>
    </xf>
    <xf numFmtId="2" fontId="43" fillId="3" borderId="29" xfId="0" applyNumberFormat="1" applyFont="1" applyFill="1" applyBorder="1" applyAlignment="1" applyProtection="1">
      <alignment horizontal="center"/>
      <protection hidden="1"/>
    </xf>
    <xf numFmtId="164" fontId="34" fillId="6" borderId="68" xfId="0" applyNumberFormat="1" applyFont="1" applyFill="1" applyBorder="1" applyProtection="1">
      <protection locked="0"/>
    </xf>
    <xf numFmtId="0" fontId="79" fillId="3" borderId="24" xfId="0" applyFont="1" applyFill="1" applyBorder="1" applyProtection="1">
      <protection hidden="1"/>
    </xf>
    <xf numFmtId="2" fontId="34" fillId="6" borderId="77" xfId="0" applyNumberFormat="1" applyFont="1" applyFill="1" applyBorder="1" applyProtection="1">
      <protection locked="0"/>
    </xf>
    <xf numFmtId="0" fontId="34" fillId="3" borderId="65" xfId="0" applyFont="1" applyFill="1" applyBorder="1" applyProtection="1">
      <protection hidden="1"/>
    </xf>
    <xf numFmtId="0" fontId="3" fillId="3" borderId="36" xfId="0" applyFont="1" applyFill="1" applyBorder="1" applyAlignment="1" applyProtection="1">
      <alignment horizontal="center"/>
      <protection hidden="1"/>
    </xf>
    <xf numFmtId="2" fontId="4" fillId="3" borderId="2" xfId="0" applyNumberFormat="1" applyFont="1" applyFill="1" applyBorder="1" applyAlignment="1" applyProtection="1">
      <alignment horizontal="center"/>
      <protection hidden="1"/>
    </xf>
    <xf numFmtId="10" fontId="4" fillId="3" borderId="2" xfId="2" applyNumberFormat="1" applyFont="1" applyFill="1" applyBorder="1" applyAlignment="1" applyProtection="1">
      <protection hidden="1"/>
    </xf>
    <xf numFmtId="0" fontId="34" fillId="0" borderId="90" xfId="0" applyFont="1" applyBorder="1" applyProtection="1">
      <protection locked="0"/>
    </xf>
    <xf numFmtId="0" fontId="34" fillId="0" borderId="50" xfId="0" applyFont="1" applyBorder="1" applyProtection="1">
      <protection locked="0"/>
    </xf>
    <xf numFmtId="0" fontId="34" fillId="0" borderId="58" xfId="0" applyFont="1" applyBorder="1" applyProtection="1">
      <protection locked="0"/>
    </xf>
    <xf numFmtId="0" fontId="3" fillId="3" borderId="0" xfId="0" applyFont="1" applyFill="1" applyAlignment="1" applyProtection="1">
      <alignment horizontal="center"/>
      <protection hidden="1"/>
    </xf>
    <xf numFmtId="2" fontId="4" fillId="3" borderId="25" xfId="0" applyNumberFormat="1" applyFont="1" applyFill="1" applyBorder="1" applyAlignment="1" applyProtection="1">
      <alignment horizontal="center"/>
      <protection hidden="1"/>
    </xf>
    <xf numFmtId="0" fontId="34" fillId="9" borderId="90" xfId="0" applyFont="1" applyFill="1" applyBorder="1" applyProtection="1">
      <protection locked="0"/>
    </xf>
    <xf numFmtId="0" fontId="34" fillId="9" borderId="55" xfId="0" applyFont="1" applyFill="1" applyBorder="1" applyProtection="1">
      <protection locked="0"/>
    </xf>
    <xf numFmtId="0" fontId="34" fillId="9" borderId="58" xfId="0" applyFont="1" applyFill="1" applyBorder="1" applyProtection="1">
      <protection locked="0"/>
    </xf>
    <xf numFmtId="0" fontId="15" fillId="3" borderId="37" xfId="0" applyFont="1" applyFill="1" applyBorder="1" applyAlignment="1" applyProtection="1">
      <alignment horizontal="center"/>
      <protection hidden="1"/>
    </xf>
    <xf numFmtId="0" fontId="34" fillId="3" borderId="37" xfId="0" applyFont="1" applyFill="1" applyBorder="1" applyAlignment="1" applyProtection="1">
      <alignment horizontal="center"/>
      <protection hidden="1"/>
    </xf>
    <xf numFmtId="2" fontId="34" fillId="3" borderId="37" xfId="0" applyNumberFormat="1" applyFont="1" applyFill="1" applyBorder="1" applyAlignment="1" applyProtection="1">
      <alignment horizontal="center"/>
      <protection hidden="1"/>
    </xf>
    <xf numFmtId="2" fontId="34" fillId="3" borderId="21" xfId="0" applyNumberFormat="1" applyFont="1" applyFill="1" applyBorder="1" applyAlignment="1" applyProtection="1">
      <alignment horizontal="center"/>
      <protection hidden="1"/>
    </xf>
    <xf numFmtId="0" fontId="4" fillId="0" borderId="54" xfId="0" applyFont="1" applyBorder="1" applyAlignment="1" applyProtection="1">
      <alignment horizontal="center"/>
      <protection hidden="1"/>
    </xf>
    <xf numFmtId="0" fontId="4" fillId="0" borderId="35" xfId="0" applyFont="1" applyBorder="1" applyAlignment="1" applyProtection="1">
      <alignment horizontal="center"/>
      <protection hidden="1"/>
    </xf>
    <xf numFmtId="0" fontId="4" fillId="0" borderId="53" xfId="0" applyFont="1" applyBorder="1" applyAlignment="1" applyProtection="1">
      <alignment horizontal="center"/>
      <protection hidden="1"/>
    </xf>
    <xf numFmtId="0" fontId="4" fillId="0" borderId="31" xfId="0" applyFont="1" applyBorder="1" applyAlignment="1" applyProtection="1">
      <alignment horizontal="center"/>
      <protection hidden="1"/>
    </xf>
    <xf numFmtId="0" fontId="4" fillId="0" borderId="59" xfId="0" applyFont="1" applyBorder="1" applyAlignment="1" applyProtection="1">
      <alignment horizontal="center"/>
      <protection hidden="1"/>
    </xf>
    <xf numFmtId="0" fontId="40" fillId="3" borderId="65" xfId="0" applyFont="1" applyFill="1" applyBorder="1" applyAlignment="1" applyProtection="1">
      <alignment horizontal="center"/>
      <protection hidden="1"/>
    </xf>
    <xf numFmtId="2" fontId="34" fillId="8" borderId="66" xfId="0" applyNumberFormat="1" applyFont="1" applyFill="1" applyBorder="1" applyProtection="1">
      <protection locked="0"/>
    </xf>
    <xf numFmtId="0" fontId="40" fillId="3" borderId="52" xfId="0" applyFont="1" applyFill="1" applyBorder="1" applyAlignment="1" applyProtection="1">
      <alignment horizontal="center"/>
      <protection hidden="1"/>
    </xf>
    <xf numFmtId="2" fontId="34" fillId="8" borderId="71" xfId="0" applyNumberFormat="1" applyFont="1" applyFill="1" applyBorder="1" applyProtection="1">
      <protection locked="0"/>
    </xf>
    <xf numFmtId="0" fontId="40" fillId="3" borderId="29" xfId="0" applyFont="1" applyFill="1" applyBorder="1" applyAlignment="1" applyProtection="1">
      <alignment horizontal="center"/>
      <protection hidden="1"/>
    </xf>
    <xf numFmtId="2" fontId="34" fillId="8" borderId="91" xfId="0" applyNumberFormat="1" applyFont="1" applyFill="1" applyBorder="1" applyProtection="1">
      <protection locked="0"/>
    </xf>
    <xf numFmtId="43" fontId="34" fillId="8" borderId="70" xfId="0" applyNumberFormat="1" applyFont="1" applyFill="1" applyBorder="1" applyProtection="1">
      <protection locked="0"/>
    </xf>
    <xf numFmtId="0" fontId="15" fillId="3" borderId="13" xfId="0" applyFont="1" applyFill="1" applyBorder="1" applyProtection="1">
      <protection hidden="1"/>
    </xf>
    <xf numFmtId="2" fontId="34" fillId="8" borderId="76" xfId="0" applyNumberFormat="1" applyFont="1" applyFill="1" applyBorder="1" applyProtection="1">
      <protection locked="0"/>
    </xf>
    <xf numFmtId="0" fontId="15" fillId="3" borderId="20" xfId="0" applyFont="1" applyFill="1" applyBorder="1" applyProtection="1">
      <protection hidden="1"/>
    </xf>
    <xf numFmtId="2" fontId="34" fillId="8" borderId="80" xfId="0" applyNumberFormat="1" applyFont="1" applyFill="1" applyBorder="1" applyProtection="1">
      <protection locked="0"/>
    </xf>
    <xf numFmtId="169" fontId="4" fillId="3" borderId="2" xfId="2" applyNumberFormat="1" applyFont="1" applyFill="1" applyBorder="1" applyAlignment="1" applyProtection="1">
      <alignment horizontal="center"/>
      <protection hidden="1"/>
    </xf>
    <xf numFmtId="0" fontId="39" fillId="3" borderId="0" xfId="0" applyFont="1" applyFill="1" applyAlignment="1" applyProtection="1">
      <alignment horizontal="left"/>
      <protection hidden="1"/>
    </xf>
    <xf numFmtId="0" fontId="39" fillId="3" borderId="0" xfId="0" applyFont="1" applyFill="1" applyAlignment="1" applyProtection="1">
      <alignment horizontal="center"/>
      <protection hidden="1"/>
    </xf>
    <xf numFmtId="167" fontId="34" fillId="3" borderId="53" xfId="0" applyNumberFormat="1" applyFont="1" applyFill="1" applyBorder="1" applyAlignment="1" applyProtection="1">
      <alignment horizontal="center"/>
      <protection hidden="1"/>
    </xf>
    <xf numFmtId="0" fontId="39" fillId="3" borderId="53" xfId="0" applyFont="1" applyFill="1" applyBorder="1" applyAlignment="1" applyProtection="1">
      <alignment horizontal="center"/>
      <protection hidden="1"/>
    </xf>
    <xf numFmtId="167" fontId="55" fillId="3" borderId="62" xfId="0" applyNumberFormat="1" applyFont="1" applyFill="1" applyBorder="1" applyAlignment="1" applyProtection="1">
      <alignment horizontal="center"/>
      <protection hidden="1"/>
    </xf>
    <xf numFmtId="9" fontId="5" fillId="3" borderId="2" xfId="2" applyFont="1" applyFill="1" applyBorder="1" applyProtection="1">
      <protection hidden="1"/>
    </xf>
    <xf numFmtId="1" fontId="32" fillId="3" borderId="94" xfId="0" applyNumberFormat="1" applyFont="1" applyFill="1" applyBorder="1" applyAlignment="1" applyProtection="1">
      <alignment horizontal="center"/>
      <protection hidden="1"/>
    </xf>
    <xf numFmtId="167" fontId="32" fillId="3" borderId="39" xfId="0" applyNumberFormat="1" applyFont="1" applyFill="1" applyBorder="1" applyAlignment="1" applyProtection="1">
      <alignment horizontal="center"/>
      <protection hidden="1"/>
    </xf>
    <xf numFmtId="171" fontId="32" fillId="3" borderId="124" xfId="2" applyNumberFormat="1" applyFont="1" applyFill="1" applyBorder="1" applyAlignment="1" applyProtection="1">
      <alignment horizontal="center"/>
      <protection hidden="1"/>
    </xf>
    <xf numFmtId="0" fontId="30" fillId="0" borderId="0" xfId="0" applyFont="1"/>
    <xf numFmtId="0" fontId="80" fillId="0" borderId="0" xfId="0" applyFont="1"/>
    <xf numFmtId="0" fontId="81" fillId="0" borderId="0" xfId="0" applyFont="1" applyProtection="1">
      <protection locked="0"/>
    </xf>
    <xf numFmtId="0" fontId="81" fillId="0" borderId="0" xfId="0" applyFont="1" applyProtection="1">
      <protection hidden="1"/>
    </xf>
    <xf numFmtId="0" fontId="81" fillId="0" borderId="0" xfId="0" applyFont="1" applyAlignment="1" applyProtection="1">
      <alignment horizontal="center"/>
      <protection locked="0"/>
    </xf>
    <xf numFmtId="0" fontId="34" fillId="0" borderId="3" xfId="0" applyFont="1" applyBorder="1" applyProtection="1">
      <protection hidden="1"/>
    </xf>
    <xf numFmtId="2" fontId="34" fillId="0" borderId="3" xfId="0" applyNumberFormat="1" applyFont="1" applyBorder="1" applyProtection="1">
      <protection hidden="1"/>
    </xf>
    <xf numFmtId="2" fontId="34" fillId="10" borderId="3" xfId="0" applyNumberFormat="1" applyFont="1" applyFill="1" applyBorder="1" applyProtection="1">
      <protection locked="0"/>
    </xf>
    <xf numFmtId="170" fontId="4" fillId="0" borderId="3" xfId="0" applyNumberFormat="1" applyFont="1" applyBorder="1" applyProtection="1">
      <protection hidden="1"/>
    </xf>
    <xf numFmtId="0" fontId="34" fillId="10" borderId="3" xfId="0" applyFont="1" applyFill="1" applyBorder="1" applyProtection="1">
      <protection locked="0"/>
    </xf>
    <xf numFmtId="0" fontId="34" fillId="3" borderId="3" xfId="0" applyFont="1" applyFill="1" applyBorder="1" applyAlignment="1" applyProtection="1">
      <alignment horizontal="left"/>
      <protection hidden="1"/>
    </xf>
    <xf numFmtId="0" fontId="82" fillId="0" borderId="3" xfId="0" applyFont="1" applyBorder="1" applyProtection="1">
      <protection hidden="1"/>
    </xf>
    <xf numFmtId="2" fontId="75" fillId="0" borderId="3" xfId="0" applyNumberFormat="1" applyFont="1" applyBorder="1" applyProtection="1">
      <protection hidden="1"/>
    </xf>
    <xf numFmtId="0" fontId="4" fillId="11" borderId="3" xfId="0" applyFont="1" applyFill="1" applyBorder="1" applyProtection="1">
      <protection hidden="1"/>
    </xf>
    <xf numFmtId="0" fontId="34" fillId="0" borderId="0" xfId="0" applyFont="1"/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hidden="1"/>
    </xf>
    <xf numFmtId="0" fontId="0" fillId="0" borderId="0" xfId="0" applyProtection="1">
      <protection hidden="1"/>
    </xf>
    <xf numFmtId="0" fontId="17" fillId="0" borderId="13" xfId="0" applyFont="1" applyBorder="1" applyProtection="1">
      <protection hidden="1"/>
    </xf>
    <xf numFmtId="14" fontId="67" fillId="0" borderId="14" xfId="0" applyNumberFormat="1" applyFont="1" applyBorder="1" applyAlignment="1" applyProtection="1">
      <alignment horizontal="left"/>
      <protection hidden="1"/>
    </xf>
    <xf numFmtId="0" fontId="24" fillId="0" borderId="0" xfId="0" applyFont="1" applyProtection="1">
      <protection locked="0"/>
    </xf>
    <xf numFmtId="2" fontId="0" fillId="0" borderId="0" xfId="0" applyNumberFormat="1" applyProtection="1">
      <protection hidden="1"/>
    </xf>
    <xf numFmtId="10" fontId="0" fillId="0" borderId="0" xfId="0" applyNumberFormat="1" applyProtection="1">
      <protection hidden="1"/>
    </xf>
    <xf numFmtId="0" fontId="4" fillId="0" borderId="1" xfId="0" applyFont="1" applyBorder="1" applyAlignment="1" applyProtection="1">
      <alignment horizontal="center"/>
      <protection hidden="1"/>
    </xf>
    <xf numFmtId="172" fontId="17" fillId="5" borderId="31" xfId="1" applyNumberFormat="1" applyFont="1" applyFill="1" applyBorder="1" applyAlignment="1" applyProtection="1">
      <alignment horizontal="center" textRotation="90"/>
      <protection hidden="1"/>
    </xf>
    <xf numFmtId="172" fontId="4" fillId="5" borderId="32" xfId="0" applyNumberFormat="1" applyFont="1" applyFill="1" applyBorder="1" applyAlignment="1" applyProtection="1">
      <alignment horizontal="center" textRotation="90"/>
      <protection hidden="1"/>
    </xf>
    <xf numFmtId="172" fontId="4" fillId="5" borderId="35" xfId="1" applyNumberFormat="1" applyFont="1" applyFill="1" applyBorder="1" applyAlignment="1" applyProtection="1">
      <alignment horizontal="center" textRotation="90"/>
      <protection hidden="1"/>
    </xf>
    <xf numFmtId="172" fontId="4" fillId="17" borderId="53" xfId="1" applyNumberFormat="1" applyFont="1" applyFill="1" applyBorder="1" applyAlignment="1" applyProtection="1">
      <alignment horizontal="center" textRotation="90"/>
      <protection hidden="1"/>
    </xf>
    <xf numFmtId="172" fontId="17" fillId="0" borderId="31" xfId="0" applyNumberFormat="1" applyFont="1" applyBorder="1" applyAlignment="1" applyProtection="1">
      <alignment horizontal="center" textRotation="90"/>
      <protection hidden="1"/>
    </xf>
    <xf numFmtId="172" fontId="4" fillId="5" borderId="32" xfId="1" applyNumberFormat="1" applyFont="1" applyFill="1" applyBorder="1" applyAlignment="1" applyProtection="1">
      <alignment horizontal="center" textRotation="90"/>
      <protection hidden="1"/>
    </xf>
    <xf numFmtId="172" fontId="60" fillId="0" borderId="35" xfId="0" applyNumberFormat="1" applyFont="1" applyBorder="1" applyAlignment="1" applyProtection="1">
      <alignment horizontal="center" textRotation="90"/>
      <protection hidden="1"/>
    </xf>
    <xf numFmtId="0" fontId="0" fillId="0" borderId="3" xfId="0" applyBorder="1" applyProtection="1">
      <protection locked="0"/>
    </xf>
    <xf numFmtId="2" fontId="0" fillId="0" borderId="3" xfId="0" applyNumberFormat="1" applyBorder="1" applyProtection="1">
      <protection locked="0"/>
    </xf>
    <xf numFmtId="1" fontId="0" fillId="0" borderId="3" xfId="0" applyNumberFormat="1" applyBorder="1" applyProtection="1">
      <protection locked="0"/>
    </xf>
    <xf numFmtId="172" fontId="34" fillId="17" borderId="0" xfId="0" applyNumberFormat="1" applyFont="1" applyFill="1" applyAlignment="1" applyProtection="1">
      <alignment vertical="center"/>
      <protection locked="0"/>
    </xf>
    <xf numFmtId="0" fontId="0" fillId="0" borderId="128" xfId="0" applyBorder="1" applyProtection="1">
      <protection hidden="1"/>
    </xf>
    <xf numFmtId="0" fontId="0" fillId="0" borderId="129" xfId="0" applyBorder="1" applyProtection="1">
      <protection hidden="1"/>
    </xf>
    <xf numFmtId="0" fontId="0" fillId="0" borderId="51" xfId="0" applyBorder="1" applyProtection="1">
      <protection hidden="1"/>
    </xf>
    <xf numFmtId="2" fontId="0" fillId="0" borderId="51" xfId="0" applyNumberFormat="1" applyBorder="1" applyProtection="1">
      <protection hidden="1"/>
    </xf>
    <xf numFmtId="10" fontId="0" fillId="0" borderId="130" xfId="0" applyNumberFormat="1" applyBorder="1" applyProtection="1">
      <protection hidden="1"/>
    </xf>
    <xf numFmtId="167" fontId="0" fillId="0" borderId="3" xfId="0" applyNumberFormat="1" applyBorder="1" applyProtection="1">
      <protection locked="0"/>
    </xf>
    <xf numFmtId="172" fontId="17" fillId="16" borderId="168" xfId="0" applyNumberFormat="1" applyFont="1" applyFill="1" applyBorder="1" applyAlignment="1" applyProtection="1">
      <alignment vertical="center"/>
      <protection hidden="1"/>
    </xf>
    <xf numFmtId="172" fontId="34" fillId="16" borderId="5" xfId="0" applyNumberFormat="1" applyFont="1" applyFill="1" applyBorder="1" applyAlignment="1" applyProtection="1">
      <alignment horizontal="left"/>
      <protection hidden="1"/>
    </xf>
    <xf numFmtId="172" fontId="34" fillId="7" borderId="5" xfId="0" applyNumberFormat="1" applyFont="1" applyFill="1" applyBorder="1" applyProtection="1">
      <protection locked="0"/>
    </xf>
    <xf numFmtId="0" fontId="34" fillId="15" borderId="6" xfId="0" applyFont="1" applyFill="1" applyBorder="1" applyProtection="1">
      <protection locked="0"/>
    </xf>
    <xf numFmtId="0" fontId="34" fillId="17" borderId="38" xfId="0" applyFont="1" applyFill="1" applyBorder="1" applyProtection="1">
      <protection locked="0"/>
    </xf>
    <xf numFmtId="172" fontId="34" fillId="16" borderId="5" xfId="0" applyNumberFormat="1" applyFont="1" applyFill="1" applyBorder="1" applyProtection="1">
      <protection hidden="1"/>
    </xf>
    <xf numFmtId="172" fontId="34" fillId="15" borderId="5" xfId="0" applyNumberFormat="1" applyFont="1" applyFill="1" applyBorder="1" applyProtection="1">
      <protection locked="0"/>
    </xf>
    <xf numFmtId="170" fontId="34" fillId="16" borderId="6" xfId="0" applyNumberFormat="1" applyFont="1" applyFill="1" applyBorder="1" applyProtection="1">
      <protection hidden="1"/>
    </xf>
    <xf numFmtId="0" fontId="4" fillId="0" borderId="1" xfId="0" applyFont="1" applyBorder="1" applyAlignment="1" applyProtection="1">
      <alignment horizontal="center" vertical="center"/>
      <protection hidden="1"/>
    </xf>
    <xf numFmtId="0" fontId="4" fillId="0" borderId="53" xfId="0" applyFont="1" applyBorder="1" applyAlignment="1" applyProtection="1">
      <alignment horizontal="center" vertical="center"/>
      <protection hidden="1"/>
    </xf>
    <xf numFmtId="0" fontId="0" fillId="0" borderId="131" xfId="0" applyBorder="1" applyProtection="1">
      <protection hidden="1"/>
    </xf>
    <xf numFmtId="0" fontId="0" fillId="0" borderId="49" xfId="0" applyBorder="1" applyProtection="1">
      <protection hidden="1"/>
    </xf>
    <xf numFmtId="0" fontId="0" fillId="0" borderId="148" xfId="0" applyBorder="1" applyProtection="1">
      <protection hidden="1"/>
    </xf>
    <xf numFmtId="2" fontId="0" fillId="0" borderId="148" xfId="0" applyNumberFormat="1" applyBorder="1" applyProtection="1">
      <protection hidden="1"/>
    </xf>
    <xf numFmtId="10" fontId="0" fillId="0" borderId="132" xfId="0" applyNumberFormat="1" applyBorder="1" applyProtection="1">
      <protection hidden="1"/>
    </xf>
    <xf numFmtId="172" fontId="17" fillId="16" borderId="187" xfId="0" applyNumberFormat="1" applyFont="1" applyFill="1" applyBorder="1" applyAlignment="1" applyProtection="1">
      <alignment vertical="center"/>
      <protection hidden="1"/>
    </xf>
    <xf numFmtId="172" fontId="34" fillId="16" borderId="3" xfId="0" applyNumberFormat="1" applyFont="1" applyFill="1" applyBorder="1" applyAlignment="1" applyProtection="1">
      <alignment horizontal="left"/>
      <protection hidden="1"/>
    </xf>
    <xf numFmtId="172" fontId="34" fillId="7" borderId="3" xfId="0" applyNumberFormat="1" applyFont="1" applyFill="1" applyBorder="1" applyProtection="1">
      <protection locked="0"/>
    </xf>
    <xf numFmtId="172" fontId="34" fillId="15" borderId="126" xfId="0" applyNumberFormat="1" applyFont="1" applyFill="1" applyBorder="1" applyProtection="1">
      <protection locked="0"/>
    </xf>
    <xf numFmtId="172" fontId="34" fillId="17" borderId="43" xfId="0" applyNumberFormat="1" applyFont="1" applyFill="1" applyBorder="1" applyProtection="1">
      <protection locked="0"/>
    </xf>
    <xf numFmtId="172" fontId="34" fillId="16" borderId="3" xfId="0" applyNumberFormat="1" applyFont="1" applyFill="1" applyBorder="1" applyProtection="1">
      <protection hidden="1"/>
    </xf>
    <xf numFmtId="172" fontId="34" fillId="15" borderId="3" xfId="0" applyNumberFormat="1" applyFont="1" applyFill="1" applyBorder="1" applyProtection="1">
      <protection locked="0"/>
    </xf>
    <xf numFmtId="170" fontId="34" fillId="16" borderId="126" xfId="0" applyNumberFormat="1" applyFont="1" applyFill="1" applyBorder="1" applyProtection="1">
      <protection hidden="1"/>
    </xf>
    <xf numFmtId="0" fontId="4" fillId="3" borderId="149" xfId="0" applyFont="1" applyFill="1" applyBorder="1" applyAlignment="1" applyProtection="1">
      <alignment horizontal="left"/>
      <protection hidden="1"/>
    </xf>
    <xf numFmtId="0" fontId="4" fillId="3" borderId="40" xfId="0" applyFont="1" applyFill="1" applyBorder="1" applyAlignment="1" applyProtection="1">
      <alignment horizontal="center"/>
      <protection hidden="1"/>
    </xf>
    <xf numFmtId="0" fontId="0" fillId="0" borderId="133" xfId="0" applyBorder="1" applyProtection="1">
      <protection hidden="1"/>
    </xf>
    <xf numFmtId="0" fontId="0" fillId="0" borderId="134" xfId="0" applyBorder="1" applyProtection="1">
      <protection hidden="1"/>
    </xf>
    <xf numFmtId="0" fontId="0" fillId="0" borderId="147" xfId="0" applyBorder="1" applyProtection="1">
      <protection hidden="1"/>
    </xf>
    <xf numFmtId="2" fontId="0" fillId="0" borderId="147" xfId="0" applyNumberFormat="1" applyBorder="1" applyProtection="1">
      <protection hidden="1"/>
    </xf>
    <xf numFmtId="10" fontId="0" fillId="0" borderId="135" xfId="0" applyNumberFormat="1" applyBorder="1" applyProtection="1">
      <protection hidden="1"/>
    </xf>
    <xf numFmtId="0" fontId="34" fillId="7" borderId="129" xfId="0" applyFont="1" applyFill="1" applyBorder="1" applyAlignment="1" applyProtection="1">
      <alignment horizontal="left"/>
      <protection locked="0"/>
    </xf>
    <xf numFmtId="167" fontId="4" fillId="13" borderId="51" xfId="0" applyNumberFormat="1" applyFont="1" applyFill="1" applyBorder="1" applyAlignment="1" applyProtection="1">
      <alignment horizontal="right"/>
      <protection locked="0"/>
    </xf>
    <xf numFmtId="167" fontId="4" fillId="7" borderId="180" xfId="0" applyNumberFormat="1" applyFont="1" applyFill="1" applyBorder="1" applyAlignment="1" applyProtection="1">
      <alignment horizontal="right"/>
      <protection locked="0"/>
    </xf>
    <xf numFmtId="9" fontId="4" fillId="13" borderId="130" xfId="2" applyFont="1" applyFill="1" applyBorder="1" applyAlignment="1" applyProtection="1">
      <alignment horizontal="center"/>
      <protection locked="0"/>
    </xf>
    <xf numFmtId="172" fontId="17" fillId="16" borderId="7" xfId="0" applyNumberFormat="1" applyFont="1" applyFill="1" applyBorder="1" applyAlignment="1" applyProtection="1">
      <alignment vertical="center"/>
      <protection hidden="1"/>
    </xf>
    <xf numFmtId="0" fontId="34" fillId="7" borderId="137" xfId="0" applyFont="1" applyFill="1" applyBorder="1" applyAlignment="1" applyProtection="1">
      <alignment horizontal="center"/>
      <protection locked="0"/>
    </xf>
    <xf numFmtId="167" fontId="34" fillId="13" borderId="146" xfId="0" applyNumberFormat="1" applyFont="1" applyFill="1" applyBorder="1" applyAlignment="1" applyProtection="1">
      <alignment horizontal="right"/>
      <protection locked="0"/>
    </xf>
    <xf numFmtId="0" fontId="34" fillId="7" borderId="181" xfId="0" applyFont="1" applyFill="1" applyBorder="1" applyAlignment="1" applyProtection="1">
      <alignment horizontal="right"/>
      <protection locked="0"/>
    </xf>
    <xf numFmtId="2" fontId="34" fillId="13" borderId="138" xfId="2" applyNumberFormat="1" applyFont="1" applyFill="1" applyBorder="1" applyAlignment="1" applyProtection="1">
      <alignment horizontal="center"/>
      <protection locked="0"/>
    </xf>
    <xf numFmtId="167" fontId="0" fillId="0" borderId="0" xfId="0" applyNumberFormat="1" applyProtection="1">
      <protection locked="0"/>
    </xf>
    <xf numFmtId="177" fontId="34" fillId="15" borderId="126" xfId="0" applyNumberFormat="1" applyFont="1" applyFill="1" applyBorder="1" applyProtection="1">
      <protection locked="0"/>
    </xf>
    <xf numFmtId="172" fontId="17" fillId="16" borderId="26" xfId="0" applyNumberFormat="1" applyFont="1" applyFill="1" applyBorder="1" applyProtection="1">
      <protection hidden="1"/>
    </xf>
    <xf numFmtId="172" fontId="17" fillId="16" borderId="188" xfId="0" applyNumberFormat="1" applyFont="1" applyFill="1" applyBorder="1" applyAlignment="1" applyProtection="1">
      <alignment vertical="center"/>
      <protection hidden="1"/>
    </xf>
    <xf numFmtId="172" fontId="4" fillId="16" borderId="155" xfId="0" applyNumberFormat="1" applyFont="1" applyFill="1" applyBorder="1" applyAlignment="1" applyProtection="1">
      <alignment horizontal="left"/>
      <protection hidden="1"/>
    </xf>
    <xf numFmtId="172" fontId="4" fillId="7" borderId="153" xfId="0" applyNumberFormat="1" applyFont="1" applyFill="1" applyBorder="1" applyProtection="1">
      <protection hidden="1"/>
    </xf>
    <xf numFmtId="172" fontId="4" fillId="15" borderId="153" xfId="0" applyNumberFormat="1" applyFont="1" applyFill="1" applyBorder="1" applyProtection="1">
      <protection hidden="1"/>
    </xf>
    <xf numFmtId="172" fontId="4" fillId="17" borderId="186" xfId="0" applyNumberFormat="1" applyFont="1" applyFill="1" applyBorder="1" applyProtection="1">
      <protection hidden="1"/>
    </xf>
    <xf numFmtId="172" fontId="17" fillId="16" borderId="154" xfId="0" applyNumberFormat="1" applyFont="1" applyFill="1" applyBorder="1" applyProtection="1">
      <protection hidden="1"/>
    </xf>
    <xf numFmtId="172" fontId="4" fillId="16" borderId="155" xfId="0" applyNumberFormat="1" applyFont="1" applyFill="1" applyBorder="1" applyProtection="1">
      <protection hidden="1"/>
    </xf>
    <xf numFmtId="172" fontId="4" fillId="7" borderId="155" xfId="0" applyNumberFormat="1" applyFont="1" applyFill="1" applyBorder="1" applyProtection="1">
      <protection hidden="1"/>
    </xf>
    <xf numFmtId="172" fontId="4" fillId="15" borderId="155" xfId="0" applyNumberFormat="1" applyFont="1" applyFill="1" applyBorder="1" applyProtection="1">
      <protection hidden="1"/>
    </xf>
    <xf numFmtId="170" fontId="4" fillId="16" borderId="153" xfId="0" applyNumberFormat="1" applyFont="1" applyFill="1" applyBorder="1" applyProtection="1">
      <protection hidden="1"/>
    </xf>
    <xf numFmtId="172" fontId="17" fillId="16" borderId="189" xfId="0" applyNumberFormat="1" applyFont="1" applyFill="1" applyBorder="1" applyAlignment="1" applyProtection="1">
      <alignment vertical="center"/>
      <protection hidden="1"/>
    </xf>
    <xf numFmtId="172" fontId="34" fillId="7" borderId="9" xfId="0" applyNumberFormat="1" applyFont="1" applyFill="1" applyBorder="1" applyProtection="1">
      <protection locked="0"/>
    </xf>
    <xf numFmtId="172" fontId="34" fillId="17" borderId="10" xfId="0" applyNumberFormat="1" applyFont="1" applyFill="1" applyBorder="1" applyProtection="1">
      <protection locked="0"/>
    </xf>
    <xf numFmtId="172" fontId="17" fillId="16" borderId="189" xfId="0" applyNumberFormat="1" applyFont="1" applyFill="1" applyBorder="1" applyProtection="1">
      <protection hidden="1"/>
    </xf>
    <xf numFmtId="0" fontId="4" fillId="3" borderId="4" xfId="0" applyFont="1" applyFill="1" applyBorder="1" applyAlignment="1" applyProtection="1">
      <alignment horizontal="left"/>
      <protection hidden="1"/>
    </xf>
    <xf numFmtId="0" fontId="4" fillId="3" borderId="11" xfId="0" applyFont="1" applyFill="1" applyBorder="1" applyAlignment="1" applyProtection="1">
      <alignment horizontal="center"/>
      <protection hidden="1"/>
    </xf>
    <xf numFmtId="0" fontId="4" fillId="7" borderId="11" xfId="0" applyFont="1" applyFill="1" applyBorder="1" applyAlignment="1" applyProtection="1">
      <alignment horizontal="center"/>
      <protection hidden="1"/>
    </xf>
    <xf numFmtId="167" fontId="4" fillId="3" borderId="5" xfId="0" applyNumberFormat="1" applyFont="1" applyFill="1" applyBorder="1" applyAlignment="1" applyProtection="1">
      <alignment horizontal="center"/>
      <protection hidden="1"/>
    </xf>
    <xf numFmtId="167" fontId="4" fillId="7" borderId="11" xfId="0" applyNumberFormat="1" applyFont="1" applyFill="1" applyBorder="1" applyAlignment="1" applyProtection="1">
      <alignment horizontal="center"/>
      <protection hidden="1"/>
    </xf>
    <xf numFmtId="167" fontId="4" fillId="3" borderId="6" xfId="0" applyNumberFormat="1" applyFont="1" applyFill="1" applyBorder="1" applyAlignment="1" applyProtection="1">
      <alignment horizontal="center"/>
      <protection hidden="1"/>
    </xf>
    <xf numFmtId="172" fontId="17" fillId="16" borderId="7" xfId="0" applyNumberFormat="1" applyFont="1" applyFill="1" applyBorder="1" applyProtection="1">
      <protection hidden="1"/>
    </xf>
    <xf numFmtId="0" fontId="4" fillId="0" borderId="172" xfId="0" applyFont="1" applyBorder="1" applyProtection="1">
      <protection hidden="1"/>
    </xf>
    <xf numFmtId="0" fontId="34" fillId="0" borderId="183" xfId="0" applyFont="1" applyBorder="1" applyProtection="1">
      <protection hidden="1"/>
    </xf>
    <xf numFmtId="0" fontId="34" fillId="7" borderId="185" xfId="0" applyFont="1" applyFill="1" applyBorder="1" applyProtection="1">
      <protection locked="0"/>
    </xf>
    <xf numFmtId="167" fontId="34" fillId="13" borderId="183" xfId="0" applyNumberFormat="1" applyFont="1" applyFill="1" applyBorder="1" applyAlignment="1" applyProtection="1">
      <alignment horizontal="right"/>
      <protection locked="0"/>
    </xf>
    <xf numFmtId="0" fontId="34" fillId="7" borderId="178" xfId="0" applyFont="1" applyFill="1" applyBorder="1" applyProtection="1">
      <protection locked="0"/>
    </xf>
    <xf numFmtId="167" fontId="34" fillId="13" borderId="173" xfId="0" applyNumberFormat="1" applyFont="1" applyFill="1" applyBorder="1" applyAlignment="1" applyProtection="1">
      <alignment horizontal="right"/>
      <protection locked="0"/>
    </xf>
    <xf numFmtId="0" fontId="4" fillId="0" borderId="174" xfId="0" applyFont="1" applyBorder="1" applyProtection="1">
      <protection hidden="1"/>
    </xf>
    <xf numFmtId="0" fontId="34" fillId="0" borderId="179" xfId="0" applyFont="1" applyBorder="1" applyProtection="1">
      <protection hidden="1"/>
    </xf>
    <xf numFmtId="167" fontId="34" fillId="13" borderId="179" xfId="0" applyNumberFormat="1" applyFont="1" applyFill="1" applyBorder="1" applyAlignment="1" applyProtection="1">
      <alignment horizontal="right"/>
      <protection locked="0"/>
    </xf>
    <xf numFmtId="167" fontId="34" fillId="13" borderId="175" xfId="0" applyNumberFormat="1" applyFont="1" applyFill="1" applyBorder="1" applyAlignment="1" applyProtection="1">
      <alignment horizontal="right"/>
      <protection locked="0"/>
    </xf>
    <xf numFmtId="0" fontId="0" fillId="0" borderId="136" xfId="0" applyBorder="1" applyProtection="1">
      <protection hidden="1"/>
    </xf>
    <xf numFmtId="0" fontId="0" fillId="0" borderId="137" xfId="0" applyBorder="1" applyProtection="1">
      <protection hidden="1"/>
    </xf>
    <xf numFmtId="0" fontId="0" fillId="0" borderId="146" xfId="0" applyBorder="1" applyProtection="1">
      <protection hidden="1"/>
    </xf>
    <xf numFmtId="2" fontId="0" fillId="0" borderId="146" xfId="0" applyNumberFormat="1" applyBorder="1" applyProtection="1">
      <protection hidden="1"/>
    </xf>
    <xf numFmtId="10" fontId="0" fillId="0" borderId="138" xfId="0" applyNumberFormat="1" applyBorder="1" applyProtection="1">
      <protection hidden="1"/>
    </xf>
    <xf numFmtId="172" fontId="34" fillId="16" borderId="9" xfId="0" applyNumberFormat="1" applyFont="1" applyFill="1" applyBorder="1" applyAlignment="1" applyProtection="1">
      <alignment horizontal="left"/>
      <protection hidden="1"/>
    </xf>
    <xf numFmtId="172" fontId="34" fillId="15" borderId="151" xfId="0" applyNumberFormat="1" applyFont="1" applyFill="1" applyBorder="1" applyProtection="1">
      <protection locked="0"/>
    </xf>
    <xf numFmtId="172" fontId="34" fillId="16" borderId="9" xfId="0" applyNumberFormat="1" applyFont="1" applyFill="1" applyBorder="1" applyProtection="1">
      <protection hidden="1"/>
    </xf>
    <xf numFmtId="172" fontId="34" fillId="15" borderId="9" xfId="0" applyNumberFormat="1" applyFont="1" applyFill="1" applyBorder="1" applyProtection="1">
      <protection locked="0"/>
    </xf>
    <xf numFmtId="170" fontId="34" fillId="16" borderId="151" xfId="0" applyNumberFormat="1" applyFont="1" applyFill="1" applyBorder="1" applyProtection="1">
      <protection hidden="1"/>
    </xf>
    <xf numFmtId="172" fontId="17" fillId="16" borderId="187" xfId="0" applyNumberFormat="1" applyFont="1" applyFill="1" applyBorder="1" applyProtection="1">
      <protection hidden="1"/>
    </xf>
    <xf numFmtId="0" fontId="34" fillId="7" borderId="178" xfId="0" applyFont="1" applyFill="1" applyBorder="1" applyProtection="1">
      <protection hidden="1"/>
    </xf>
    <xf numFmtId="167" fontId="34" fillId="13" borderId="179" xfId="0" applyNumberFormat="1" applyFont="1" applyFill="1" applyBorder="1" applyAlignment="1" applyProtection="1">
      <alignment horizontal="right"/>
      <protection hidden="1"/>
    </xf>
    <xf numFmtId="10" fontId="0" fillId="0" borderId="51" xfId="0" applyNumberFormat="1" applyBorder="1" applyProtection="1">
      <protection hidden="1"/>
    </xf>
    <xf numFmtId="167" fontId="0" fillId="0" borderId="148" xfId="0" applyNumberFormat="1" applyBorder="1" applyProtection="1">
      <protection hidden="1"/>
    </xf>
    <xf numFmtId="10" fontId="0" fillId="0" borderId="148" xfId="0" applyNumberFormat="1" applyBorder="1" applyProtection="1">
      <protection hidden="1"/>
    </xf>
    <xf numFmtId="167" fontId="0" fillId="0" borderId="147" xfId="0" applyNumberFormat="1" applyBorder="1" applyProtection="1">
      <protection hidden="1"/>
    </xf>
    <xf numFmtId="10" fontId="0" fillId="0" borderId="147" xfId="0" applyNumberFormat="1" applyBorder="1" applyProtection="1">
      <protection hidden="1"/>
    </xf>
    <xf numFmtId="173" fontId="34" fillId="7" borderId="178" xfId="0" applyNumberFormat="1" applyFont="1" applyFill="1" applyBorder="1" applyProtection="1">
      <protection locked="0"/>
    </xf>
    <xf numFmtId="0" fontId="4" fillId="0" borderId="176" xfId="0" applyFont="1" applyBorder="1" applyProtection="1">
      <protection hidden="1"/>
    </xf>
    <xf numFmtId="0" fontId="34" fillId="0" borderId="184" xfId="0" applyFont="1" applyBorder="1" applyProtection="1">
      <protection hidden="1"/>
    </xf>
    <xf numFmtId="0" fontId="34" fillId="7" borderId="182" xfId="0" applyFont="1" applyFill="1" applyBorder="1" applyProtection="1">
      <protection locked="0"/>
    </xf>
    <xf numFmtId="167" fontId="34" fillId="13" borderId="184" xfId="0" applyNumberFormat="1" applyFont="1" applyFill="1" applyBorder="1" applyAlignment="1" applyProtection="1">
      <alignment horizontal="right"/>
      <protection locked="0"/>
    </xf>
    <xf numFmtId="167" fontId="34" fillId="13" borderId="177" xfId="0" applyNumberFormat="1" applyFont="1" applyFill="1" applyBorder="1" applyAlignment="1" applyProtection="1">
      <alignment horizontal="right"/>
      <protection locked="0"/>
    </xf>
    <xf numFmtId="173" fontId="34" fillId="3" borderId="37" xfId="0" applyNumberFormat="1" applyFont="1" applyFill="1" applyBorder="1" applyAlignment="1" applyProtection="1">
      <alignment horizontal="center" vertical="center"/>
      <protection hidden="1"/>
    </xf>
    <xf numFmtId="167" fontId="34" fillId="3" borderId="39" xfId="0" applyNumberFormat="1" applyFont="1" applyFill="1" applyBorder="1" applyAlignment="1" applyProtection="1">
      <alignment horizontal="right" vertical="center"/>
      <protection hidden="1"/>
    </xf>
    <xf numFmtId="167" fontId="34" fillId="3" borderId="40" xfId="0" applyNumberFormat="1" applyFont="1" applyFill="1" applyBorder="1" applyAlignment="1" applyProtection="1">
      <alignment horizontal="right" vertical="center"/>
      <protection hidden="1"/>
    </xf>
    <xf numFmtId="167" fontId="34" fillId="3" borderId="124" xfId="0" applyNumberFormat="1" applyFont="1" applyFill="1" applyBorder="1" applyAlignment="1" applyProtection="1">
      <alignment horizontal="right" vertical="center"/>
      <protection hidden="1"/>
    </xf>
    <xf numFmtId="172" fontId="34" fillId="16" borderId="3" xfId="0" applyNumberFormat="1" applyFont="1" applyFill="1" applyBorder="1" applyAlignment="1" applyProtection="1">
      <alignment horizontal="left" vertical="center"/>
      <protection hidden="1"/>
    </xf>
    <xf numFmtId="172" fontId="34" fillId="7" borderId="3" xfId="0" applyNumberFormat="1" applyFont="1" applyFill="1" applyBorder="1" applyAlignment="1" applyProtection="1">
      <alignment vertical="center"/>
      <protection locked="0"/>
    </xf>
    <xf numFmtId="172" fontId="34" fillId="15" borderId="25" xfId="0" applyNumberFormat="1" applyFont="1" applyFill="1" applyBorder="1" applyAlignment="1" applyProtection="1">
      <alignment vertical="center"/>
      <protection locked="0"/>
    </xf>
    <xf numFmtId="172" fontId="34" fillId="16" borderId="3" xfId="0" applyNumberFormat="1" applyFont="1" applyFill="1" applyBorder="1" applyAlignment="1" applyProtection="1">
      <alignment vertical="center"/>
      <protection hidden="1"/>
    </xf>
    <xf numFmtId="172" fontId="34" fillId="15" borderId="3" xfId="0" applyNumberFormat="1" applyFont="1" applyFill="1" applyBorder="1" applyAlignment="1" applyProtection="1">
      <alignment vertical="center"/>
      <protection locked="0"/>
    </xf>
    <xf numFmtId="170" fontId="34" fillId="16" borderId="126" xfId="0" applyNumberFormat="1" applyFont="1" applyFill="1" applyBorder="1" applyAlignment="1" applyProtection="1">
      <alignment vertical="center"/>
      <protection hidden="1"/>
    </xf>
    <xf numFmtId="0" fontId="85" fillId="0" borderId="1" xfId="0" applyFont="1" applyBorder="1" applyAlignment="1" applyProtection="1">
      <alignment horizontal="center" vertical="center"/>
      <protection hidden="1"/>
    </xf>
    <xf numFmtId="0" fontId="85" fillId="0" borderId="53" xfId="0" applyFont="1" applyBorder="1" applyAlignment="1" applyProtection="1">
      <alignment horizontal="center" vertical="center"/>
      <protection hidden="1"/>
    </xf>
    <xf numFmtId="167" fontId="34" fillId="13" borderId="150" xfId="0" applyNumberFormat="1" applyFont="1" applyFill="1" applyBorder="1" applyAlignment="1" applyProtection="1">
      <alignment horizontal="right" vertical="center"/>
      <protection hidden="1"/>
    </xf>
    <xf numFmtId="167" fontId="34" fillId="13" borderId="37" xfId="0" applyNumberFormat="1" applyFont="1" applyFill="1" applyBorder="1" applyAlignment="1" applyProtection="1">
      <alignment horizontal="right" vertical="center"/>
      <protection hidden="1"/>
    </xf>
    <xf numFmtId="167" fontId="34" fillId="13" borderId="152" xfId="0" applyNumberFormat="1" applyFont="1" applyFill="1" applyBorder="1" applyAlignment="1" applyProtection="1">
      <alignment horizontal="right" vertical="center"/>
      <protection hidden="1"/>
    </xf>
    <xf numFmtId="0" fontId="86" fillId="14" borderId="27" xfId="1" applyNumberFormat="1" applyFont="1" applyFill="1" applyBorder="1" applyAlignment="1" applyProtection="1">
      <alignment vertical="center"/>
      <protection hidden="1"/>
    </xf>
    <xf numFmtId="0" fontId="86" fillId="14" borderId="43" xfId="1" applyNumberFormat="1" applyFont="1" applyFill="1" applyBorder="1" applyAlignment="1" applyProtection="1">
      <alignment vertical="center"/>
      <protection locked="0"/>
    </xf>
    <xf numFmtId="0" fontId="86" fillId="14" borderId="44" xfId="1" applyNumberFormat="1" applyFont="1" applyFill="1" applyBorder="1" applyAlignment="1" applyProtection="1">
      <alignment vertical="center"/>
      <protection locked="0"/>
    </xf>
    <xf numFmtId="167" fontId="0" fillId="0" borderId="146" xfId="0" applyNumberFormat="1" applyBorder="1" applyProtection="1">
      <protection hidden="1"/>
    </xf>
    <xf numFmtId="10" fontId="0" fillId="0" borderId="146" xfId="0" applyNumberFormat="1" applyBorder="1" applyProtection="1">
      <protection hidden="1"/>
    </xf>
    <xf numFmtId="0" fontId="15" fillId="0" borderId="0" xfId="1" applyNumberFormat="1" applyFont="1" applyProtection="1">
      <protection hidden="1"/>
    </xf>
    <xf numFmtId="0" fontId="34" fillId="0" borderId="0" xfId="1" applyNumberFormat="1" applyFont="1" applyFill="1" applyBorder="1" applyAlignment="1" applyProtection="1">
      <alignment horizontal="center"/>
      <protection hidden="1"/>
    </xf>
    <xf numFmtId="0" fontId="15" fillId="0" borderId="170" xfId="1" applyNumberFormat="1" applyFont="1" applyFill="1" applyBorder="1" applyProtection="1">
      <protection locked="0"/>
    </xf>
    <xf numFmtId="2" fontId="0" fillId="0" borderId="0" xfId="0" applyNumberFormat="1" applyProtection="1">
      <protection locked="0"/>
    </xf>
    <xf numFmtId="10" fontId="0" fillId="0" borderId="0" xfId="0" applyNumberFormat="1" applyProtection="1">
      <protection locked="0"/>
    </xf>
    <xf numFmtId="172" fontId="17" fillId="16" borderId="189" xfId="0" applyNumberFormat="1" applyFont="1" applyFill="1" applyBorder="1" applyAlignment="1" applyProtection="1">
      <alignment horizontal="center"/>
      <protection hidden="1"/>
    </xf>
    <xf numFmtId="172" fontId="17" fillId="16" borderId="187" xfId="0" applyNumberFormat="1" applyFont="1" applyFill="1" applyBorder="1" applyAlignment="1" applyProtection="1">
      <alignment horizontal="center"/>
      <protection hidden="1"/>
    </xf>
    <xf numFmtId="172" fontId="17" fillId="16" borderId="7" xfId="0" applyNumberFormat="1" applyFont="1" applyFill="1" applyBorder="1" applyAlignment="1" applyProtection="1">
      <alignment horizontal="center"/>
      <protection hidden="1"/>
    </xf>
    <xf numFmtId="0" fontId="15" fillId="0" borderId="170" xfId="0" applyFont="1" applyBorder="1" applyProtection="1">
      <protection locked="0"/>
    </xf>
    <xf numFmtId="0" fontId="15" fillId="0" borderId="171" xfId="0" applyFont="1" applyBorder="1" applyProtection="1">
      <protection locked="0"/>
    </xf>
    <xf numFmtId="172" fontId="34" fillId="16" borderId="0" xfId="0" applyNumberFormat="1" applyFont="1" applyFill="1" applyAlignment="1" applyProtection="1">
      <alignment horizontal="left"/>
      <protection hidden="1"/>
    </xf>
    <xf numFmtId="172" fontId="34" fillId="16" borderId="0" xfId="0" applyNumberFormat="1" applyFont="1" applyFill="1" applyProtection="1">
      <protection hidden="1"/>
    </xf>
    <xf numFmtId="172" fontId="34" fillId="17" borderId="44" xfId="0" applyNumberFormat="1" applyFont="1" applyFill="1" applyBorder="1" applyProtection="1">
      <protection locked="0"/>
    </xf>
    <xf numFmtId="172" fontId="34" fillId="17" borderId="8" xfId="0" applyNumberFormat="1" applyFont="1" applyFill="1" applyBorder="1" applyProtection="1">
      <protection locked="0"/>
    </xf>
    <xf numFmtId="175" fontId="34" fillId="0" borderId="0" xfId="0" applyNumberFormat="1" applyFont="1" applyProtection="1">
      <protection locked="0"/>
    </xf>
    <xf numFmtId="176" fontId="34" fillId="0" borderId="0" xfId="0" applyNumberFormat="1" applyFont="1" applyProtection="1">
      <protection locked="0"/>
    </xf>
    <xf numFmtId="172" fontId="17" fillId="5" borderId="26" xfId="0" applyNumberFormat="1" applyFont="1" applyFill="1" applyBorder="1" applyProtection="1">
      <protection locked="0"/>
    </xf>
    <xf numFmtId="172" fontId="34" fillId="5" borderId="3" xfId="0" applyNumberFormat="1" applyFont="1" applyFill="1" applyBorder="1" applyAlignment="1" applyProtection="1">
      <alignment horizontal="left"/>
      <protection locked="0"/>
    </xf>
    <xf numFmtId="172" fontId="17" fillId="0" borderId="26" xfId="0" applyNumberFormat="1" applyFont="1" applyBorder="1" applyProtection="1">
      <protection locked="0"/>
    </xf>
    <xf numFmtId="172" fontId="4" fillId="5" borderId="30" xfId="0" applyNumberFormat="1" applyFont="1" applyFill="1" applyBorder="1" applyProtection="1">
      <protection locked="0"/>
    </xf>
    <xf numFmtId="170" fontId="60" fillId="0" borderId="151" xfId="0" applyNumberFormat="1" applyFont="1" applyBorder="1" applyProtection="1">
      <protection locked="0"/>
    </xf>
    <xf numFmtId="172" fontId="34" fillId="5" borderId="3" xfId="0" applyNumberFormat="1" applyFont="1" applyFill="1" applyBorder="1" applyProtection="1">
      <protection locked="0"/>
    </xf>
    <xf numFmtId="170" fontId="60" fillId="0" borderId="126" xfId="0" applyNumberFormat="1" applyFont="1" applyBorder="1" applyProtection="1">
      <protection locked="0"/>
    </xf>
    <xf numFmtId="172" fontId="17" fillId="5" borderId="154" xfId="0" applyNumberFormat="1" applyFont="1" applyFill="1" applyBorder="1" applyProtection="1">
      <protection locked="0"/>
    </xf>
    <xf numFmtId="172" fontId="4" fillId="5" borderId="155" xfId="0" applyNumberFormat="1" applyFont="1" applyFill="1" applyBorder="1" applyAlignment="1" applyProtection="1">
      <alignment horizontal="left"/>
      <protection locked="0"/>
    </xf>
    <xf numFmtId="172" fontId="4" fillId="7" borderId="155" xfId="0" applyNumberFormat="1" applyFont="1" applyFill="1" applyBorder="1" applyProtection="1">
      <protection locked="0"/>
    </xf>
    <xf numFmtId="172" fontId="4" fillId="17" borderId="186" xfId="0" applyNumberFormat="1" applyFont="1" applyFill="1" applyBorder="1" applyProtection="1">
      <protection locked="0"/>
    </xf>
    <xf numFmtId="172" fontId="17" fillId="0" borderId="154" xfId="0" applyNumberFormat="1" applyFont="1" applyBorder="1" applyProtection="1">
      <protection locked="0"/>
    </xf>
    <xf numFmtId="172" fontId="4" fillId="5" borderId="155" xfId="0" applyNumberFormat="1" applyFont="1" applyFill="1" applyBorder="1" applyProtection="1">
      <protection locked="0"/>
    </xf>
    <xf numFmtId="172" fontId="4" fillId="15" borderId="155" xfId="0" applyNumberFormat="1" applyFont="1" applyFill="1" applyBorder="1" applyProtection="1">
      <protection locked="0"/>
    </xf>
    <xf numFmtId="172" fontId="17" fillId="5" borderId="7" xfId="0" applyNumberFormat="1" applyFont="1" applyFill="1" applyBorder="1" applyProtection="1">
      <protection locked="0"/>
    </xf>
    <xf numFmtId="172" fontId="34" fillId="5" borderId="9" xfId="0" applyNumberFormat="1" applyFont="1" applyFill="1" applyBorder="1" applyAlignment="1" applyProtection="1">
      <alignment horizontal="left"/>
      <protection locked="0"/>
    </xf>
    <xf numFmtId="172" fontId="17" fillId="0" borderId="7" xfId="0" applyNumberFormat="1" applyFont="1" applyBorder="1" applyProtection="1">
      <protection locked="0"/>
    </xf>
    <xf numFmtId="172" fontId="4" fillId="5" borderId="9" xfId="0" applyNumberFormat="1" applyFont="1" applyFill="1" applyBorder="1" applyProtection="1">
      <protection locked="0"/>
    </xf>
    <xf numFmtId="172" fontId="34" fillId="5" borderId="9" xfId="0" applyNumberFormat="1" applyFont="1" applyFill="1" applyBorder="1" applyProtection="1">
      <protection locked="0"/>
    </xf>
    <xf numFmtId="170" fontId="60" fillId="0" borderId="58" xfId="0" applyNumberFormat="1" applyFont="1" applyBorder="1" applyProtection="1">
      <protection locked="0"/>
    </xf>
    <xf numFmtId="172" fontId="17" fillId="5" borderId="15" xfId="0" applyNumberFormat="1" applyFont="1" applyFill="1" applyBorder="1" applyProtection="1">
      <protection locked="0"/>
    </xf>
    <xf numFmtId="172" fontId="34" fillId="5" borderId="16" xfId="0" applyNumberFormat="1" applyFont="1" applyFill="1" applyBorder="1" applyAlignment="1" applyProtection="1">
      <alignment horizontal="left"/>
      <protection locked="0"/>
    </xf>
    <xf numFmtId="172" fontId="34" fillId="7" borderId="16" xfId="0" applyNumberFormat="1" applyFont="1" applyFill="1" applyBorder="1" applyProtection="1">
      <protection locked="0"/>
    </xf>
    <xf numFmtId="172" fontId="34" fillId="15" borderId="17" xfId="0" applyNumberFormat="1" applyFont="1" applyFill="1" applyBorder="1" applyProtection="1">
      <protection locked="0"/>
    </xf>
    <xf numFmtId="172" fontId="34" fillId="17" borderId="33" xfId="0" applyNumberFormat="1" applyFont="1" applyFill="1" applyBorder="1" applyProtection="1">
      <protection locked="0"/>
    </xf>
    <xf numFmtId="172" fontId="17" fillId="0" borderId="15" xfId="0" applyNumberFormat="1" applyFont="1" applyBorder="1" applyProtection="1">
      <protection locked="0"/>
    </xf>
    <xf numFmtId="172" fontId="34" fillId="5" borderId="16" xfId="0" applyNumberFormat="1" applyFont="1" applyFill="1" applyBorder="1" applyProtection="1">
      <protection locked="0"/>
    </xf>
    <xf numFmtId="172" fontId="34" fillId="15" borderId="16" xfId="0" applyNumberFormat="1" applyFont="1" applyFill="1" applyBorder="1" applyProtection="1">
      <protection locked="0"/>
    </xf>
    <xf numFmtId="0" fontId="0" fillId="0" borderId="0" xfId="0" applyAlignment="1" applyProtection="1">
      <alignment horizontal="left"/>
      <protection locked="0"/>
    </xf>
    <xf numFmtId="0" fontId="73" fillId="0" borderId="0" xfId="0" applyFont="1" applyProtection="1">
      <protection locked="0"/>
    </xf>
    <xf numFmtId="0" fontId="87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7" fillId="0" borderId="0" xfId="6" applyBorder="1" applyAlignment="1" applyProtection="1">
      <alignment horizontal="left"/>
      <protection locked="0"/>
    </xf>
    <xf numFmtId="1" fontId="24" fillId="0" borderId="0" xfId="0" applyNumberFormat="1" applyFont="1" applyProtection="1">
      <protection locked="0"/>
    </xf>
    <xf numFmtId="2" fontId="0" fillId="4" borderId="0" xfId="0" applyNumberFormat="1" applyFill="1"/>
    <xf numFmtId="2" fontId="0" fillId="0" borderId="186" xfId="0" applyNumberFormat="1" applyBorder="1"/>
    <xf numFmtId="2" fontId="0" fillId="0" borderId="0" xfId="0" applyNumberFormat="1" applyAlignment="1">
      <alignment horizontal="right"/>
    </xf>
    <xf numFmtId="2" fontId="0" fillId="0" borderId="186" xfId="0" applyNumberFormat="1" applyBorder="1" applyAlignment="1">
      <alignment horizontal="right"/>
    </xf>
    <xf numFmtId="2" fontId="5" fillId="0" borderId="0" xfId="0" applyNumberFormat="1" applyFont="1" applyAlignment="1">
      <alignment horizontal="right"/>
    </xf>
    <xf numFmtId="2" fontId="5" fillId="0" borderId="55" xfId="0" applyNumberFormat="1" applyFont="1" applyBorder="1" applyAlignment="1">
      <alignment horizontal="center"/>
    </xf>
    <xf numFmtId="2" fontId="5" fillId="0" borderId="55" xfId="0" applyNumberFormat="1" applyFont="1" applyBorder="1" applyAlignment="1">
      <alignment horizontal="right"/>
    </xf>
    <xf numFmtId="2" fontId="5" fillId="0" borderId="50" xfId="0" applyNumberFormat="1" applyFont="1" applyBorder="1" applyAlignment="1">
      <alignment horizontal="right"/>
    </xf>
    <xf numFmtId="0" fontId="5" fillId="0" borderId="55" xfId="0" applyFont="1" applyBorder="1"/>
    <xf numFmtId="2" fontId="0" fillId="0" borderId="10" xfId="0" applyNumberFormat="1" applyBorder="1"/>
    <xf numFmtId="2" fontId="5" fillId="0" borderId="22" xfId="0" applyNumberFormat="1" applyFont="1" applyBorder="1"/>
    <xf numFmtId="2" fontId="5" fillId="0" borderId="10" xfId="0" applyNumberFormat="1" applyFont="1" applyBorder="1" applyAlignment="1">
      <alignment horizontal="right"/>
    </xf>
    <xf numFmtId="2" fontId="5" fillId="0" borderId="22" xfId="0" applyNumberFormat="1" applyFont="1" applyBorder="1" applyAlignment="1">
      <alignment horizontal="right"/>
    </xf>
    <xf numFmtId="2" fontId="5" fillId="0" borderId="9" xfId="0" applyNumberFormat="1" applyFont="1" applyBorder="1" applyAlignment="1">
      <alignment horizontal="right"/>
    </xf>
    <xf numFmtId="2" fontId="5" fillId="0" borderId="186" xfId="0" applyNumberFormat="1" applyFont="1" applyBorder="1" applyAlignment="1">
      <alignment horizontal="right"/>
    </xf>
    <xf numFmtId="2" fontId="5" fillId="21" borderId="198" xfId="1" applyNumberFormat="1" applyFont="1" applyFill="1" applyBorder="1" applyAlignment="1">
      <alignment horizontal="center" wrapText="1"/>
    </xf>
    <xf numFmtId="178" fontId="5" fillId="0" borderId="191" xfId="1" applyNumberFormat="1" applyFont="1" applyFill="1" applyBorder="1" applyAlignment="1">
      <alignment horizontal="center" vertical="center" wrapText="1"/>
    </xf>
    <xf numFmtId="178" fontId="5" fillId="0" borderId="140" xfId="1" applyNumberFormat="1" applyFont="1" applyFill="1" applyBorder="1" applyAlignment="1">
      <alignment horizontal="left" wrapText="1"/>
    </xf>
    <xf numFmtId="178" fontId="5" fillId="0" borderId="157" xfId="1" applyNumberFormat="1" applyFont="1" applyFill="1" applyBorder="1" applyAlignment="1">
      <alignment horizontal="left" wrapText="1"/>
    </xf>
    <xf numFmtId="178" fontId="5" fillId="0" borderId="157" xfId="1" applyNumberFormat="1" applyFont="1" applyFill="1" applyBorder="1" applyAlignment="1">
      <alignment horizontal="left"/>
    </xf>
    <xf numFmtId="178" fontId="5" fillId="0" borderId="199" xfId="1" applyNumberFormat="1" applyFont="1" applyFill="1" applyBorder="1" applyAlignment="1">
      <alignment horizontal="left" vertical="center" wrapText="1"/>
    </xf>
    <xf numFmtId="2" fontId="43" fillId="3" borderId="52" xfId="0" applyNumberFormat="1" applyFont="1" applyFill="1" applyBorder="1" applyAlignment="1" applyProtection="1">
      <alignment horizontal="center"/>
      <protection hidden="1"/>
    </xf>
    <xf numFmtId="1" fontId="55" fillId="3" borderId="63" xfId="0" applyNumberFormat="1" applyFont="1" applyFill="1" applyBorder="1" applyAlignment="1" applyProtection="1">
      <alignment horizontal="center"/>
      <protection hidden="1"/>
    </xf>
    <xf numFmtId="1" fontId="32" fillId="3" borderId="149" xfId="0" applyNumberFormat="1" applyFont="1" applyFill="1" applyBorder="1" applyAlignment="1" applyProtection="1">
      <alignment horizontal="center" vertical="center"/>
      <protection hidden="1"/>
    </xf>
    <xf numFmtId="178" fontId="31" fillId="0" borderId="127" xfId="1" applyNumberFormat="1" applyFont="1" applyFill="1" applyBorder="1" applyAlignment="1">
      <alignment horizontal="center" vertical="center" wrapText="1"/>
    </xf>
    <xf numFmtId="178" fontId="31" fillId="0" borderId="0" xfId="1" applyNumberFormat="1" applyFont="1" applyFill="1" applyBorder="1" applyAlignment="1">
      <alignment horizontal="center" vertical="center" wrapText="1"/>
    </xf>
    <xf numFmtId="178" fontId="31" fillId="0" borderId="198" xfId="1" applyNumberFormat="1" applyFont="1" applyFill="1" applyBorder="1" applyAlignment="1">
      <alignment horizontal="center" vertical="center" wrapText="1"/>
    </xf>
    <xf numFmtId="178" fontId="20" fillId="0" borderId="91" xfId="1" quotePrefix="1" applyNumberFormat="1" applyFont="1" applyFill="1" applyBorder="1" applyAlignment="1">
      <alignment horizontal="left"/>
    </xf>
    <xf numFmtId="165" fontId="19" fillId="0" borderId="192" xfId="1" applyFont="1" applyFill="1" applyBorder="1" applyAlignment="1">
      <alignment horizontal="left"/>
    </xf>
    <xf numFmtId="178" fontId="19" fillId="0" borderId="186" xfId="1" applyNumberFormat="1" applyFont="1" applyBorder="1" applyAlignment="1">
      <alignment horizontal="center"/>
    </xf>
    <xf numFmtId="2" fontId="0" fillId="0" borderId="186" xfId="2" applyNumberFormat="1" applyFont="1" applyBorder="1"/>
    <xf numFmtId="2" fontId="0" fillId="4" borderId="0" xfId="0" applyNumberFormat="1" applyFill="1" applyAlignment="1">
      <alignment horizontal="center"/>
    </xf>
    <xf numFmtId="178" fontId="19" fillId="0" borderId="214" xfId="1" applyNumberFormat="1" applyFont="1" applyBorder="1" applyAlignment="1">
      <alignment horizontal="left"/>
    </xf>
    <xf numFmtId="2" fontId="19" fillId="0" borderId="127" xfId="2" applyNumberFormat="1" applyFont="1" applyBorder="1" applyAlignment="1">
      <alignment horizontal="center" vertical="center"/>
    </xf>
    <xf numFmtId="2" fontId="20" fillId="0" borderId="0" xfId="2" applyNumberFormat="1" applyFont="1" applyBorder="1" applyAlignment="1">
      <alignment horizontal="center" vertical="center"/>
    </xf>
    <xf numFmtId="178" fontId="5" fillId="0" borderId="198" xfId="1" applyNumberFormat="1" applyFont="1" applyBorder="1" applyAlignment="1">
      <alignment horizontal="center" wrapText="1"/>
    </xf>
    <xf numFmtId="178" fontId="5" fillId="18" borderId="197" xfId="1" applyNumberFormat="1" applyFont="1" applyFill="1" applyBorder="1" applyAlignment="1">
      <alignment horizontal="center"/>
    </xf>
    <xf numFmtId="178" fontId="20" fillId="0" borderId="91" xfId="1" applyNumberFormat="1" applyFont="1" applyFill="1" applyBorder="1" applyAlignment="1">
      <alignment horizontal="center"/>
    </xf>
    <xf numFmtId="178" fontId="20" fillId="0" borderId="161" xfId="1" applyNumberFormat="1" applyFont="1" applyFill="1" applyBorder="1" applyAlignment="1">
      <alignment horizontal="center"/>
    </xf>
    <xf numFmtId="178" fontId="5" fillId="0" borderId="209" xfId="1" applyNumberFormat="1" applyFont="1" applyFill="1" applyBorder="1" applyAlignment="1">
      <alignment horizontal="center" wrapText="1"/>
    </xf>
    <xf numFmtId="178" fontId="20" fillId="0" borderId="76" xfId="1" applyNumberFormat="1" applyFont="1" applyFill="1" applyBorder="1" applyAlignment="1">
      <alignment horizontal="center"/>
    </xf>
    <xf numFmtId="178" fontId="20" fillId="0" borderId="210" xfId="1" applyNumberFormat="1" applyFont="1" applyFill="1" applyBorder="1" applyAlignment="1">
      <alignment horizontal="center"/>
    </xf>
    <xf numFmtId="178" fontId="29" fillId="0" borderId="214" xfId="1" applyNumberFormat="1" applyFont="1" applyFill="1" applyBorder="1" applyAlignment="1">
      <alignment horizontal="center" vertical="center"/>
    </xf>
    <xf numFmtId="178" fontId="19" fillId="0" borderId="0" xfId="1" applyNumberFormat="1" applyFont="1" applyFill="1" applyAlignment="1">
      <alignment horizontal="center" vertical="center"/>
    </xf>
    <xf numFmtId="178" fontId="29" fillId="0" borderId="0" xfId="1" applyNumberFormat="1" applyFont="1" applyFill="1" applyAlignment="1">
      <alignment horizontal="center" vertical="center"/>
    </xf>
    <xf numFmtId="178" fontId="27" fillId="0" borderId="214" xfId="1" applyNumberFormat="1" applyFont="1" applyFill="1" applyBorder="1" applyAlignment="1">
      <alignment horizontal="center" vertical="center" wrapText="1"/>
    </xf>
    <xf numFmtId="180" fontId="27" fillId="0" borderId="214" xfId="1" applyNumberFormat="1" applyFont="1" applyFill="1" applyBorder="1" applyAlignment="1">
      <alignment horizontal="center" vertical="center" wrapText="1"/>
    </xf>
    <xf numFmtId="9" fontId="27" fillId="0" borderId="214" xfId="2" applyFont="1" applyFill="1" applyBorder="1" applyAlignment="1">
      <alignment horizontal="center" vertical="center" wrapText="1"/>
    </xf>
    <xf numFmtId="178" fontId="29" fillId="0" borderId="214" xfId="1" applyNumberFormat="1" applyFont="1" applyFill="1" applyBorder="1" applyAlignment="1">
      <alignment horizontal="center" vertical="center" wrapText="1"/>
    </xf>
    <xf numFmtId="165" fontId="0" fillId="0" borderId="43" xfId="0" applyNumberFormat="1" applyBorder="1"/>
    <xf numFmtId="178" fontId="20" fillId="0" borderId="225" xfId="1" applyNumberFormat="1" applyFont="1" applyFill="1" applyBorder="1" applyAlignment="1">
      <alignment horizontal="left"/>
    </xf>
    <xf numFmtId="178" fontId="20" fillId="0" borderId="226" xfId="1" applyNumberFormat="1" applyFont="1" applyFill="1" applyBorder="1" applyAlignment="1">
      <alignment horizontal="left"/>
    </xf>
    <xf numFmtId="2" fontId="19" fillId="0" borderId="214" xfId="1" applyNumberFormat="1" applyFont="1" applyBorder="1" applyAlignment="1">
      <alignment horizontal="center" vertical="center"/>
    </xf>
    <xf numFmtId="2" fontId="23" fillId="18" borderId="197" xfId="1" applyNumberFormat="1" applyFont="1" applyFill="1" applyBorder="1" applyAlignment="1">
      <alignment horizontal="center"/>
    </xf>
    <xf numFmtId="2" fontId="5" fillId="3" borderId="199" xfId="1" applyNumberFormat="1" applyFont="1" applyFill="1" applyBorder="1" applyAlignment="1">
      <alignment horizontal="center" vertical="center" wrapText="1"/>
    </xf>
    <xf numFmtId="1" fontId="27" fillId="0" borderId="214" xfId="1" applyNumberFormat="1" applyFont="1" applyFill="1" applyBorder="1" applyAlignment="1">
      <alignment horizontal="center" vertical="center" wrapText="1"/>
    </xf>
    <xf numFmtId="178" fontId="20" fillId="0" borderId="161" xfId="1" applyNumberFormat="1" applyFont="1" applyFill="1" applyBorder="1" applyAlignment="1">
      <alignment horizontal="right"/>
    </xf>
    <xf numFmtId="2" fontId="20" fillId="0" borderId="161" xfId="1" applyNumberFormat="1" applyFont="1" applyFill="1" applyBorder="1" applyAlignment="1">
      <alignment horizontal="right"/>
    </xf>
    <xf numFmtId="0" fontId="5" fillId="0" borderId="0" xfId="0" applyFont="1" applyAlignment="1">
      <alignment horizontal="center" vertical="center"/>
    </xf>
    <xf numFmtId="178" fontId="19" fillId="0" borderId="0" xfId="1" applyNumberFormat="1" applyFont="1" applyFill="1" applyAlignment="1">
      <alignment horizontal="right" vertical="center"/>
    </xf>
    <xf numFmtId="178" fontId="5" fillId="18" borderId="197" xfId="1" applyNumberFormat="1" applyFont="1" applyFill="1" applyBorder="1" applyAlignment="1">
      <alignment horizontal="right"/>
    </xf>
    <xf numFmtId="178" fontId="20" fillId="0" borderId="194" xfId="1" applyNumberFormat="1" applyFont="1" applyFill="1" applyBorder="1" applyAlignment="1">
      <alignment horizontal="right"/>
    </xf>
    <xf numFmtId="2" fontId="20" fillId="0" borderId="194" xfId="1" applyNumberFormat="1" applyFont="1" applyFill="1" applyBorder="1" applyAlignment="1">
      <alignment horizontal="right"/>
    </xf>
    <xf numFmtId="0" fontId="0" fillId="0" borderId="0" xfId="0" applyAlignment="1">
      <alignment horizontal="right"/>
    </xf>
    <xf numFmtId="0" fontId="43" fillId="3" borderId="52" xfId="0" applyFont="1" applyFill="1" applyBorder="1" applyAlignment="1" applyProtection="1">
      <alignment horizontal="center"/>
      <protection hidden="1"/>
    </xf>
    <xf numFmtId="2" fontId="34" fillId="3" borderId="52" xfId="0" applyNumberFormat="1" applyFont="1" applyFill="1" applyBorder="1" applyAlignment="1" applyProtection="1">
      <alignment horizontal="center"/>
      <protection hidden="1"/>
    </xf>
    <xf numFmtId="171" fontId="25" fillId="3" borderId="124" xfId="2" applyNumberFormat="1" applyFont="1" applyFill="1" applyBorder="1" applyAlignment="1" applyProtection="1">
      <alignment horizontal="center"/>
      <protection hidden="1"/>
    </xf>
    <xf numFmtId="2" fontId="4" fillId="3" borderId="36" xfId="0" applyNumberFormat="1" applyFont="1" applyFill="1" applyBorder="1" applyAlignment="1" applyProtection="1">
      <alignment horizontal="center"/>
      <protection hidden="1"/>
    </xf>
    <xf numFmtId="2" fontId="34" fillId="3" borderId="0" xfId="0" applyNumberFormat="1" applyFont="1" applyFill="1" applyAlignment="1" applyProtection="1">
      <alignment horizontal="center"/>
      <protection hidden="1"/>
    </xf>
    <xf numFmtId="2" fontId="4" fillId="3" borderId="29" xfId="0" applyNumberFormat="1" applyFont="1" applyFill="1" applyBorder="1" applyAlignment="1" applyProtection="1">
      <alignment horizontal="center"/>
      <protection hidden="1"/>
    </xf>
    <xf numFmtId="2" fontId="73" fillId="3" borderId="2" xfId="0" applyNumberFormat="1" applyFont="1" applyFill="1" applyBorder="1" applyAlignment="1" applyProtection="1">
      <alignment horizontal="center"/>
      <protection hidden="1"/>
    </xf>
    <xf numFmtId="0" fontId="88" fillId="0" borderId="0" xfId="0" applyFont="1" applyProtection="1">
      <protection locked="0"/>
    </xf>
    <xf numFmtId="0" fontId="89" fillId="3" borderId="13" xfId="0" applyFont="1" applyFill="1" applyBorder="1" applyProtection="1">
      <protection hidden="1"/>
    </xf>
    <xf numFmtId="0" fontId="4" fillId="3" borderId="14" xfId="0" applyFont="1" applyFill="1" applyBorder="1" applyAlignment="1" applyProtection="1">
      <alignment horizontal="center"/>
      <protection hidden="1"/>
    </xf>
    <xf numFmtId="1" fontId="4" fillId="3" borderId="59" xfId="0" applyNumberFormat="1" applyFont="1" applyFill="1" applyBorder="1" applyAlignment="1" applyProtection="1">
      <alignment horizontal="center"/>
      <protection hidden="1"/>
    </xf>
    <xf numFmtId="0" fontId="90" fillId="3" borderId="13" xfId="0" applyFont="1" applyFill="1" applyBorder="1" applyAlignment="1" applyProtection="1">
      <alignment vertical="center"/>
      <protection hidden="1"/>
    </xf>
    <xf numFmtId="0" fontId="27" fillId="3" borderId="14" xfId="0" applyFont="1" applyFill="1" applyBorder="1" applyAlignment="1" applyProtection="1">
      <alignment horizontal="center" vertical="center"/>
      <protection hidden="1"/>
    </xf>
    <xf numFmtId="0" fontId="27" fillId="3" borderId="2" xfId="0" applyFont="1" applyFill="1" applyBorder="1" applyAlignment="1" applyProtection="1">
      <alignment horizontal="right" vertical="center"/>
      <protection hidden="1"/>
    </xf>
    <xf numFmtId="2" fontId="27" fillId="3" borderId="59" xfId="0" applyNumberFormat="1" applyFont="1" applyFill="1" applyBorder="1" applyAlignment="1" applyProtection="1">
      <alignment horizontal="right" vertical="center"/>
      <protection hidden="1"/>
    </xf>
    <xf numFmtId="1" fontId="27" fillId="3" borderId="59" xfId="0" applyNumberFormat="1" applyFont="1" applyFill="1" applyBorder="1" applyAlignment="1" applyProtection="1">
      <alignment horizontal="center" vertical="center"/>
      <protection hidden="1"/>
    </xf>
    <xf numFmtId="169" fontId="16" fillId="3" borderId="2" xfId="2" applyNumberFormat="1" applyFont="1" applyFill="1" applyBorder="1" applyAlignment="1" applyProtection="1">
      <alignment vertical="center"/>
      <protection hidden="1"/>
    </xf>
    <xf numFmtId="1" fontId="68" fillId="0" borderId="0" xfId="0" applyNumberFormat="1" applyFont="1" applyAlignment="1" applyProtection="1">
      <alignment vertical="center"/>
      <protection hidden="1"/>
    </xf>
    <xf numFmtId="2" fontId="34" fillId="3" borderId="65" xfId="0" applyNumberFormat="1" applyFont="1" applyFill="1" applyBorder="1" applyAlignment="1" applyProtection="1">
      <alignment horizontal="center"/>
      <protection hidden="1"/>
    </xf>
    <xf numFmtId="10" fontId="34" fillId="3" borderId="14" xfId="2" applyNumberFormat="1" applyFont="1" applyFill="1" applyBorder="1" applyAlignment="1" applyProtection="1">
      <alignment horizontal="center"/>
      <protection hidden="1"/>
    </xf>
    <xf numFmtId="10" fontId="34" fillId="3" borderId="25" xfId="2" applyNumberFormat="1" applyFont="1" applyFill="1" applyBorder="1" applyAlignment="1" applyProtection="1">
      <alignment horizontal="center"/>
      <protection hidden="1"/>
    </xf>
    <xf numFmtId="10" fontId="34" fillId="3" borderId="21" xfId="2" applyNumberFormat="1" applyFont="1" applyFill="1" applyBorder="1" applyAlignment="1" applyProtection="1">
      <alignment horizontal="center"/>
      <protection hidden="1"/>
    </xf>
    <xf numFmtId="10" fontId="28" fillId="3" borderId="65" xfId="2" applyNumberFormat="1" applyFont="1" applyFill="1" applyBorder="1" applyAlignment="1" applyProtection="1">
      <alignment horizontal="center" vertical="center"/>
      <protection hidden="1"/>
    </xf>
    <xf numFmtId="10" fontId="28" fillId="3" borderId="100" xfId="2" applyNumberFormat="1" applyFont="1" applyFill="1" applyBorder="1" applyAlignment="1" applyProtection="1">
      <alignment horizontal="center" vertical="center"/>
      <protection hidden="1"/>
    </xf>
    <xf numFmtId="10" fontId="28" fillId="5" borderId="100" xfId="2" applyNumberFormat="1" applyFont="1" applyFill="1" applyBorder="1" applyAlignment="1">
      <alignment horizontal="center" vertical="center"/>
    </xf>
    <xf numFmtId="10" fontId="28" fillId="5" borderId="104" xfId="2" applyNumberFormat="1" applyFont="1" applyFill="1" applyBorder="1" applyAlignment="1">
      <alignment horizontal="center" vertical="center"/>
    </xf>
    <xf numFmtId="10" fontId="28" fillId="5" borderId="111" xfId="2" applyNumberFormat="1" applyFont="1" applyFill="1" applyBorder="1" applyAlignment="1">
      <alignment horizontal="center" vertical="center"/>
    </xf>
    <xf numFmtId="10" fontId="28" fillId="3" borderId="52" xfId="2" applyNumberFormat="1" applyFont="1" applyFill="1" applyBorder="1" applyAlignment="1" applyProtection="1">
      <alignment horizontal="center" vertical="center"/>
      <protection hidden="1"/>
    </xf>
    <xf numFmtId="10" fontId="28" fillId="5" borderId="52" xfId="2" applyNumberFormat="1" applyFont="1" applyFill="1" applyBorder="1" applyAlignment="1">
      <alignment horizontal="center" vertical="center"/>
    </xf>
    <xf numFmtId="10" fontId="57" fillId="3" borderId="29" xfId="2" applyNumberFormat="1" applyFont="1" applyFill="1" applyBorder="1" applyAlignment="1" applyProtection="1">
      <alignment horizontal="center"/>
      <protection hidden="1"/>
    </xf>
    <xf numFmtId="10" fontId="57" fillId="3" borderId="52" xfId="2" applyNumberFormat="1" applyFont="1" applyFill="1" applyBorder="1" applyAlignment="1" applyProtection="1">
      <alignment horizontal="center"/>
      <protection hidden="1"/>
    </xf>
    <xf numFmtId="10" fontId="34" fillId="3" borderId="52" xfId="0" applyNumberFormat="1" applyFont="1" applyFill="1" applyBorder="1" applyAlignment="1" applyProtection="1">
      <alignment horizontal="center"/>
      <protection hidden="1"/>
    </xf>
    <xf numFmtId="10" fontId="15" fillId="3" borderId="65" xfId="2" applyNumberFormat="1" applyFont="1" applyFill="1" applyBorder="1" applyAlignment="1" applyProtection="1">
      <alignment horizontal="center"/>
      <protection hidden="1"/>
    </xf>
    <xf numFmtId="10" fontId="15" fillId="3" borderId="52" xfId="2" applyNumberFormat="1" applyFont="1" applyFill="1" applyBorder="1" applyAlignment="1" applyProtection="1">
      <alignment horizontal="center"/>
      <protection hidden="1"/>
    </xf>
    <xf numFmtId="10" fontId="15" fillId="3" borderId="0" xfId="2" applyNumberFormat="1" applyFont="1" applyFill="1" applyBorder="1" applyAlignment="1" applyProtection="1">
      <alignment horizontal="center"/>
      <protection hidden="1"/>
    </xf>
    <xf numFmtId="0" fontId="0" fillId="0" borderId="198" xfId="0" applyBorder="1"/>
    <xf numFmtId="0" fontId="32" fillId="0" borderId="198" xfId="0" applyFont="1" applyBorder="1" applyAlignment="1" applyProtection="1">
      <alignment horizontal="center" vertical="center"/>
      <protection hidden="1"/>
    </xf>
    <xf numFmtId="0" fontId="41" fillId="0" borderId="198" xfId="0" applyFont="1" applyBorder="1" applyAlignment="1" applyProtection="1">
      <alignment horizontal="center" vertical="center"/>
      <protection hidden="1"/>
    </xf>
    <xf numFmtId="182" fontId="41" fillId="0" borderId="198" xfId="0" applyNumberFormat="1" applyFont="1" applyBorder="1" applyAlignment="1" applyProtection="1">
      <alignment horizontal="center" vertical="center"/>
      <protection hidden="1"/>
    </xf>
    <xf numFmtId="179" fontId="41" fillId="0" borderId="198" xfId="2" applyNumberFormat="1" applyFont="1" applyFill="1" applyBorder="1" applyAlignment="1" applyProtection="1">
      <alignment horizontal="center" vertical="center"/>
      <protection hidden="1"/>
    </xf>
    <xf numFmtId="0" fontId="34" fillId="0" borderId="198" xfId="0" applyFont="1" applyBorder="1" applyProtection="1">
      <protection locked="0"/>
    </xf>
    <xf numFmtId="167" fontId="34" fillId="0" borderId="198" xfId="0" applyNumberFormat="1" applyFont="1" applyBorder="1" applyProtection="1">
      <protection locked="0"/>
    </xf>
    <xf numFmtId="11" fontId="0" fillId="0" borderId="0" xfId="0" applyNumberFormat="1"/>
    <xf numFmtId="14" fontId="0" fillId="0" borderId="0" xfId="0" applyNumberFormat="1"/>
    <xf numFmtId="47" fontId="0" fillId="0" borderId="0" xfId="0" applyNumberFormat="1"/>
    <xf numFmtId="178" fontId="20" fillId="0" borderId="206" xfId="1" applyNumberFormat="1" applyFont="1" applyFill="1" applyBorder="1" applyAlignment="1">
      <alignment horizontal="left"/>
    </xf>
    <xf numFmtId="178" fontId="20" fillId="0" borderId="228" xfId="1" applyNumberFormat="1" applyFont="1" applyFill="1" applyBorder="1" applyAlignment="1">
      <alignment horizontal="center"/>
    </xf>
    <xf numFmtId="178" fontId="20" fillId="0" borderId="229" xfId="1" applyNumberFormat="1" applyFont="1" applyFill="1" applyBorder="1" applyAlignment="1">
      <alignment horizontal="center"/>
    </xf>
    <xf numFmtId="14" fontId="0" fillId="0" borderId="0" xfId="0" applyNumberFormat="1" applyAlignment="1">
      <alignment horizontal="center" wrapText="1"/>
    </xf>
    <xf numFmtId="14" fontId="0" fillId="0" borderId="0" xfId="0" applyNumberFormat="1" applyAlignment="1">
      <alignment horizontal="center"/>
    </xf>
    <xf numFmtId="14" fontId="0" fillId="4" borderId="0" xfId="0" applyNumberFormat="1" applyFill="1" applyAlignment="1">
      <alignment horizontal="center"/>
    </xf>
    <xf numFmtId="178" fontId="19" fillId="0" borderId="0" xfId="1" applyNumberFormat="1" applyFont="1" applyFill="1" applyBorder="1" applyAlignment="1">
      <alignment horizontal="left" vertical="center"/>
    </xf>
    <xf numFmtId="2" fontId="0" fillId="22" borderId="0" xfId="0" applyNumberFormat="1" applyFill="1"/>
    <xf numFmtId="178" fontId="19" fillId="0" borderId="214" xfId="1" applyNumberFormat="1" applyFont="1" applyBorder="1" applyAlignment="1">
      <alignment horizontal="center" vertical="center"/>
    </xf>
    <xf numFmtId="178" fontId="19" fillId="0" borderId="0" xfId="1" applyNumberFormat="1" applyFont="1" applyFill="1" applyAlignment="1">
      <alignment horizontal="left" vertical="center"/>
    </xf>
    <xf numFmtId="0" fontId="92" fillId="0" borderId="0" xfId="0" applyFont="1"/>
    <xf numFmtId="2" fontId="92" fillId="0" borderId="0" xfId="0" applyNumberFormat="1" applyFont="1" applyAlignment="1">
      <alignment horizontal="center"/>
    </xf>
    <xf numFmtId="180" fontId="20" fillId="0" borderId="194" xfId="1" applyNumberFormat="1" applyFont="1" applyFill="1" applyBorder="1" applyAlignment="1">
      <alignment horizontal="left"/>
    </xf>
    <xf numFmtId="2" fontId="53" fillId="13" borderId="102" xfId="0" applyNumberFormat="1" applyFont="1" applyFill="1" applyBorder="1"/>
    <xf numFmtId="0" fontId="5" fillId="0" borderId="0" xfId="0" applyFont="1" applyAlignment="1">
      <alignment wrapText="1"/>
    </xf>
    <xf numFmtId="4" fontId="0" fillId="0" borderId="0" xfId="0" applyNumberFormat="1"/>
    <xf numFmtId="0" fontId="23" fillId="23" borderId="230" xfId="0" applyFont="1" applyFill="1" applyBorder="1" applyAlignment="1">
      <alignment wrapText="1"/>
    </xf>
    <xf numFmtId="0" fontId="23" fillId="23" borderId="231" xfId="0" applyFont="1" applyFill="1" applyBorder="1" applyAlignment="1">
      <alignment wrapText="1"/>
    </xf>
    <xf numFmtId="0" fontId="23" fillId="23" borderId="232" xfId="0" applyFont="1" applyFill="1" applyBorder="1" applyAlignment="1">
      <alignment wrapText="1"/>
    </xf>
    <xf numFmtId="2" fontId="23" fillId="23" borderId="231" xfId="0" applyNumberFormat="1" applyFont="1" applyFill="1" applyBorder="1" applyAlignment="1">
      <alignment wrapText="1"/>
    </xf>
    <xf numFmtId="178" fontId="0" fillId="0" borderId="186" xfId="0" applyNumberFormat="1" applyBorder="1"/>
    <xf numFmtId="0" fontId="14" fillId="0" borderId="186" xfId="0" applyFont="1" applyBorder="1"/>
    <xf numFmtId="178" fontId="14" fillId="0" borderId="186" xfId="0" applyNumberFormat="1" applyFont="1" applyBorder="1"/>
    <xf numFmtId="178" fontId="0" fillId="0" borderId="43" xfId="0" applyNumberFormat="1" applyBorder="1"/>
    <xf numFmtId="0" fontId="93" fillId="0" borderId="0" xfId="0" applyFont="1"/>
    <xf numFmtId="0" fontId="93" fillId="0" borderId="0" xfId="0" applyFont="1" applyAlignment="1">
      <alignment vertical="center"/>
    </xf>
    <xf numFmtId="178" fontId="19" fillId="0" borderId="186" xfId="1" applyNumberFormat="1" applyFont="1" applyFill="1" applyBorder="1" applyAlignment="1">
      <alignment horizontal="left"/>
    </xf>
    <xf numFmtId="0" fontId="4" fillId="3" borderId="5" xfId="0" applyFont="1" applyFill="1" applyBorder="1" applyAlignment="1" applyProtection="1">
      <alignment horizontal="center"/>
      <protection hidden="1"/>
    </xf>
    <xf numFmtId="0" fontId="4" fillId="3" borderId="0" xfId="0" applyFont="1" applyFill="1" applyAlignment="1" applyProtection="1">
      <alignment horizontal="center" vertical="center"/>
      <protection hidden="1"/>
    </xf>
    <xf numFmtId="0" fontId="34" fillId="3" borderId="100" xfId="0" applyFont="1" applyFill="1" applyBorder="1" applyAlignment="1" applyProtection="1">
      <alignment horizontal="center"/>
      <protection hidden="1"/>
    </xf>
    <xf numFmtId="0" fontId="34" fillId="5" borderId="100" xfId="0" applyFont="1" applyFill="1" applyBorder="1" applyAlignment="1">
      <alignment horizontal="center"/>
    </xf>
    <xf numFmtId="0" fontId="39" fillId="3" borderId="100" xfId="0" applyFont="1" applyFill="1" applyBorder="1" applyAlignment="1" applyProtection="1">
      <alignment horizontal="center"/>
      <protection hidden="1"/>
    </xf>
    <xf numFmtId="0" fontId="34" fillId="3" borderId="13" xfId="0" applyFont="1" applyFill="1" applyBorder="1" applyAlignment="1" applyProtection="1">
      <alignment horizontal="center"/>
      <protection hidden="1"/>
    </xf>
    <xf numFmtId="0" fontId="27" fillId="3" borderId="59" xfId="0" applyFont="1" applyFill="1" applyBorder="1" applyAlignment="1" applyProtection="1">
      <alignment horizontal="center" vertical="center"/>
      <protection hidden="1"/>
    </xf>
    <xf numFmtId="0" fontId="39" fillId="3" borderId="65" xfId="0" applyFont="1" applyFill="1" applyBorder="1" applyAlignment="1" applyProtection="1">
      <alignment horizontal="center"/>
      <protection hidden="1"/>
    </xf>
    <xf numFmtId="0" fontId="39" fillId="3" borderId="2" xfId="0" applyFont="1" applyFill="1" applyBorder="1" applyAlignment="1" applyProtection="1">
      <alignment horizontal="center"/>
      <protection hidden="1"/>
    </xf>
    <xf numFmtId="0" fontId="4" fillId="3" borderId="52" xfId="0" applyFont="1" applyFill="1" applyBorder="1" applyAlignment="1" applyProtection="1">
      <alignment horizontal="center" vertical="center"/>
      <protection hidden="1"/>
    </xf>
    <xf numFmtId="2" fontId="53" fillId="0" borderId="27" xfId="1" applyNumberFormat="1" applyFont="1" applyBorder="1" applyAlignment="1">
      <alignment horizontal="center"/>
    </xf>
    <xf numFmtId="2" fontId="8" fillId="0" borderId="27" xfId="1" applyNumberFormat="1" applyFont="1" applyBorder="1" applyAlignment="1">
      <alignment horizontal="center"/>
    </xf>
    <xf numFmtId="0" fontId="53" fillId="0" borderId="27" xfId="0" applyFont="1" applyBorder="1" applyAlignment="1">
      <alignment horizontal="center"/>
    </xf>
    <xf numFmtId="0" fontId="8" fillId="0" borderId="145" xfId="0" applyFont="1" applyBorder="1" applyAlignment="1">
      <alignment horizontal="center"/>
    </xf>
    <xf numFmtId="0" fontId="53" fillId="0" borderId="0" xfId="0" applyFont="1" applyAlignment="1">
      <alignment horizontal="center"/>
    </xf>
    <xf numFmtId="2" fontId="62" fillId="0" borderId="0" xfId="1" applyNumberFormat="1" applyFont="1" applyBorder="1" applyAlignment="1" applyProtection="1">
      <alignment horizontal="center"/>
      <protection locked="0"/>
    </xf>
    <xf numFmtId="0" fontId="53" fillId="0" borderId="22" xfId="0" applyFont="1" applyBorder="1" applyAlignment="1" applyProtection="1">
      <alignment horizontal="center"/>
      <protection locked="0"/>
    </xf>
    <xf numFmtId="0" fontId="53" fillId="0" borderId="27" xfId="0" applyFont="1" applyBorder="1" applyAlignment="1" applyProtection="1">
      <alignment horizontal="center"/>
      <protection locked="0"/>
    </xf>
    <xf numFmtId="0" fontId="53" fillId="0" borderId="145" xfId="0" applyFont="1" applyBorder="1" applyAlignment="1" applyProtection="1">
      <alignment horizontal="center"/>
      <protection locked="0"/>
    </xf>
    <xf numFmtId="0" fontId="53" fillId="0" borderId="0" xfId="0" applyFont="1" applyAlignment="1" applyProtection="1">
      <alignment horizontal="center"/>
      <protection locked="0"/>
    </xf>
    <xf numFmtId="165" fontId="57" fillId="0" borderId="0" xfId="1" applyFont="1" applyAlignment="1" applyProtection="1">
      <alignment horizontal="center"/>
      <protection locked="0"/>
    </xf>
    <xf numFmtId="165" fontId="67" fillId="0" borderId="0" xfId="1" applyFont="1" applyAlignment="1" applyProtection="1">
      <alignment horizontal="center"/>
      <protection hidden="1"/>
    </xf>
    <xf numFmtId="165" fontId="20" fillId="0" borderId="0" xfId="1" applyFont="1" applyAlignment="1" applyProtection="1">
      <alignment horizontal="center"/>
      <protection hidden="1"/>
    </xf>
    <xf numFmtId="165" fontId="3" fillId="3" borderId="38" xfId="1" applyFont="1" applyFill="1" applyBorder="1" applyAlignment="1" applyProtection="1">
      <alignment horizontal="center"/>
      <protection hidden="1"/>
    </xf>
    <xf numFmtId="165" fontId="50" fillId="3" borderId="4" xfId="1" applyFont="1" applyFill="1" applyBorder="1" applyAlignment="1" applyProtection="1">
      <alignment horizontal="center"/>
      <protection hidden="1"/>
    </xf>
    <xf numFmtId="165" fontId="3" fillId="3" borderId="37" xfId="1" applyFont="1" applyFill="1" applyBorder="1" applyAlignment="1" applyProtection="1">
      <alignment horizontal="center" vertical="center"/>
      <protection hidden="1"/>
    </xf>
    <xf numFmtId="165" fontId="4" fillId="2" borderId="87" xfId="1" applyFont="1" applyFill="1" applyBorder="1" applyProtection="1">
      <protection hidden="1"/>
    </xf>
    <xf numFmtId="165" fontId="70" fillId="3" borderId="59" xfId="1" applyFont="1" applyFill="1" applyBorder="1" applyAlignment="1" applyProtection="1">
      <alignment horizontal="center"/>
      <protection hidden="1"/>
    </xf>
    <xf numFmtId="165" fontId="4" fillId="3" borderId="2" xfId="1" applyFont="1" applyFill="1" applyBorder="1" applyAlignment="1" applyProtection="1">
      <alignment horizontal="center"/>
      <protection hidden="1"/>
    </xf>
    <xf numFmtId="165" fontId="4" fillId="3" borderId="65" xfId="1" applyFont="1" applyFill="1" applyBorder="1" applyAlignment="1" applyProtection="1">
      <alignment horizontal="center"/>
      <protection hidden="1"/>
    </xf>
    <xf numFmtId="165" fontId="4" fillId="3" borderId="52" xfId="1" applyFont="1" applyFill="1" applyBorder="1" applyAlignment="1" applyProtection="1">
      <alignment horizontal="center"/>
      <protection hidden="1"/>
    </xf>
    <xf numFmtId="165" fontId="34" fillId="3" borderId="52" xfId="1" applyFont="1" applyFill="1" applyBorder="1" applyAlignment="1" applyProtection="1">
      <alignment horizontal="center"/>
      <protection hidden="1"/>
    </xf>
    <xf numFmtId="165" fontId="4" fillId="3" borderId="29" xfId="1" applyFont="1" applyFill="1" applyBorder="1" applyAlignment="1" applyProtection="1">
      <alignment horizontal="center"/>
      <protection hidden="1"/>
    </xf>
    <xf numFmtId="165" fontId="34" fillId="3" borderId="29" xfId="1" applyFont="1" applyFill="1" applyBorder="1" applyAlignment="1" applyProtection="1">
      <alignment horizontal="center"/>
      <protection hidden="1"/>
    </xf>
    <xf numFmtId="165" fontId="4" fillId="3" borderId="36" xfId="1" applyFont="1" applyFill="1" applyBorder="1" applyAlignment="1" applyProtection="1">
      <alignment horizontal="center"/>
      <protection hidden="1"/>
    </xf>
    <xf numFmtId="165" fontId="4" fillId="3" borderId="53" xfId="1" applyFont="1" applyFill="1" applyBorder="1" applyAlignment="1" applyProtection="1">
      <alignment horizontal="center"/>
      <protection hidden="1"/>
    </xf>
    <xf numFmtId="165" fontId="4" fillId="3" borderId="0" xfId="1" applyFont="1" applyFill="1" applyAlignment="1" applyProtection="1">
      <alignment horizontal="center"/>
      <protection hidden="1"/>
    </xf>
    <xf numFmtId="165" fontId="73" fillId="3" borderId="36" xfId="1" applyFont="1" applyFill="1" applyBorder="1" applyAlignment="1" applyProtection="1">
      <alignment horizontal="center"/>
      <protection hidden="1"/>
    </xf>
    <xf numFmtId="165" fontId="73" fillId="3" borderId="2" xfId="1" applyFont="1" applyFill="1" applyBorder="1" applyAlignment="1" applyProtection="1">
      <alignment horizontal="center"/>
      <protection hidden="1"/>
    </xf>
    <xf numFmtId="165" fontId="39" fillId="3" borderId="37" xfId="1" applyFont="1" applyFill="1" applyBorder="1" applyAlignment="1" applyProtection="1">
      <alignment horizontal="center"/>
      <protection hidden="1"/>
    </xf>
    <xf numFmtId="165" fontId="39" fillId="3" borderId="20" xfId="1" applyFont="1" applyFill="1" applyBorder="1" applyAlignment="1" applyProtection="1">
      <alignment horizontal="right"/>
      <protection hidden="1"/>
    </xf>
    <xf numFmtId="165" fontId="55" fillId="3" borderId="84" xfId="1" applyFont="1" applyFill="1" applyBorder="1" applyAlignment="1" applyProtection="1">
      <alignment horizontal="center"/>
      <protection hidden="1"/>
    </xf>
    <xf numFmtId="165" fontId="60" fillId="3" borderId="37" xfId="1" applyFont="1" applyFill="1" applyBorder="1" applyAlignment="1" applyProtection="1">
      <alignment horizontal="center"/>
      <protection hidden="1"/>
    </xf>
    <xf numFmtId="165" fontId="25" fillId="3" borderId="94" xfId="1" applyFont="1" applyFill="1" applyBorder="1" applyAlignment="1" applyProtection="1">
      <alignment horizontal="center"/>
      <protection hidden="1"/>
    </xf>
    <xf numFmtId="165" fontId="57" fillId="0" borderId="0" xfId="1" applyFont="1" applyAlignment="1" applyProtection="1">
      <alignment horizontal="center"/>
      <protection hidden="1"/>
    </xf>
    <xf numFmtId="165" fontId="75" fillId="0" borderId="0" xfId="1" applyFont="1" applyAlignment="1" applyProtection="1">
      <alignment horizontal="center"/>
      <protection hidden="1"/>
    </xf>
    <xf numFmtId="165" fontId="75" fillId="0" borderId="0" xfId="1" applyFont="1" applyProtection="1">
      <protection locked="0"/>
    </xf>
    <xf numFmtId="165" fontId="0" fillId="0" borderId="0" xfId="1" applyFont="1" applyAlignment="1">
      <alignment horizontal="center"/>
    </xf>
    <xf numFmtId="165" fontId="0" fillId="0" borderId="0" xfId="1" applyFont="1"/>
    <xf numFmtId="165" fontId="4" fillId="3" borderId="65" xfId="1" applyFont="1" applyFill="1" applyBorder="1" applyAlignment="1" applyProtection="1">
      <alignment horizontal="left"/>
      <protection hidden="1"/>
    </xf>
    <xf numFmtId="0" fontId="3" fillId="3" borderId="29" xfId="0" applyFont="1" applyFill="1" applyBorder="1" applyAlignment="1" applyProtection="1">
      <alignment horizontal="left"/>
      <protection hidden="1"/>
    </xf>
    <xf numFmtId="0" fontId="3" fillId="3" borderId="52" xfId="0" applyFont="1" applyFill="1" applyBorder="1" applyAlignment="1" applyProtection="1">
      <alignment horizontal="left"/>
      <protection hidden="1"/>
    </xf>
    <xf numFmtId="0" fontId="4" fillId="0" borderId="29" xfId="0" applyFont="1" applyBorder="1"/>
    <xf numFmtId="0" fontId="4" fillId="0" borderId="52" xfId="0" applyFont="1" applyBorder="1"/>
    <xf numFmtId="165" fontId="3" fillId="3" borderId="29" xfId="1" applyFont="1" applyFill="1" applyBorder="1" applyAlignment="1" applyProtection="1">
      <alignment horizontal="left"/>
      <protection hidden="1"/>
    </xf>
    <xf numFmtId="165" fontId="3" fillId="3" borderId="52" xfId="1" applyFont="1" applyFill="1" applyBorder="1" applyAlignment="1" applyProtection="1">
      <alignment horizontal="left"/>
      <protection hidden="1"/>
    </xf>
    <xf numFmtId="165" fontId="4" fillId="0" borderId="29" xfId="1" applyFont="1" applyBorder="1"/>
    <xf numFmtId="165" fontId="4" fillId="0" borderId="52" xfId="1" applyFont="1" applyBorder="1"/>
    <xf numFmtId="178" fontId="14" fillId="0" borderId="53" xfId="0" applyNumberFormat="1" applyFont="1" applyBorder="1"/>
    <xf numFmtId="2" fontId="34" fillId="8" borderId="70" xfId="0" applyNumberFormat="1" applyFont="1" applyFill="1" applyBorder="1" applyProtection="1">
      <protection locked="0"/>
    </xf>
    <xf numFmtId="168" fontId="19" fillId="0" borderId="0" xfId="1" applyNumberFormat="1" applyFont="1" applyFill="1" applyAlignment="1">
      <alignment horizontal="left"/>
    </xf>
    <xf numFmtId="168" fontId="29" fillId="0" borderId="0" xfId="1" applyNumberFormat="1" applyFont="1" applyFill="1" applyAlignment="1">
      <alignment horizontal="left"/>
    </xf>
    <xf numFmtId="168" fontId="29" fillId="0" borderId="214" xfId="1" applyNumberFormat="1" applyFont="1" applyFill="1" applyBorder="1" applyAlignment="1">
      <alignment horizontal="left"/>
    </xf>
    <xf numFmtId="168" fontId="27" fillId="0" borderId="214" xfId="1" applyNumberFormat="1" applyFont="1" applyFill="1" applyBorder="1" applyAlignment="1">
      <alignment horizontal="center" wrapText="1"/>
    </xf>
    <xf numFmtId="168" fontId="20" fillId="0" borderId="0" xfId="1" applyNumberFormat="1" applyFont="1" applyAlignment="1">
      <alignment horizontal="left"/>
    </xf>
    <xf numFmtId="168" fontId="20" fillId="0" borderId="127" xfId="1" applyNumberFormat="1" applyFont="1" applyBorder="1" applyAlignment="1">
      <alignment horizontal="left"/>
    </xf>
    <xf numFmtId="168" fontId="19" fillId="0" borderId="127" xfId="1" applyNumberFormat="1" applyFont="1" applyBorder="1" applyAlignment="1">
      <alignment horizontal="left"/>
    </xf>
    <xf numFmtId="168" fontId="19" fillId="0" borderId="127" xfId="2" applyNumberFormat="1" applyFont="1" applyBorder="1" applyAlignment="1">
      <alignment horizontal="center" vertical="center"/>
    </xf>
    <xf numFmtId="168" fontId="20" fillId="0" borderId="0" xfId="1" applyNumberFormat="1" applyFont="1" applyBorder="1" applyAlignment="1">
      <alignment horizontal="left"/>
    </xf>
    <xf numFmtId="168" fontId="19" fillId="0" borderId="0" xfId="1" applyNumberFormat="1" applyFont="1" applyBorder="1" applyAlignment="1">
      <alignment horizontal="left"/>
    </xf>
    <xf numFmtId="168" fontId="20" fillId="0" borderId="0" xfId="2" applyNumberFormat="1" applyFont="1" applyBorder="1" applyAlignment="1">
      <alignment horizontal="center" vertical="center"/>
    </xf>
    <xf numFmtId="168" fontId="19" fillId="0" borderId="186" xfId="1" applyNumberFormat="1" applyFont="1" applyBorder="1" applyAlignment="1">
      <alignment horizontal="center"/>
    </xf>
    <xf numFmtId="168" fontId="5" fillId="0" borderId="0" xfId="1" applyNumberFormat="1" applyFont="1" applyAlignment="1">
      <alignment horizontal="left" wrapText="1"/>
    </xf>
    <xf numFmtId="168" fontId="5" fillId="0" borderId="198" xfId="1" applyNumberFormat="1" applyFont="1" applyBorder="1" applyAlignment="1">
      <alignment horizontal="left" wrapText="1"/>
    </xf>
    <xf numFmtId="168" fontId="5" fillId="0" borderId="198" xfId="1" applyNumberFormat="1" applyFont="1" applyBorder="1" applyAlignment="1">
      <alignment horizontal="center" wrapText="1"/>
    </xf>
    <xf numFmtId="168" fontId="5" fillId="0" borderId="0" xfId="1" applyNumberFormat="1" applyFont="1" applyAlignment="1">
      <alignment horizontal="left"/>
    </xf>
    <xf numFmtId="168" fontId="5" fillId="18" borderId="197" xfId="1" applyNumberFormat="1" applyFont="1" applyFill="1" applyBorder="1" applyAlignment="1">
      <alignment horizontal="left"/>
    </xf>
    <xf numFmtId="168" fontId="5" fillId="18" borderId="197" xfId="1" applyNumberFormat="1" applyFont="1" applyFill="1" applyBorder="1" applyAlignment="1">
      <alignment horizontal="center"/>
    </xf>
    <xf numFmtId="168" fontId="5" fillId="0" borderId="0" xfId="1" applyNumberFormat="1" applyFont="1" applyFill="1" applyAlignment="1">
      <alignment horizontal="left"/>
    </xf>
    <xf numFmtId="168" fontId="5" fillId="0" borderId="191" xfId="1" applyNumberFormat="1" applyFont="1" applyFill="1" applyBorder="1" applyAlignment="1">
      <alignment horizontal="left" wrapText="1"/>
    </xf>
    <xf numFmtId="168" fontId="5" fillId="0" borderId="211" xfId="1" applyNumberFormat="1" applyFont="1" applyFill="1" applyBorder="1" applyAlignment="1">
      <alignment horizontal="left" wrapText="1"/>
    </xf>
    <xf numFmtId="168" fontId="5" fillId="0" borderId="209" xfId="1" applyNumberFormat="1" applyFont="1" applyFill="1" applyBorder="1" applyAlignment="1">
      <alignment horizontal="center" wrapText="1"/>
    </xf>
    <xf numFmtId="168" fontId="27" fillId="0" borderId="214" xfId="1" applyNumberFormat="1" applyFont="1" applyFill="1" applyBorder="1" applyAlignment="1">
      <alignment horizontal="right" wrapText="1"/>
    </xf>
    <xf numFmtId="168" fontId="27" fillId="0" borderId="214" xfId="2" applyNumberFormat="1" applyFont="1" applyFill="1" applyBorder="1" applyAlignment="1">
      <alignment horizontal="right" wrapText="1"/>
    </xf>
    <xf numFmtId="168" fontId="29" fillId="0" borderId="214" xfId="1" applyNumberFormat="1" applyFont="1" applyFill="1" applyBorder="1" applyAlignment="1">
      <alignment horizontal="left" wrapText="1"/>
    </xf>
    <xf numFmtId="168" fontId="29" fillId="0" borderId="214" xfId="1" applyNumberFormat="1" applyFont="1" applyFill="1" applyBorder="1" applyAlignment="1">
      <alignment horizontal="right" vertical="center"/>
    </xf>
    <xf numFmtId="168" fontId="29" fillId="0" borderId="214" xfId="1" applyNumberFormat="1" applyFont="1" applyFill="1" applyBorder="1" applyAlignment="1">
      <alignment horizontal="right"/>
    </xf>
    <xf numFmtId="168" fontId="20" fillId="0" borderId="0" xfId="1" applyNumberFormat="1" applyFont="1" applyFill="1" applyAlignment="1">
      <alignment horizontal="left"/>
    </xf>
    <xf numFmtId="168" fontId="20" fillId="0" borderId="0" xfId="1" applyNumberFormat="1" applyFont="1" applyBorder="1" applyAlignment="1">
      <alignment horizontal="right"/>
    </xf>
    <xf numFmtId="168" fontId="20" fillId="0" borderId="0" xfId="2" applyNumberFormat="1" applyFont="1" applyBorder="1" applyAlignment="1">
      <alignment horizontal="right"/>
    </xf>
    <xf numFmtId="168" fontId="20" fillId="0" borderId="0" xfId="1" quotePrefix="1" applyNumberFormat="1" applyFont="1" applyBorder="1" applyAlignment="1">
      <alignment horizontal="left"/>
    </xf>
    <xf numFmtId="168" fontId="28" fillId="0" borderId="127" xfId="0" applyNumberFormat="1" applyFont="1" applyBorder="1" applyAlignment="1">
      <alignment horizontal="left"/>
    </xf>
    <xf numFmtId="168" fontId="31" fillId="20" borderId="127" xfId="1" applyNumberFormat="1" applyFont="1" applyFill="1" applyBorder="1" applyAlignment="1">
      <alignment horizontal="center" vertical="center" wrapText="1"/>
    </xf>
    <xf numFmtId="168" fontId="30" fillId="0" borderId="127" xfId="1" applyNumberFormat="1" applyFont="1" applyFill="1" applyBorder="1" applyAlignment="1">
      <alignment horizontal="left"/>
    </xf>
    <xf numFmtId="168" fontId="20" fillId="0" borderId="10" xfId="1" applyNumberFormat="1" applyFont="1" applyBorder="1" applyAlignment="1">
      <alignment horizontal="left"/>
    </xf>
    <xf numFmtId="168" fontId="28" fillId="0" borderId="0" xfId="0" applyNumberFormat="1" applyFont="1" applyAlignment="1">
      <alignment horizontal="left"/>
    </xf>
    <xf numFmtId="168" fontId="31" fillId="20" borderId="0" xfId="1" applyNumberFormat="1" applyFont="1" applyFill="1" applyBorder="1" applyAlignment="1">
      <alignment horizontal="center" vertical="center" wrapText="1"/>
    </xf>
    <xf numFmtId="168" fontId="30" fillId="0" borderId="0" xfId="1" applyNumberFormat="1" applyFont="1" applyFill="1" applyBorder="1" applyAlignment="1">
      <alignment horizontal="left"/>
    </xf>
    <xf numFmtId="168" fontId="19" fillId="0" borderId="186" xfId="1" applyNumberFormat="1" applyFont="1" applyBorder="1" applyAlignment="1"/>
    <xf numFmtId="168" fontId="19" fillId="0" borderId="186" xfId="2" applyNumberFormat="1" applyFont="1" applyBorder="1" applyAlignment="1">
      <alignment horizontal="right"/>
    </xf>
    <xf numFmtId="168" fontId="1" fillId="0" borderId="0" xfId="1" applyNumberFormat="1" applyFont="1" applyBorder="1" applyAlignment="1">
      <alignment horizontal="left"/>
    </xf>
    <xf numFmtId="168" fontId="19" fillId="0" borderId="186" xfId="1" applyNumberFormat="1" applyFont="1" applyBorder="1" applyAlignment="1">
      <alignment horizontal="left"/>
    </xf>
    <xf numFmtId="168" fontId="29" fillId="0" borderId="0" xfId="1" applyNumberFormat="1" applyFont="1" applyBorder="1" applyAlignment="1">
      <alignment horizontal="left"/>
    </xf>
    <xf numFmtId="168" fontId="21" fillId="0" borderId="0" xfId="0" applyNumberFormat="1" applyFont="1"/>
    <xf numFmtId="168" fontId="26" fillId="0" borderId="198" xfId="1" applyNumberFormat="1" applyFont="1" applyBorder="1" applyAlignment="1">
      <alignment horizontal="left" wrapText="1"/>
    </xf>
    <xf numFmtId="168" fontId="31" fillId="20" borderId="198" xfId="1" applyNumberFormat="1" applyFont="1" applyFill="1" applyBorder="1" applyAlignment="1">
      <alignment horizontal="center" vertical="center" wrapText="1"/>
    </xf>
    <xf numFmtId="168" fontId="27" fillId="0" borderId="198" xfId="1" applyNumberFormat="1" applyFont="1" applyFill="1" applyBorder="1" applyAlignment="1">
      <alignment horizontal="left" wrapText="1"/>
    </xf>
    <xf numFmtId="168" fontId="21" fillId="18" borderId="197" xfId="0" applyNumberFormat="1" applyFont="1" applyFill="1" applyBorder="1" applyAlignment="1">
      <alignment horizontal="left" wrapText="1"/>
    </xf>
    <xf numFmtId="168" fontId="23" fillId="18" borderId="197" xfId="1" applyNumberFormat="1" applyFont="1" applyFill="1" applyBorder="1" applyAlignment="1">
      <alignment horizontal="left"/>
    </xf>
    <xf numFmtId="168" fontId="1" fillId="18" borderId="197" xfId="1" applyNumberFormat="1" applyFont="1" applyFill="1" applyBorder="1" applyAlignment="1">
      <alignment horizontal="left"/>
    </xf>
    <xf numFmtId="168" fontId="20" fillId="0" borderId="0" xfId="1" applyNumberFormat="1" applyFont="1" applyFill="1" applyBorder="1" applyAlignment="1">
      <alignment horizontal="left"/>
    </xf>
    <xf numFmtId="168" fontId="5" fillId="0" borderId="191" xfId="1" applyNumberFormat="1" applyFont="1" applyFill="1" applyBorder="1" applyAlignment="1">
      <alignment horizontal="center" vertical="center" wrapText="1"/>
    </xf>
    <xf numFmtId="168" fontId="5" fillId="0" borderId="190" xfId="1" applyNumberFormat="1" applyFont="1" applyFill="1" applyBorder="1" applyAlignment="1">
      <alignment horizontal="left" wrapText="1"/>
    </xf>
    <xf numFmtId="168" fontId="5" fillId="0" borderId="140" xfId="1" applyNumberFormat="1" applyFont="1" applyFill="1" applyBorder="1" applyAlignment="1">
      <alignment horizontal="left" wrapText="1"/>
    </xf>
    <xf numFmtId="168" fontId="5" fillId="0" borderId="157" xfId="1" applyNumberFormat="1" applyFont="1" applyFill="1" applyBorder="1" applyAlignment="1">
      <alignment horizontal="left" wrapText="1"/>
    </xf>
    <xf numFmtId="168" fontId="5" fillId="0" borderId="157" xfId="1" applyNumberFormat="1" applyFont="1" applyFill="1" applyBorder="1" applyAlignment="1">
      <alignment horizontal="left"/>
    </xf>
    <xf numFmtId="168" fontId="5" fillId="0" borderId="207" xfId="1" applyNumberFormat="1" applyFont="1" applyFill="1" applyBorder="1" applyAlignment="1">
      <alignment horizontal="left" vertical="center" wrapText="1"/>
    </xf>
    <xf numFmtId="168" fontId="0" fillId="0" borderId="0" xfId="0" applyNumberFormat="1"/>
    <xf numFmtId="168" fontId="5" fillId="0" borderId="193" xfId="1" applyNumberFormat="1" applyFont="1" applyFill="1" applyBorder="1" applyAlignment="1">
      <alignment horizontal="left" wrapText="1"/>
    </xf>
    <xf numFmtId="168" fontId="20" fillId="0" borderId="161" xfId="1" applyNumberFormat="1" applyFont="1" applyFill="1" applyBorder="1" applyAlignment="1">
      <alignment horizontal="left"/>
    </xf>
    <xf numFmtId="168" fontId="20" fillId="0" borderId="213" xfId="1" applyNumberFormat="1" applyFont="1" applyFill="1" applyBorder="1" applyAlignment="1">
      <alignment horizontal="left"/>
    </xf>
    <xf numFmtId="168" fontId="20" fillId="0" borderId="210" xfId="1" applyNumberFormat="1" applyFont="1" applyFill="1" applyBorder="1" applyAlignment="1">
      <alignment horizontal="center"/>
    </xf>
    <xf numFmtId="168" fontId="20" fillId="0" borderId="91" xfId="1" applyNumberFormat="1" applyFont="1" applyFill="1" applyBorder="1" applyAlignment="1">
      <alignment horizontal="left"/>
    </xf>
    <xf numFmtId="168" fontId="20" fillId="0" borderId="194" xfId="1" applyNumberFormat="1" applyFont="1" applyFill="1" applyBorder="1" applyAlignment="1">
      <alignment horizontal="center"/>
    </xf>
    <xf numFmtId="168" fontId="20" fillId="0" borderId="194" xfId="1" applyNumberFormat="1" applyFont="1" applyFill="1" applyBorder="1" applyAlignment="1">
      <alignment horizontal="left"/>
    </xf>
    <xf numFmtId="168" fontId="19" fillId="0" borderId="192" xfId="1" applyNumberFormat="1" applyFont="1" applyFill="1" applyBorder="1" applyAlignment="1">
      <alignment horizontal="left"/>
    </xf>
    <xf numFmtId="168" fontId="19" fillId="0" borderId="0" xfId="1" applyNumberFormat="1" applyFont="1" applyFill="1" applyBorder="1" applyAlignment="1">
      <alignment horizontal="left"/>
    </xf>
    <xf numFmtId="168" fontId="19" fillId="0" borderId="195" xfId="1" applyNumberFormat="1" applyFont="1" applyFill="1" applyBorder="1" applyAlignment="1">
      <alignment horizontal="left"/>
    </xf>
    <xf numFmtId="168" fontId="20" fillId="0" borderId="161" xfId="1" quotePrefix="1" applyNumberFormat="1" applyFont="1" applyFill="1" applyBorder="1" applyAlignment="1">
      <alignment horizontal="left"/>
    </xf>
    <xf numFmtId="168" fontId="19" fillId="0" borderId="196" xfId="1" applyNumberFormat="1" applyFont="1" applyFill="1" applyBorder="1" applyAlignment="1">
      <alignment horizontal="left"/>
    </xf>
    <xf numFmtId="168" fontId="20" fillId="0" borderId="212" xfId="1" applyNumberFormat="1" applyFont="1" applyFill="1" applyBorder="1" applyAlignment="1">
      <alignment horizontal="left"/>
    </xf>
    <xf numFmtId="168" fontId="20" fillId="0" borderId="76" xfId="1" applyNumberFormat="1" applyFont="1" applyFill="1" applyBorder="1" applyAlignment="1">
      <alignment horizontal="center"/>
    </xf>
    <xf numFmtId="168" fontId="0" fillId="0" borderId="0" xfId="0" applyNumberFormat="1" applyAlignment="1">
      <alignment horizontal="center"/>
    </xf>
    <xf numFmtId="168" fontId="0" fillId="0" borderId="186" xfId="0" applyNumberFormat="1" applyBorder="1"/>
    <xf numFmtId="168" fontId="19" fillId="0" borderId="0" xfId="1" applyNumberFormat="1" applyFont="1" applyAlignment="1">
      <alignment horizontal="left"/>
    </xf>
    <xf numFmtId="168" fontId="19" fillId="0" borderId="214" xfId="1" applyNumberFormat="1" applyFont="1" applyBorder="1" applyAlignment="1">
      <alignment horizontal="left" wrapText="1"/>
    </xf>
    <xf numFmtId="168" fontId="19" fillId="0" borderId="214" xfId="1" applyNumberFormat="1" applyFont="1" applyBorder="1" applyAlignment="1">
      <alignment horizontal="left"/>
    </xf>
    <xf numFmtId="168" fontId="16" fillId="0" borderId="214" xfId="1" applyNumberFormat="1" applyFont="1" applyBorder="1" applyAlignment="1">
      <alignment horizontal="center" wrapText="1"/>
    </xf>
    <xf numFmtId="168" fontId="19" fillId="0" borderId="0" xfId="2" applyNumberFormat="1" applyFont="1" applyBorder="1" applyAlignment="1">
      <alignment horizontal="center" vertical="center"/>
    </xf>
    <xf numFmtId="168" fontId="19" fillId="0" borderId="198" xfId="1" applyNumberFormat="1" applyFont="1" applyBorder="1" applyAlignment="1">
      <alignment horizontal="left" wrapText="1"/>
    </xf>
    <xf numFmtId="168" fontId="19" fillId="0" borderId="198" xfId="1" applyNumberFormat="1" applyFont="1" applyBorder="1" applyAlignment="1">
      <alignment horizontal="center" wrapText="1"/>
    </xf>
    <xf numFmtId="168" fontId="23" fillId="0" borderId="0" xfId="1" applyNumberFormat="1" applyFont="1" applyAlignment="1">
      <alignment horizontal="left"/>
    </xf>
    <xf numFmtId="168" fontId="23" fillId="18" borderId="197" xfId="1" applyNumberFormat="1" applyFont="1" applyFill="1" applyBorder="1" applyAlignment="1">
      <alignment horizontal="center"/>
    </xf>
    <xf numFmtId="168" fontId="5" fillId="3" borderId="0" xfId="1" applyNumberFormat="1" applyFont="1" applyFill="1" applyAlignment="1">
      <alignment horizontal="left" vertical="center"/>
    </xf>
    <xf numFmtId="168" fontId="5" fillId="3" borderId="191" xfId="1" applyNumberFormat="1" applyFont="1" applyFill="1" applyBorder="1" applyAlignment="1">
      <alignment horizontal="left" vertical="center" wrapText="1"/>
    </xf>
    <xf numFmtId="168" fontId="5" fillId="3" borderId="191" xfId="1" applyNumberFormat="1" applyFont="1" applyFill="1" applyBorder="1" applyAlignment="1">
      <alignment horizontal="center" vertical="center" wrapText="1"/>
    </xf>
    <xf numFmtId="168" fontId="16" fillId="0" borderId="214" xfId="1" applyNumberFormat="1" applyFont="1" applyBorder="1" applyAlignment="1">
      <alignment horizontal="right" wrapText="1"/>
    </xf>
    <xf numFmtId="168" fontId="16" fillId="0" borderId="214" xfId="1" applyNumberFormat="1" applyFont="1" applyBorder="1" applyAlignment="1">
      <alignment wrapText="1"/>
    </xf>
    <xf numFmtId="168" fontId="16" fillId="0" borderId="214" xfId="2" applyNumberFormat="1" applyFont="1" applyBorder="1" applyAlignment="1">
      <alignment horizontal="right" wrapText="1"/>
    </xf>
    <xf numFmtId="168" fontId="19" fillId="0" borderId="214" xfId="1" applyNumberFormat="1" applyFont="1" applyBorder="1" applyAlignment="1">
      <alignment horizontal="right" vertical="center"/>
    </xf>
    <xf numFmtId="168" fontId="19" fillId="0" borderId="214" xfId="1" applyNumberFormat="1" applyFont="1" applyBorder="1" applyAlignment="1">
      <alignment horizontal="left" vertical="center"/>
    </xf>
    <xf numFmtId="168" fontId="20" fillId="0" borderId="0" xfId="1" applyNumberFormat="1" applyFont="1" applyBorder="1" applyAlignment="1"/>
    <xf numFmtId="168" fontId="16" fillId="0" borderId="0" xfId="1" applyNumberFormat="1" applyFont="1" applyFill="1" applyBorder="1" applyAlignment="1">
      <alignment vertical="center" wrapText="1"/>
    </xf>
    <xf numFmtId="168" fontId="19" fillId="0" borderId="198" xfId="1" applyNumberFormat="1" applyFont="1" applyBorder="1" applyAlignment="1">
      <alignment wrapText="1"/>
    </xf>
    <xf numFmtId="168" fontId="16" fillId="0" borderId="198" xfId="1" applyNumberFormat="1" applyFont="1" applyFill="1" applyBorder="1" applyAlignment="1">
      <alignment vertical="center" wrapText="1"/>
    </xf>
    <xf numFmtId="168" fontId="23" fillId="18" borderId="197" xfId="1" applyNumberFormat="1" applyFont="1" applyFill="1" applyBorder="1" applyAlignment="1"/>
    <xf numFmtId="168" fontId="23" fillId="18" borderId="197" xfId="0" applyNumberFormat="1" applyFont="1" applyFill="1" applyBorder="1" applyAlignment="1">
      <alignment horizontal="left" wrapText="1"/>
    </xf>
    <xf numFmtId="168" fontId="5" fillId="3" borderId="191" xfId="1" applyNumberFormat="1" applyFont="1" applyFill="1" applyBorder="1" applyAlignment="1">
      <alignment vertical="center" wrapText="1"/>
    </xf>
    <xf numFmtId="168" fontId="19" fillId="3" borderId="0" xfId="1" applyNumberFormat="1" applyFont="1" applyFill="1" applyBorder="1" applyAlignment="1">
      <alignment horizontal="left" vertical="center"/>
    </xf>
    <xf numFmtId="168" fontId="5" fillId="3" borderId="190" xfId="1" applyNumberFormat="1" applyFont="1" applyFill="1" applyBorder="1" applyAlignment="1">
      <alignment horizontal="left" vertical="center" wrapText="1"/>
    </xf>
    <xf numFmtId="168" fontId="5" fillId="3" borderId="140" xfId="1" applyNumberFormat="1" applyFont="1" applyFill="1" applyBorder="1" applyAlignment="1">
      <alignment horizontal="left" vertical="center" wrapText="1"/>
    </xf>
    <xf numFmtId="168" fontId="5" fillId="3" borderId="199" xfId="1" applyNumberFormat="1" applyFont="1" applyFill="1" applyBorder="1" applyAlignment="1">
      <alignment horizontal="left" vertical="center" wrapText="1"/>
    </xf>
    <xf numFmtId="168" fontId="20" fillId="0" borderId="206" xfId="1" applyNumberFormat="1" applyFont="1" applyFill="1" applyBorder="1" applyAlignment="1">
      <alignment horizontal="left"/>
    </xf>
    <xf numFmtId="168" fontId="20" fillId="0" borderId="229" xfId="1" applyNumberFormat="1" applyFont="1" applyFill="1" applyBorder="1" applyAlignment="1">
      <alignment horizontal="center"/>
    </xf>
    <xf numFmtId="168" fontId="20" fillId="0" borderId="161" xfId="1" applyNumberFormat="1" applyFont="1" applyFill="1" applyBorder="1" applyAlignment="1"/>
    <xf numFmtId="168" fontId="20" fillId="0" borderId="89" xfId="1" applyNumberFormat="1" applyFont="1" applyFill="1" applyBorder="1" applyAlignment="1">
      <alignment horizontal="left"/>
    </xf>
    <xf numFmtId="168" fontId="20" fillId="0" borderId="195" xfId="1" applyNumberFormat="1" applyFont="1" applyFill="1" applyBorder="1" applyAlignment="1">
      <alignment horizontal="left"/>
    </xf>
    <xf numFmtId="168" fontId="19" fillId="0" borderId="0" xfId="1" applyNumberFormat="1" applyFont="1" applyFill="1" applyBorder="1" applyAlignment="1">
      <alignment horizontal="left" vertical="center"/>
    </xf>
    <xf numFmtId="168" fontId="5" fillId="3" borderId="0" xfId="1" applyNumberFormat="1" applyFont="1" applyFill="1" applyBorder="1" applyAlignment="1">
      <alignment horizontal="left" vertical="center" wrapText="1"/>
    </xf>
    <xf numFmtId="0" fontId="27" fillId="0" borderId="218" xfId="0" applyFont="1" applyBorder="1" applyAlignment="1" applyProtection="1">
      <alignment horizontal="center" vertical="center"/>
      <protection hidden="1"/>
    </xf>
    <xf numFmtId="0" fontId="27" fillId="0" borderId="219" xfId="0" applyFont="1" applyBorder="1" applyAlignment="1" applyProtection="1">
      <alignment horizontal="center" vertical="center"/>
      <protection hidden="1"/>
    </xf>
    <xf numFmtId="0" fontId="27" fillId="0" borderId="220" xfId="0" applyFont="1" applyBorder="1" applyAlignment="1" applyProtection="1">
      <alignment horizontal="center" vertical="center"/>
      <protection hidden="1"/>
    </xf>
    <xf numFmtId="0" fontId="0" fillId="0" borderId="25" xfId="0" applyBorder="1" applyAlignment="1">
      <alignment horizontal="center"/>
    </xf>
    <xf numFmtId="0" fontId="0" fillId="0" borderId="21" xfId="0" applyBorder="1" applyAlignment="1">
      <alignment horizontal="center"/>
    </xf>
    <xf numFmtId="0" fontId="26" fillId="0" borderId="13" xfId="0" applyFont="1" applyBorder="1" applyAlignment="1" applyProtection="1">
      <alignment horizontal="center" vertical="center"/>
      <protection hidden="1"/>
    </xf>
    <xf numFmtId="0" fontId="26" fillId="0" borderId="14" xfId="0" applyFont="1" applyBorder="1" applyAlignment="1" applyProtection="1">
      <alignment horizontal="center" vertical="center"/>
      <protection hidden="1"/>
    </xf>
    <xf numFmtId="0" fontId="26" fillId="0" borderId="20" xfId="0" applyFont="1" applyBorder="1" applyAlignment="1" applyProtection="1">
      <alignment horizontal="center" vertical="center"/>
      <protection hidden="1"/>
    </xf>
    <xf numFmtId="0" fontId="26" fillId="0" borderId="21" xfId="0" applyFont="1" applyBorder="1" applyAlignment="1" applyProtection="1">
      <alignment horizontal="center" vertical="center"/>
      <protection hidden="1"/>
    </xf>
    <xf numFmtId="167" fontId="27" fillId="0" borderId="1" xfId="0" applyNumberFormat="1" applyFont="1" applyBorder="1" applyAlignment="1" applyProtection="1">
      <alignment horizontal="center" vertical="center"/>
      <protection locked="0"/>
    </xf>
    <xf numFmtId="167" fontId="27" fillId="0" borderId="53" xfId="0" applyNumberFormat="1" applyFont="1" applyBorder="1" applyAlignment="1" applyProtection="1">
      <alignment horizontal="center" vertical="center"/>
      <protection locked="0"/>
    </xf>
    <xf numFmtId="167" fontId="27" fillId="0" borderId="60" xfId="0" applyNumberFormat="1" applyFont="1" applyBorder="1" applyAlignment="1" applyProtection="1">
      <alignment horizontal="center" vertical="center"/>
      <protection locked="0"/>
    </xf>
    <xf numFmtId="0" fontId="44" fillId="0" borderId="1" xfId="0" applyFont="1" applyBorder="1" applyAlignment="1" applyProtection="1">
      <alignment horizontal="center" vertical="center"/>
      <protection hidden="1"/>
    </xf>
    <xf numFmtId="0" fontId="44" fillId="0" borderId="53" xfId="0" applyFont="1" applyBorder="1" applyAlignment="1" applyProtection="1">
      <alignment horizontal="center" vertical="center"/>
      <protection hidden="1"/>
    </xf>
    <xf numFmtId="0" fontId="44" fillId="0" borderId="59" xfId="0" applyFont="1" applyBorder="1" applyAlignment="1" applyProtection="1">
      <alignment horizontal="center" vertical="center"/>
      <protection hidden="1"/>
    </xf>
    <xf numFmtId="167" fontId="28" fillId="0" borderId="41" xfId="0" applyNumberFormat="1" applyFont="1" applyBorder="1" applyAlignment="1" applyProtection="1">
      <alignment horizontal="center"/>
      <protection locked="0"/>
    </xf>
    <xf numFmtId="167" fontId="28" fillId="0" borderId="38" xfId="0" applyNumberFormat="1" applyFont="1" applyBorder="1" applyAlignment="1" applyProtection="1">
      <alignment horizontal="center"/>
      <protection locked="0"/>
    </xf>
    <xf numFmtId="0" fontId="29" fillId="0" borderId="65" xfId="0" applyFont="1" applyBorder="1" applyAlignment="1" applyProtection="1">
      <alignment horizontal="center" vertical="center"/>
      <protection hidden="1"/>
    </xf>
    <xf numFmtId="0" fontId="29" fillId="0" borderId="29" xfId="0" applyFont="1" applyBorder="1" applyAlignment="1" applyProtection="1">
      <alignment horizontal="center" vertical="center"/>
      <protection hidden="1"/>
    </xf>
    <xf numFmtId="0" fontId="29" fillId="0" borderId="215" xfId="0" applyFont="1" applyBorder="1" applyAlignment="1" applyProtection="1">
      <alignment horizontal="center" vertical="center"/>
      <protection hidden="1"/>
    </xf>
    <xf numFmtId="183" fontId="45" fillId="19" borderId="1" xfId="0" applyNumberFormat="1" applyFont="1" applyFill="1" applyBorder="1" applyAlignment="1" applyProtection="1">
      <alignment horizontal="center"/>
      <protection locked="0"/>
    </xf>
    <xf numFmtId="183" fontId="45" fillId="19" borderId="59" xfId="0" applyNumberFormat="1" applyFont="1" applyFill="1" applyBorder="1" applyAlignment="1" applyProtection="1">
      <alignment horizontal="center"/>
      <protection locked="0"/>
    </xf>
    <xf numFmtId="1" fontId="27" fillId="0" borderId="36" xfId="0" applyNumberFormat="1" applyFont="1" applyBorder="1" applyAlignment="1" applyProtection="1">
      <alignment horizontal="center" vertical="center"/>
      <protection locked="0"/>
    </xf>
    <xf numFmtId="1" fontId="27" fillId="0" borderId="37" xfId="0" applyNumberFormat="1" applyFont="1" applyBorder="1" applyAlignment="1" applyProtection="1">
      <alignment horizontal="center" vertical="center"/>
      <protection locked="0"/>
    </xf>
    <xf numFmtId="1" fontId="28" fillId="0" borderId="41" xfId="0" applyNumberFormat="1" applyFont="1" applyBorder="1" applyAlignment="1" applyProtection="1">
      <alignment horizontal="center"/>
      <protection locked="0"/>
    </xf>
    <xf numFmtId="1" fontId="28" fillId="0" borderId="38" xfId="0" applyNumberFormat="1" applyFont="1" applyBorder="1" applyAlignment="1" applyProtection="1">
      <alignment horizontal="center"/>
      <protection locked="0"/>
    </xf>
    <xf numFmtId="0" fontId="26" fillId="0" borderId="37" xfId="0" applyFont="1" applyBorder="1" applyAlignment="1" applyProtection="1">
      <alignment horizontal="center"/>
      <protection hidden="1"/>
    </xf>
    <xf numFmtId="0" fontId="26" fillId="0" borderId="53" xfId="0" applyFont="1" applyBorder="1" applyAlignment="1" applyProtection="1">
      <alignment horizontal="center"/>
      <protection hidden="1"/>
    </xf>
    <xf numFmtId="0" fontId="27" fillId="0" borderId="1" xfId="0" applyFont="1" applyBorder="1" applyAlignment="1" applyProtection="1">
      <alignment horizontal="center"/>
      <protection locked="0"/>
    </xf>
    <xf numFmtId="0" fontId="27" fillId="0" borderId="53" xfId="0" applyFont="1" applyBorder="1" applyAlignment="1" applyProtection="1">
      <alignment horizontal="center"/>
      <protection locked="0"/>
    </xf>
    <xf numFmtId="0" fontId="27" fillId="0" borderId="59" xfId="0" applyFont="1" applyBorder="1" applyAlignment="1" applyProtection="1">
      <alignment horizontal="center"/>
      <protection locked="0"/>
    </xf>
    <xf numFmtId="0" fontId="29" fillId="0" borderId="52" xfId="0" applyFont="1" applyBorder="1" applyAlignment="1" applyProtection="1">
      <alignment horizontal="center" vertical="center"/>
      <protection hidden="1"/>
    </xf>
    <xf numFmtId="0" fontId="16" fillId="0" borderId="1" xfId="0" applyFont="1" applyBorder="1" applyAlignment="1" applyProtection="1">
      <alignment horizontal="center"/>
      <protection hidden="1"/>
    </xf>
    <xf numFmtId="0" fontId="16" fillId="0" borderId="53" xfId="0" applyFont="1" applyBorder="1" applyAlignment="1" applyProtection="1">
      <alignment horizontal="center"/>
      <protection hidden="1"/>
    </xf>
    <xf numFmtId="0" fontId="16" fillId="0" borderId="59" xfId="0" applyFont="1" applyBorder="1" applyAlignment="1" applyProtection="1">
      <alignment horizontal="center"/>
      <protection hidden="1"/>
    </xf>
    <xf numFmtId="0" fontId="69" fillId="0" borderId="13" xfId="0" applyFont="1" applyBorder="1" applyAlignment="1">
      <alignment horizontal="center"/>
    </xf>
    <xf numFmtId="0" fontId="69" fillId="0" borderId="36" xfId="0" applyFont="1" applyBorder="1" applyAlignment="1">
      <alignment horizontal="center"/>
    </xf>
    <xf numFmtId="0" fontId="69" fillId="0" borderId="14" xfId="0" applyFont="1" applyBorder="1" applyAlignment="1">
      <alignment horizontal="center"/>
    </xf>
    <xf numFmtId="0" fontId="69" fillId="0" borderId="24" xfId="0" applyFont="1" applyBorder="1" applyAlignment="1">
      <alignment horizontal="center"/>
    </xf>
    <xf numFmtId="0" fontId="69" fillId="0" borderId="0" xfId="0" applyFont="1" applyAlignment="1">
      <alignment horizontal="center"/>
    </xf>
    <xf numFmtId="0" fontId="69" fillId="0" borderId="25" xfId="0" applyFont="1" applyBorder="1" applyAlignment="1">
      <alignment horizontal="center"/>
    </xf>
    <xf numFmtId="0" fontId="69" fillId="0" borderId="20" xfId="0" applyFont="1" applyBorder="1" applyAlignment="1">
      <alignment horizontal="center"/>
    </xf>
    <xf numFmtId="0" fontId="69" fillId="0" borderId="37" xfId="0" applyFont="1" applyBorder="1" applyAlignment="1">
      <alignment horizontal="center"/>
    </xf>
    <xf numFmtId="0" fontId="69" fillId="0" borderId="21" xfId="0" applyFont="1" applyBorder="1" applyAlignment="1">
      <alignment horizontal="center"/>
    </xf>
    <xf numFmtId="0" fontId="71" fillId="3" borderId="1" xfId="0" applyFont="1" applyFill="1" applyBorder="1" applyAlignment="1" applyProtection="1">
      <alignment horizontal="center"/>
      <protection hidden="1"/>
    </xf>
    <xf numFmtId="0" fontId="71" fillId="3" borderId="53" xfId="0" applyFont="1" applyFill="1" applyBorder="1" applyAlignment="1" applyProtection="1">
      <alignment horizontal="center"/>
      <protection hidden="1"/>
    </xf>
    <xf numFmtId="0" fontId="71" fillId="3" borderId="59" xfId="0" applyFont="1" applyFill="1" applyBorder="1" applyAlignment="1" applyProtection="1">
      <alignment horizontal="center"/>
      <protection hidden="1"/>
    </xf>
    <xf numFmtId="0" fontId="16" fillId="3" borderId="13" xfId="0" applyFont="1" applyFill="1" applyBorder="1" applyAlignment="1" applyProtection="1">
      <alignment horizontal="center"/>
      <protection hidden="1"/>
    </xf>
    <xf numFmtId="0" fontId="16" fillId="3" borderId="36" xfId="0" applyFont="1" applyFill="1" applyBorder="1" applyAlignment="1" applyProtection="1">
      <alignment horizontal="center"/>
      <protection hidden="1"/>
    </xf>
    <xf numFmtId="0" fontId="16" fillId="3" borderId="14" xfId="0" applyFont="1" applyFill="1" applyBorder="1" applyAlignment="1" applyProtection="1">
      <alignment horizontal="center"/>
      <protection hidden="1"/>
    </xf>
    <xf numFmtId="0" fontId="16" fillId="3" borderId="20" xfId="0" applyFont="1" applyFill="1" applyBorder="1" applyAlignment="1" applyProtection="1">
      <alignment horizontal="center"/>
      <protection hidden="1"/>
    </xf>
    <xf numFmtId="0" fontId="16" fillId="3" borderId="37" xfId="0" applyFont="1" applyFill="1" applyBorder="1" applyAlignment="1" applyProtection="1">
      <alignment horizontal="center"/>
      <protection hidden="1"/>
    </xf>
    <xf numFmtId="0" fontId="16" fillId="3" borderId="21" xfId="0" applyFont="1" applyFill="1" applyBorder="1" applyAlignment="1" applyProtection="1">
      <alignment horizontal="center"/>
      <protection hidden="1"/>
    </xf>
    <xf numFmtId="10" fontId="15" fillId="3" borderId="65" xfId="2" applyNumberFormat="1" applyFont="1" applyFill="1" applyBorder="1" applyAlignment="1" applyProtection="1">
      <alignment horizontal="center" vertical="top"/>
      <protection hidden="1"/>
    </xf>
    <xf numFmtId="10" fontId="15" fillId="3" borderId="52" xfId="2" applyNumberFormat="1" applyFont="1" applyFill="1" applyBorder="1" applyAlignment="1" applyProtection="1">
      <alignment horizontal="center" vertical="top"/>
      <protection hidden="1"/>
    </xf>
    <xf numFmtId="2" fontId="62" fillId="0" borderId="140" xfId="1" applyNumberFormat="1" applyFont="1" applyBorder="1" applyAlignment="1">
      <alignment horizontal="left"/>
    </xf>
    <xf numFmtId="2" fontId="62" fillId="0" borderId="142" xfId="1" applyNumberFormat="1" applyFont="1" applyBorder="1" applyAlignment="1">
      <alignment horizontal="left"/>
    </xf>
    <xf numFmtId="2" fontId="62" fillId="0" borderId="139" xfId="1" applyNumberFormat="1" applyFont="1" applyBorder="1" applyAlignment="1">
      <alignment horizontal="left"/>
    </xf>
    <xf numFmtId="0" fontId="27" fillId="3" borderId="1" xfId="0" applyFont="1" applyFill="1" applyBorder="1" applyAlignment="1" applyProtection="1">
      <alignment horizontal="center"/>
      <protection hidden="1"/>
    </xf>
    <xf numFmtId="0" fontId="27" fillId="3" borderId="53" xfId="0" applyFont="1" applyFill="1" applyBorder="1" applyAlignment="1" applyProtection="1">
      <alignment horizontal="center"/>
      <protection hidden="1"/>
    </xf>
    <xf numFmtId="0" fontId="27" fillId="3" borderId="59" xfId="0" applyFont="1" applyFill="1" applyBorder="1" applyAlignment="1" applyProtection="1">
      <alignment horizontal="center"/>
      <protection hidden="1"/>
    </xf>
    <xf numFmtId="166" fontId="47" fillId="0" borderId="1" xfId="0" applyNumberFormat="1" applyFont="1" applyBorder="1" applyAlignment="1" applyProtection="1">
      <alignment horizontal="center"/>
      <protection hidden="1"/>
    </xf>
    <xf numFmtId="166" fontId="47" fillId="0" borderId="53" xfId="0" applyNumberFormat="1" applyFont="1" applyBorder="1" applyAlignment="1" applyProtection="1">
      <alignment horizontal="center"/>
      <protection hidden="1"/>
    </xf>
    <xf numFmtId="166" fontId="47" fillId="0" borderId="59" xfId="0" applyNumberFormat="1" applyFont="1" applyBorder="1" applyAlignment="1" applyProtection="1">
      <alignment horizontal="center"/>
      <protection hidden="1"/>
    </xf>
    <xf numFmtId="0" fontId="29" fillId="3" borderId="20" xfId="0" applyFont="1" applyFill="1" applyBorder="1" applyAlignment="1" applyProtection="1">
      <alignment horizontal="center" vertical="center"/>
      <protection hidden="1"/>
    </xf>
    <xf numFmtId="0" fontId="29" fillId="3" borderId="37" xfId="0" applyFont="1" applyFill="1" applyBorder="1" applyAlignment="1" applyProtection="1">
      <alignment horizontal="center" vertical="center"/>
      <protection hidden="1"/>
    </xf>
    <xf numFmtId="0" fontId="29" fillId="3" borderId="21" xfId="0" applyFont="1" applyFill="1" applyBorder="1" applyAlignment="1" applyProtection="1">
      <alignment horizontal="center" vertical="center"/>
      <protection hidden="1"/>
    </xf>
    <xf numFmtId="2" fontId="56" fillId="0" borderId="13" xfId="0" applyNumberFormat="1" applyFont="1" applyBorder="1" applyAlignment="1" applyProtection="1">
      <alignment horizontal="center" vertical="center"/>
      <protection hidden="1"/>
    </xf>
    <xf numFmtId="2" fontId="56" fillId="0" borderId="36" xfId="0" applyNumberFormat="1" applyFont="1" applyBorder="1" applyAlignment="1" applyProtection="1">
      <alignment horizontal="center" vertical="center"/>
      <protection hidden="1"/>
    </xf>
    <xf numFmtId="2" fontId="56" fillId="0" borderId="14" xfId="0" applyNumberFormat="1" applyFont="1" applyBorder="1" applyAlignment="1" applyProtection="1">
      <alignment horizontal="center" vertical="center"/>
      <protection hidden="1"/>
    </xf>
    <xf numFmtId="2" fontId="56" fillId="0" borderId="24" xfId="0" applyNumberFormat="1" applyFont="1" applyBorder="1" applyAlignment="1" applyProtection="1">
      <alignment horizontal="center" vertical="center"/>
      <protection hidden="1"/>
    </xf>
    <xf numFmtId="2" fontId="56" fillId="0" borderId="0" xfId="0" applyNumberFormat="1" applyFont="1" applyAlignment="1" applyProtection="1">
      <alignment horizontal="center" vertical="center"/>
      <protection hidden="1"/>
    </xf>
    <xf numFmtId="2" fontId="56" fillId="0" borderId="25" xfId="0" applyNumberFormat="1" applyFont="1" applyBorder="1" applyAlignment="1" applyProtection="1">
      <alignment horizontal="center" vertical="center"/>
      <protection hidden="1"/>
    </xf>
    <xf numFmtId="1" fontId="49" fillId="0" borderId="13" xfId="0" applyNumberFormat="1" applyFont="1" applyBorder="1" applyAlignment="1" applyProtection="1">
      <alignment horizontal="center"/>
      <protection hidden="1"/>
    </xf>
    <xf numFmtId="1" fontId="49" fillId="0" borderId="36" xfId="0" applyNumberFormat="1" applyFont="1" applyBorder="1" applyAlignment="1" applyProtection="1">
      <alignment horizontal="center"/>
      <protection hidden="1"/>
    </xf>
    <xf numFmtId="1" fontId="49" fillId="0" borderId="14" xfId="0" applyNumberFormat="1" applyFont="1" applyBorder="1" applyAlignment="1" applyProtection="1">
      <alignment horizontal="center"/>
      <protection hidden="1"/>
    </xf>
    <xf numFmtId="1" fontId="49" fillId="0" borderId="24" xfId="0" applyNumberFormat="1" applyFont="1" applyBorder="1" applyAlignment="1" applyProtection="1">
      <alignment horizontal="center"/>
      <protection hidden="1"/>
    </xf>
    <xf numFmtId="1" fontId="49" fillId="0" borderId="0" xfId="0" applyNumberFormat="1" applyFont="1" applyAlignment="1" applyProtection="1">
      <alignment horizontal="center"/>
      <protection hidden="1"/>
    </xf>
    <xf numFmtId="1" fontId="49" fillId="0" borderId="25" xfId="0" applyNumberFormat="1" applyFont="1" applyBorder="1" applyAlignment="1" applyProtection="1">
      <alignment horizontal="center"/>
      <protection hidden="1"/>
    </xf>
    <xf numFmtId="1" fontId="49" fillId="0" borderId="20" xfId="0" applyNumberFormat="1" applyFont="1" applyBorder="1" applyAlignment="1" applyProtection="1">
      <alignment horizontal="center"/>
      <protection hidden="1"/>
    </xf>
    <xf numFmtId="1" fontId="49" fillId="0" borderId="37" xfId="0" applyNumberFormat="1" applyFont="1" applyBorder="1" applyAlignment="1" applyProtection="1">
      <alignment horizontal="center"/>
      <protection hidden="1"/>
    </xf>
    <xf numFmtId="1" fontId="49" fillId="0" borderId="21" xfId="0" applyNumberFormat="1" applyFont="1" applyBorder="1" applyAlignment="1" applyProtection="1">
      <alignment horizontal="center"/>
      <protection hidden="1"/>
    </xf>
    <xf numFmtId="0" fontId="16" fillId="3" borderId="1" xfId="0" applyFont="1" applyFill="1" applyBorder="1" applyAlignment="1" applyProtection="1">
      <alignment horizontal="center"/>
      <protection hidden="1"/>
    </xf>
    <xf numFmtId="0" fontId="16" fillId="3" borderId="53" xfId="0" applyFont="1" applyFill="1" applyBorder="1" applyAlignment="1" applyProtection="1">
      <alignment horizontal="center"/>
      <protection hidden="1"/>
    </xf>
    <xf numFmtId="0" fontId="16" fillId="3" borderId="59" xfId="0" applyFont="1" applyFill="1" applyBorder="1" applyAlignment="1" applyProtection="1">
      <alignment horizontal="center"/>
      <protection hidden="1"/>
    </xf>
    <xf numFmtId="10" fontId="15" fillId="3" borderId="13" xfId="2" applyNumberFormat="1" applyFont="1" applyFill="1" applyBorder="1" applyAlignment="1" applyProtection="1">
      <alignment horizontal="center"/>
      <protection hidden="1"/>
    </xf>
    <xf numFmtId="10" fontId="15" fillId="3" borderId="14" xfId="2" applyNumberFormat="1" applyFont="1" applyFill="1" applyBorder="1" applyAlignment="1" applyProtection="1">
      <alignment horizontal="center"/>
      <protection hidden="1"/>
    </xf>
    <xf numFmtId="0" fontId="29" fillId="3" borderId="41" xfId="0" applyFont="1" applyFill="1" applyBorder="1" applyAlignment="1" applyProtection="1">
      <alignment horizontal="center" vertical="center"/>
      <protection hidden="1"/>
    </xf>
    <xf numFmtId="0" fontId="29" fillId="3" borderId="38" xfId="0" applyFont="1" applyFill="1" applyBorder="1" applyAlignment="1" applyProtection="1">
      <alignment horizontal="center" vertical="center"/>
      <protection hidden="1"/>
    </xf>
    <xf numFmtId="0" fontId="29" fillId="3" borderId="42" xfId="0" applyFont="1" applyFill="1" applyBorder="1" applyAlignment="1" applyProtection="1">
      <alignment horizontal="center" vertical="center"/>
      <protection hidden="1"/>
    </xf>
    <xf numFmtId="0" fontId="29" fillId="3" borderId="34" xfId="0" applyFont="1" applyFill="1" applyBorder="1" applyAlignment="1" applyProtection="1">
      <alignment horizontal="center" vertical="center"/>
      <protection hidden="1"/>
    </xf>
    <xf numFmtId="0" fontId="29" fillId="3" borderId="33" xfId="0" applyFont="1" applyFill="1" applyBorder="1" applyAlignment="1" applyProtection="1">
      <alignment horizontal="center" vertical="center"/>
      <protection hidden="1"/>
    </xf>
    <xf numFmtId="0" fontId="29" fillId="3" borderId="48" xfId="0" applyFont="1" applyFill="1" applyBorder="1" applyAlignment="1" applyProtection="1">
      <alignment horizontal="center" vertical="center"/>
      <protection hidden="1"/>
    </xf>
    <xf numFmtId="0" fontId="16" fillId="0" borderId="1" xfId="0" applyFont="1" applyBorder="1" applyAlignment="1" applyProtection="1">
      <alignment horizontal="center" vertical="center"/>
      <protection hidden="1"/>
    </xf>
    <xf numFmtId="0" fontId="16" fillId="0" borderId="53" xfId="0" applyFont="1" applyBorder="1" applyAlignment="1" applyProtection="1">
      <alignment horizontal="center" vertical="center"/>
      <protection hidden="1"/>
    </xf>
    <xf numFmtId="0" fontId="77" fillId="0" borderId="13" xfId="0" applyFont="1" applyBorder="1" applyAlignment="1" applyProtection="1">
      <alignment horizontal="center"/>
      <protection hidden="1"/>
    </xf>
    <xf numFmtId="0" fontId="77" fillId="0" borderId="36" xfId="0" applyFont="1" applyBorder="1" applyAlignment="1" applyProtection="1">
      <alignment horizontal="center"/>
      <protection hidden="1"/>
    </xf>
    <xf numFmtId="0" fontId="77" fillId="0" borderId="14" xfId="0" applyFont="1" applyBorder="1" applyAlignment="1" applyProtection="1">
      <alignment horizontal="center"/>
      <protection hidden="1"/>
    </xf>
    <xf numFmtId="0" fontId="77" fillId="0" borderId="24" xfId="0" applyFont="1" applyBorder="1" applyAlignment="1" applyProtection="1">
      <alignment horizontal="center"/>
      <protection hidden="1"/>
    </xf>
    <xf numFmtId="0" fontId="77" fillId="0" borderId="0" xfId="0" applyFont="1" applyAlignment="1" applyProtection="1">
      <alignment horizontal="center"/>
      <protection hidden="1"/>
    </xf>
    <xf numFmtId="0" fontId="77" fillId="0" borderId="25" xfId="0" applyFont="1" applyBorder="1" applyAlignment="1" applyProtection="1">
      <alignment horizontal="center"/>
      <protection hidden="1"/>
    </xf>
    <xf numFmtId="0" fontId="77" fillId="0" borderId="20" xfId="0" applyFont="1" applyBorder="1" applyAlignment="1" applyProtection="1">
      <alignment horizontal="center"/>
      <protection hidden="1"/>
    </xf>
    <xf numFmtId="0" fontId="77" fillId="0" borderId="37" xfId="0" applyFont="1" applyBorder="1" applyAlignment="1" applyProtection="1">
      <alignment horizontal="center"/>
      <protection hidden="1"/>
    </xf>
    <xf numFmtId="0" fontId="77" fillId="0" borderId="21" xfId="0" applyFont="1" applyBorder="1" applyAlignment="1" applyProtection="1">
      <alignment horizontal="center"/>
      <protection hidden="1"/>
    </xf>
    <xf numFmtId="0" fontId="71" fillId="3" borderId="13" xfId="0" applyFont="1" applyFill="1" applyBorder="1" applyAlignment="1" applyProtection="1">
      <alignment horizontal="center"/>
      <protection hidden="1"/>
    </xf>
    <xf numFmtId="0" fontId="71" fillId="3" borderId="36" xfId="0" applyFont="1" applyFill="1" applyBorder="1" applyAlignment="1" applyProtection="1">
      <alignment horizontal="center"/>
      <protection hidden="1"/>
    </xf>
    <xf numFmtId="0" fontId="4" fillId="8" borderId="3" xfId="0" applyFont="1" applyFill="1" applyBorder="1" applyAlignment="1" applyProtection="1">
      <alignment horizontal="center"/>
      <protection hidden="1"/>
    </xf>
    <xf numFmtId="2" fontId="0" fillId="0" borderId="0" xfId="0" applyNumberFormat="1" applyAlignment="1">
      <alignment horizontal="center"/>
    </xf>
    <xf numFmtId="2" fontId="0" fillId="0" borderId="37" xfId="0" applyNumberFormat="1" applyBorder="1" applyAlignment="1">
      <alignment horizontal="center"/>
    </xf>
    <xf numFmtId="10" fontId="5" fillId="0" borderId="65" xfId="2" applyNumberFormat="1" applyFont="1" applyBorder="1" applyAlignment="1" applyProtection="1">
      <alignment horizontal="center" wrapText="1"/>
      <protection hidden="1"/>
    </xf>
    <xf numFmtId="10" fontId="5" fillId="0" borderId="52" xfId="2" applyNumberFormat="1" applyFont="1" applyBorder="1" applyAlignment="1" applyProtection="1">
      <alignment horizontal="center" wrapText="1"/>
      <protection hidden="1"/>
    </xf>
    <xf numFmtId="0" fontId="5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0" xfId="0" applyBorder="1" applyAlignment="1" applyProtection="1">
      <alignment horizontal="center"/>
      <protection hidden="1"/>
    </xf>
    <xf numFmtId="0" fontId="60" fillId="0" borderId="0" xfId="0" applyFont="1" applyAlignment="1" applyProtection="1">
      <alignment horizontal="center" vertical="top"/>
      <protection hidden="1"/>
    </xf>
    <xf numFmtId="0" fontId="26" fillId="13" borderId="1" xfId="0" applyFont="1" applyFill="1" applyBorder="1" applyAlignment="1" applyProtection="1">
      <alignment horizontal="center" vertical="center"/>
      <protection hidden="1"/>
    </xf>
    <xf numFmtId="0" fontId="26" fillId="13" borderId="53" xfId="0" applyFont="1" applyFill="1" applyBorder="1" applyAlignment="1" applyProtection="1">
      <alignment horizontal="center" vertical="center"/>
      <protection hidden="1"/>
    </xf>
    <xf numFmtId="0" fontId="26" fillId="13" borderId="59" xfId="0" applyFont="1" applyFill="1" applyBorder="1" applyAlignment="1" applyProtection="1">
      <alignment horizontal="center" vertical="center"/>
      <protection hidden="1"/>
    </xf>
    <xf numFmtId="0" fontId="34" fillId="3" borderId="20" xfId="0" applyFont="1" applyFill="1" applyBorder="1" applyAlignment="1" applyProtection="1">
      <alignment horizontal="center" vertical="center"/>
      <protection hidden="1"/>
    </xf>
    <xf numFmtId="0" fontId="34" fillId="3" borderId="37" xfId="0" applyFont="1" applyFill="1" applyBorder="1" applyAlignment="1" applyProtection="1">
      <alignment horizontal="center" vertical="center"/>
      <protection hidden="1"/>
    </xf>
    <xf numFmtId="0" fontId="4" fillId="0" borderId="34" xfId="0" quotePrefix="1" applyFont="1" applyBorder="1" applyAlignment="1" applyProtection="1">
      <alignment horizontal="center"/>
      <protection hidden="1"/>
    </xf>
    <xf numFmtId="0" fontId="4" fillId="0" borderId="33" xfId="0" quotePrefix="1" applyFont="1" applyBorder="1" applyAlignment="1" applyProtection="1">
      <alignment horizontal="center"/>
      <protection hidden="1"/>
    </xf>
    <xf numFmtId="0" fontId="4" fillId="0" borderId="48" xfId="0" quotePrefix="1" applyFont="1" applyBorder="1" applyAlignment="1" applyProtection="1">
      <alignment horizontal="center"/>
      <protection hidden="1"/>
    </xf>
    <xf numFmtId="0" fontId="4" fillId="7" borderId="41" xfId="0" applyFont="1" applyFill="1" applyBorder="1" applyAlignment="1" applyProtection="1">
      <alignment horizontal="center"/>
      <protection hidden="1"/>
    </xf>
    <xf numFmtId="0" fontId="4" fillId="7" borderId="38" xfId="0" applyFont="1" applyFill="1" applyBorder="1" applyAlignment="1" applyProtection="1">
      <alignment horizontal="center"/>
      <protection hidden="1"/>
    </xf>
    <xf numFmtId="0" fontId="4" fillId="7" borderId="42" xfId="0" applyFont="1" applyFill="1" applyBorder="1" applyAlignment="1" applyProtection="1">
      <alignment horizontal="center"/>
      <protection hidden="1"/>
    </xf>
    <xf numFmtId="0" fontId="4" fillId="0" borderId="20" xfId="0" applyFont="1" applyBorder="1" applyAlignment="1" applyProtection="1">
      <alignment horizontal="center" vertical="center"/>
      <protection hidden="1"/>
    </xf>
    <xf numFmtId="0" fontId="4" fillId="0" borderId="37" xfId="0" applyFont="1" applyBorder="1" applyAlignment="1" applyProtection="1">
      <alignment horizontal="center" vertical="center"/>
      <protection hidden="1"/>
    </xf>
    <xf numFmtId="0" fontId="4" fillId="0" borderId="21" xfId="0" applyFont="1" applyBorder="1" applyAlignment="1" applyProtection="1">
      <alignment horizontal="center" vertical="center"/>
      <protection hidden="1"/>
    </xf>
    <xf numFmtId="0" fontId="4" fillId="7" borderId="1" xfId="0" applyFont="1" applyFill="1" applyBorder="1" applyAlignment="1" applyProtection="1">
      <alignment horizontal="center"/>
      <protection hidden="1"/>
    </xf>
    <xf numFmtId="0" fontId="4" fillId="7" borderId="53" xfId="0" applyFont="1" applyFill="1" applyBorder="1" applyAlignment="1" applyProtection="1">
      <alignment horizontal="center"/>
      <protection hidden="1"/>
    </xf>
    <xf numFmtId="0" fontId="4" fillId="7" borderId="59" xfId="0" applyFont="1" applyFill="1" applyBorder="1" applyAlignment="1" applyProtection="1">
      <alignment horizontal="center"/>
      <protection hidden="1"/>
    </xf>
    <xf numFmtId="0" fontId="4" fillId="0" borderId="163" xfId="0" applyFont="1" applyBorder="1" applyAlignment="1" applyProtection="1">
      <alignment horizontal="center" vertical="center" wrapText="1"/>
      <protection hidden="1"/>
    </xf>
    <xf numFmtId="0" fontId="4" fillId="0" borderId="164" xfId="0" applyFont="1" applyBorder="1" applyAlignment="1" applyProtection="1">
      <alignment horizontal="center" vertical="center" wrapText="1"/>
      <protection hidden="1"/>
    </xf>
    <xf numFmtId="0" fontId="34" fillId="0" borderId="165" xfId="0" applyFont="1" applyBorder="1" applyAlignment="1" applyProtection="1">
      <alignment horizontal="center" vertical="center" wrapText="1"/>
      <protection hidden="1"/>
    </xf>
    <xf numFmtId="0" fontId="34" fillId="0" borderId="166" xfId="0" applyFont="1" applyBorder="1" applyAlignment="1" applyProtection="1">
      <alignment horizontal="center" vertical="center" wrapText="1"/>
      <protection hidden="1"/>
    </xf>
    <xf numFmtId="167" fontId="4" fillId="3" borderId="167" xfId="0" applyNumberFormat="1" applyFont="1" applyFill="1" applyBorder="1" applyAlignment="1" applyProtection="1">
      <alignment horizontal="center" wrapText="1"/>
      <protection hidden="1"/>
    </xf>
    <xf numFmtId="167" fontId="4" fillId="3" borderId="39" xfId="0" applyNumberFormat="1" applyFont="1" applyFill="1" applyBorder="1" applyAlignment="1" applyProtection="1">
      <alignment horizontal="center" wrapText="1"/>
      <protection hidden="1"/>
    </xf>
    <xf numFmtId="0" fontId="4" fillId="3" borderId="122" xfId="0" applyFont="1" applyFill="1" applyBorder="1" applyAlignment="1" applyProtection="1">
      <alignment horizontal="center" wrapText="1"/>
      <protection hidden="1"/>
    </xf>
    <xf numFmtId="0" fontId="4" fillId="3" borderId="124" xfId="0" applyFont="1" applyFill="1" applyBorder="1" applyAlignment="1" applyProtection="1">
      <alignment horizontal="center" wrapText="1"/>
      <protection hidden="1"/>
    </xf>
    <xf numFmtId="0" fontId="4" fillId="3" borderId="168" xfId="0" applyFont="1" applyFill="1" applyBorder="1" applyAlignment="1" applyProtection="1">
      <alignment horizontal="center"/>
      <protection hidden="1"/>
    </xf>
    <xf numFmtId="0" fontId="4" fillId="3" borderId="149" xfId="0" applyFont="1" applyFill="1" applyBorder="1" applyAlignment="1" applyProtection="1">
      <alignment horizontal="center"/>
      <protection hidden="1"/>
    </xf>
    <xf numFmtId="167" fontId="4" fillId="3" borderId="167" xfId="0" applyNumberFormat="1" applyFont="1" applyFill="1" applyBorder="1" applyAlignment="1" applyProtection="1">
      <alignment horizontal="center"/>
      <protection hidden="1"/>
    </xf>
    <xf numFmtId="167" fontId="4" fillId="3" borderId="39" xfId="0" applyNumberFormat="1" applyFont="1" applyFill="1" applyBorder="1" applyAlignment="1" applyProtection="1">
      <alignment horizontal="center"/>
      <protection hidden="1"/>
    </xf>
    <xf numFmtId="166" fontId="83" fillId="0" borderId="1" xfId="0" applyNumberFormat="1" applyFont="1" applyBorder="1" applyAlignment="1" applyProtection="1">
      <alignment horizontal="center"/>
      <protection hidden="1"/>
    </xf>
    <xf numFmtId="166" fontId="83" fillId="0" borderId="59" xfId="0" applyNumberFormat="1" applyFont="1" applyBorder="1" applyAlignment="1" applyProtection="1">
      <alignment horizontal="center"/>
      <protection hidden="1"/>
    </xf>
    <xf numFmtId="172" fontId="17" fillId="16" borderId="189" xfId="0" applyNumberFormat="1" applyFont="1" applyFill="1" applyBorder="1" applyAlignment="1" applyProtection="1">
      <alignment horizontal="center"/>
      <protection hidden="1"/>
    </xf>
    <xf numFmtId="172" fontId="17" fillId="16" borderId="7" xfId="0" applyNumberFormat="1" applyFont="1" applyFill="1" applyBorder="1" applyAlignment="1" applyProtection="1">
      <alignment horizontal="center"/>
      <protection hidden="1"/>
    </xf>
    <xf numFmtId="172" fontId="84" fillId="0" borderId="1" xfId="0" applyNumberFormat="1" applyFont="1" applyBorder="1" applyAlignment="1" applyProtection="1">
      <alignment horizontal="center" vertical="center"/>
      <protection hidden="1"/>
    </xf>
    <xf numFmtId="172" fontId="84" fillId="0" borderId="53" xfId="0" applyNumberFormat="1" applyFont="1" applyBorder="1" applyAlignment="1" applyProtection="1">
      <alignment horizontal="center" vertical="center"/>
      <protection hidden="1"/>
    </xf>
    <xf numFmtId="172" fontId="84" fillId="0" borderId="59" xfId="0" applyNumberFormat="1" applyFont="1" applyBorder="1" applyAlignment="1" applyProtection="1">
      <alignment horizontal="center" vertical="center"/>
      <protection hidden="1"/>
    </xf>
    <xf numFmtId="172" fontId="84" fillId="5" borderId="1" xfId="1" applyNumberFormat="1" applyFont="1" applyFill="1" applyBorder="1" applyAlignment="1" applyProtection="1">
      <alignment horizontal="center" vertical="center"/>
      <protection hidden="1"/>
    </xf>
    <xf numFmtId="172" fontId="84" fillId="5" borderId="53" xfId="1" applyNumberFormat="1" applyFont="1" applyFill="1" applyBorder="1" applyAlignment="1" applyProtection="1">
      <alignment horizontal="center" vertical="center"/>
      <protection hidden="1"/>
    </xf>
    <xf numFmtId="172" fontId="84" fillId="5" borderId="59" xfId="1" applyNumberFormat="1" applyFont="1" applyFill="1" applyBorder="1" applyAlignment="1" applyProtection="1">
      <alignment horizontal="center" vertical="center"/>
      <protection hidden="1"/>
    </xf>
    <xf numFmtId="0" fontId="34" fillId="0" borderId="169" xfId="1" applyNumberFormat="1" applyFont="1" applyFill="1" applyBorder="1" applyAlignment="1" applyProtection="1">
      <alignment horizontal="center"/>
      <protection hidden="1"/>
    </xf>
    <xf numFmtId="0" fontId="34" fillId="0" borderId="0" xfId="1" applyNumberFormat="1" applyFont="1" applyFill="1" applyBorder="1" applyAlignment="1" applyProtection="1">
      <alignment horizontal="center" wrapText="1"/>
      <protection hidden="1"/>
    </xf>
    <xf numFmtId="0" fontId="34" fillId="0" borderId="10" xfId="1" applyNumberFormat="1" applyFont="1" applyFill="1" applyBorder="1" applyAlignment="1" applyProtection="1">
      <alignment horizontal="center" wrapText="1"/>
      <protection hidden="1"/>
    </xf>
    <xf numFmtId="0" fontId="34" fillId="0" borderId="0" xfId="1" applyNumberFormat="1" applyFont="1" applyFill="1" applyBorder="1" applyAlignment="1" applyProtection="1">
      <alignment horizontal="center"/>
      <protection hidden="1"/>
    </xf>
    <xf numFmtId="0" fontId="34" fillId="0" borderId="10" xfId="1" applyNumberFormat="1" applyFont="1" applyFill="1" applyBorder="1" applyAlignment="1" applyProtection="1">
      <alignment horizontal="center"/>
      <protection hidden="1"/>
    </xf>
    <xf numFmtId="14" fontId="4" fillId="0" borderId="1" xfId="0" applyNumberFormat="1" applyFont="1" applyBorder="1" applyAlignment="1" applyProtection="1">
      <alignment horizontal="center"/>
      <protection locked="0"/>
    </xf>
    <xf numFmtId="14" fontId="4" fillId="0" borderId="53" xfId="0" applyNumberFormat="1" applyFont="1" applyBorder="1" applyAlignment="1" applyProtection="1">
      <alignment horizontal="center"/>
      <protection locked="0"/>
    </xf>
    <xf numFmtId="14" fontId="4" fillId="0" borderId="59" xfId="0" applyNumberFormat="1" applyFont="1" applyBorder="1" applyAlignment="1" applyProtection="1">
      <alignment horizontal="center"/>
      <protection locked="0"/>
    </xf>
    <xf numFmtId="0" fontId="91" fillId="0" borderId="198" xfId="0" applyFont="1" applyBorder="1" applyAlignment="1">
      <alignment horizontal="center"/>
    </xf>
    <xf numFmtId="0" fontId="13" fillId="0" borderId="198" xfId="0" applyFont="1" applyBorder="1" applyAlignment="1">
      <alignment horizontal="center"/>
    </xf>
    <xf numFmtId="168" fontId="16" fillId="0" borderId="214" xfId="1" applyNumberFormat="1" applyFont="1" applyBorder="1" applyAlignment="1">
      <alignment horizontal="center" wrapText="1"/>
    </xf>
    <xf numFmtId="178" fontId="16" fillId="0" borderId="214" xfId="1" applyNumberFormat="1" applyFont="1" applyBorder="1" applyAlignment="1">
      <alignment horizontal="center" wrapText="1"/>
    </xf>
    <xf numFmtId="168" fontId="19" fillId="0" borderId="0" xfId="1" applyNumberFormat="1" applyFont="1" applyBorder="1" applyAlignment="1">
      <alignment horizontal="left"/>
    </xf>
    <xf numFmtId="1" fontId="19" fillId="0" borderId="0" xfId="1" applyNumberFormat="1" applyFont="1" applyBorder="1" applyAlignment="1">
      <alignment horizontal="left"/>
    </xf>
    <xf numFmtId="168" fontId="31" fillId="20" borderId="0" xfId="1" applyNumberFormat="1" applyFont="1" applyFill="1" applyBorder="1" applyAlignment="1">
      <alignment horizontal="center" vertical="center"/>
    </xf>
    <xf numFmtId="178" fontId="31" fillId="20" borderId="0" xfId="1" applyNumberFormat="1" applyFont="1" applyFill="1" applyBorder="1" applyAlignment="1">
      <alignment horizontal="center" vertical="center"/>
    </xf>
    <xf numFmtId="168" fontId="31" fillId="20" borderId="198" xfId="1" applyNumberFormat="1" applyFont="1" applyFill="1" applyBorder="1" applyAlignment="1">
      <alignment horizontal="center" vertical="center"/>
    </xf>
    <xf numFmtId="178" fontId="31" fillId="20" borderId="198" xfId="1" applyNumberFormat="1" applyFont="1" applyFill="1" applyBorder="1" applyAlignment="1">
      <alignment horizontal="center" vertical="center"/>
    </xf>
    <xf numFmtId="178" fontId="31" fillId="20" borderId="0" xfId="1" applyNumberFormat="1" applyFont="1" applyFill="1" applyBorder="1" applyAlignment="1">
      <alignment horizontal="center" vertical="center" wrapText="1"/>
    </xf>
    <xf numFmtId="178" fontId="31" fillId="20" borderId="198" xfId="1" applyNumberFormat="1" applyFont="1" applyFill="1" applyBorder="1" applyAlignment="1">
      <alignment horizontal="center" vertical="center" wrapText="1"/>
    </xf>
    <xf numFmtId="168" fontId="31" fillId="20" borderId="0" xfId="1" applyNumberFormat="1" applyFont="1" applyFill="1" applyBorder="1" applyAlignment="1">
      <alignment horizontal="center" vertical="center" wrapText="1"/>
    </xf>
    <xf numFmtId="168" fontId="31" fillId="20" borderId="198" xfId="1" applyNumberFormat="1" applyFont="1" applyFill="1" applyBorder="1" applyAlignment="1">
      <alignment horizontal="center" vertical="center" wrapText="1"/>
    </xf>
    <xf numFmtId="168" fontId="19" fillId="0" borderId="10" xfId="1" applyNumberFormat="1" applyFont="1" applyBorder="1" applyAlignment="1">
      <alignment horizontal="left"/>
    </xf>
    <xf numFmtId="1" fontId="19" fillId="0" borderId="10" xfId="1" applyNumberFormat="1" applyFont="1" applyBorder="1" applyAlignment="1">
      <alignment horizontal="left"/>
    </xf>
    <xf numFmtId="168" fontId="19" fillId="0" borderId="186" xfId="1" applyNumberFormat="1" applyFont="1" applyBorder="1" applyAlignment="1">
      <alignment horizontal="center"/>
    </xf>
    <xf numFmtId="178" fontId="19" fillId="0" borderId="186" xfId="1" applyNumberFormat="1" applyFont="1" applyBorder="1" applyAlignment="1">
      <alignment horizontal="center"/>
    </xf>
    <xf numFmtId="2" fontId="31" fillId="20" borderId="227" xfId="1" applyNumberFormat="1" applyFont="1" applyFill="1" applyBorder="1" applyAlignment="1">
      <alignment horizontal="center" vertical="center" wrapText="1"/>
    </xf>
    <xf numFmtId="2" fontId="31" fillId="20" borderId="0" xfId="1" applyNumberFormat="1" applyFont="1" applyFill="1" applyBorder="1" applyAlignment="1">
      <alignment horizontal="center" vertical="center" wrapText="1"/>
    </xf>
    <xf numFmtId="2" fontId="31" fillId="20" borderId="198" xfId="1" applyNumberFormat="1" applyFont="1" applyFill="1" applyBorder="1" applyAlignment="1">
      <alignment horizontal="center" vertical="center" wrapText="1"/>
    </xf>
    <xf numFmtId="1" fontId="27" fillId="0" borderId="214" xfId="1" applyNumberFormat="1" applyFont="1" applyFill="1" applyBorder="1" applyAlignment="1">
      <alignment horizontal="center" vertical="center" wrapText="1"/>
    </xf>
    <xf numFmtId="1" fontId="19" fillId="0" borderId="127" xfId="1" applyNumberFormat="1" applyFont="1" applyBorder="1" applyAlignment="1">
      <alignment horizontal="left"/>
    </xf>
    <xf numFmtId="178" fontId="19" fillId="0" borderId="186" xfId="1" applyNumberFormat="1" applyFont="1" applyBorder="1" applyAlignment="1">
      <alignment horizontal="left"/>
    </xf>
    <xf numFmtId="178" fontId="5" fillId="0" borderId="198" xfId="1" applyNumberFormat="1" applyFont="1" applyBorder="1" applyAlignment="1">
      <alignment horizontal="center" vertical="center" wrapText="1"/>
    </xf>
    <xf numFmtId="178" fontId="31" fillId="20" borderId="127" xfId="1" applyNumberFormat="1" applyFont="1" applyFill="1" applyBorder="1" applyAlignment="1">
      <alignment horizontal="center" vertical="center" wrapText="1"/>
    </xf>
    <xf numFmtId="168" fontId="31" fillId="20" borderId="127" xfId="1" applyNumberFormat="1" applyFont="1" applyFill="1" applyBorder="1" applyAlignment="1">
      <alignment horizontal="center" vertical="center" wrapText="1"/>
    </xf>
    <xf numFmtId="168" fontId="27" fillId="0" borderId="214" xfId="1" applyNumberFormat="1" applyFont="1" applyFill="1" applyBorder="1" applyAlignment="1">
      <alignment horizontal="center" wrapText="1"/>
    </xf>
    <xf numFmtId="1" fontId="27" fillId="0" borderId="214" xfId="1" applyNumberFormat="1" applyFont="1" applyFill="1" applyBorder="1" applyAlignment="1">
      <alignment horizontal="center" wrapText="1"/>
    </xf>
    <xf numFmtId="168" fontId="19" fillId="0" borderId="127" xfId="1" applyNumberFormat="1" applyFont="1" applyBorder="1" applyAlignment="1">
      <alignment horizontal="center"/>
    </xf>
    <xf numFmtId="1" fontId="19" fillId="0" borderId="127" xfId="1" applyNumberFormat="1" applyFont="1" applyBorder="1" applyAlignment="1">
      <alignment horizontal="center"/>
    </xf>
    <xf numFmtId="168" fontId="19" fillId="0" borderId="10" xfId="1" applyNumberFormat="1" applyFont="1" applyBorder="1" applyAlignment="1">
      <alignment horizontal="center"/>
    </xf>
    <xf numFmtId="1" fontId="19" fillId="0" borderId="10" xfId="1" applyNumberFormat="1" applyFont="1" applyBorder="1" applyAlignment="1">
      <alignment horizontal="center"/>
    </xf>
  </cellXfs>
  <cellStyles count="8">
    <cellStyle name="Comma" xfId="1" builtinId="3"/>
    <cellStyle name="Comma 2" xfId="4" xr:uid="{00000000-0005-0000-0000-000001000000}"/>
    <cellStyle name="Comma 3" xfId="7" xr:uid="{00000000-0005-0000-0000-000002000000}"/>
    <cellStyle name="Hyperlink" xfId="6" builtinId="8"/>
    <cellStyle name="Normal" xfId="0" builtinId="0"/>
    <cellStyle name="Normal 2" xfId="3" xr:uid="{00000000-0005-0000-0000-000005000000}"/>
    <cellStyle name="Percent" xfId="2" builtinId="5"/>
    <cellStyle name="Percent 2" xfId="5" xr:uid="{00000000-0005-0000-0000-000007000000}"/>
  </cellStyles>
  <dxfs count="32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 tint="-0.499984740745262"/>
        </patternFill>
      </fill>
      <alignment horizontal="general" vertical="bottom" textRotation="0" wrapText="1" indent="0" justifyLastLine="0" shrinkToFit="0" readingOrder="0"/>
    </dxf>
    <dxf>
      <font>
        <b/>
        <i val="0"/>
        <color theme="0"/>
      </font>
      <numFmt numFmtId="2" formatCode="0.00"/>
      <fill>
        <patternFill>
          <bgColor theme="4" tint="-0.499984740745262"/>
        </patternFill>
      </fill>
    </dxf>
    <dxf>
      <font>
        <b/>
        <i val="0"/>
      </font>
      <numFmt numFmtId="2" formatCode="0.00"/>
      <fill>
        <patternFill>
          <bgColor theme="0" tint="-0.34998626667073579"/>
        </patternFill>
      </fill>
    </dxf>
    <dxf>
      <border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0099FF"/>
      <color rgb="FFECF4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WorkingConsolidate!$M$1"/>
</file>

<file path=xl/ctrlProps/ctrlProp5.xml><?xml version="1.0" encoding="utf-8"?>
<formControlPr xmlns="http://schemas.microsoft.com/office/spreadsheetml/2009/9/main" objectType="CheckBox" checked="Checked" fmlaLink="WorkingConsolidate!$L$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257175</xdr:rowOff>
        </xdr:from>
        <xdr:to>
          <xdr:col>2</xdr:col>
          <xdr:colOff>542925</xdr:colOff>
          <xdr:row>0</xdr:row>
          <xdr:rowOff>514350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7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Allocate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llocation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0</xdr:row>
          <xdr:rowOff>409575</xdr:rowOff>
        </xdr:from>
        <xdr:to>
          <xdr:col>1</xdr:col>
          <xdr:colOff>838200</xdr:colOff>
          <xdr:row>0</xdr:row>
          <xdr:rowOff>628650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8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Allocate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257175</xdr:rowOff>
        </xdr:from>
        <xdr:to>
          <xdr:col>2</xdr:col>
          <xdr:colOff>542925</xdr:colOff>
          <xdr:row>0</xdr:row>
          <xdr:rowOff>514350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9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Allocate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Allocation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468842</xdr:colOff>
      <xdr:row>0</xdr:row>
      <xdr:rowOff>19050</xdr:rowOff>
    </xdr:from>
    <xdr:to>
      <xdr:col>15</xdr:col>
      <xdr:colOff>383117</xdr:colOff>
      <xdr:row>0</xdr:row>
      <xdr:rowOff>323850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pSpPr/>
      </xdr:nvGrpSpPr>
      <xdr:grpSpPr>
        <a:xfrm>
          <a:off x="6797675" y="19050"/>
          <a:ext cx="5438775" cy="304800"/>
          <a:chOff x="7096207" y="19050"/>
          <a:chExt cx="5610151" cy="304800"/>
        </a:xfrm>
      </xdr:grpSpPr>
      <xdr:sp macro="[0]!legs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SpPr/>
        </xdr:nvSpPr>
        <xdr:spPr>
          <a:xfrm>
            <a:off x="7096207" y="19050"/>
            <a:ext cx="2571669" cy="304800"/>
          </a:xfrm>
          <a:prstGeom prst="rect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Generate</a:t>
            </a:r>
            <a:r>
              <a:rPr lang="en-US" sz="1100" baseline="0"/>
              <a:t> Upload Data</a:t>
            </a:r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5" name="Check Box 1" hidden="1">
                <a:extLst>
                  <a:ext uri="{63B3BB69-23CF-44E3-9099-C40C66FF867C}">
                    <a14:compatExt spid="_x0000_s26625"/>
                  </a:ext>
                  <a:ext uri="{FF2B5EF4-FFF2-40B4-BE49-F238E27FC236}">
                    <a16:creationId xmlns:a16="http://schemas.microsoft.com/office/drawing/2014/main" id="{00000000-0008-0000-0B00-000001680000}"/>
                  </a:ext>
                </a:extLst>
              </xdr:cNvPr>
              <xdr:cNvSpPr/>
            </xdr:nvSpPr>
            <xdr:spPr bwMode="auto">
              <a:xfrm>
                <a:off x="9678737" y="19050"/>
                <a:ext cx="1508760" cy="301752"/>
              </a:xfrm>
              <a:prstGeom prst="rect">
                <a:avLst/>
              </a:prstGeom>
              <a:solidFill>
                <a:srgbClr val="0099FF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  Show  Description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6" name="Check Box 2" hidden="1">
                <a:extLst>
                  <a:ext uri="{63B3BB69-23CF-44E3-9099-C40C66FF867C}">
                    <a14:compatExt spid="_x0000_s26626"/>
                  </a:ext>
                  <a:ext uri="{FF2B5EF4-FFF2-40B4-BE49-F238E27FC236}">
                    <a16:creationId xmlns:a16="http://schemas.microsoft.com/office/drawing/2014/main" id="{00000000-0008-0000-0B00-000002680000}"/>
                  </a:ext>
                </a:extLst>
              </xdr:cNvPr>
              <xdr:cNvSpPr/>
            </xdr:nvSpPr>
            <xdr:spPr bwMode="auto">
              <a:xfrm>
                <a:off x="11201405" y="19050"/>
                <a:ext cx="1504953" cy="304800"/>
              </a:xfrm>
              <a:prstGeom prst="rect">
                <a:avLst/>
              </a:prstGeom>
              <a:solidFill>
                <a:srgbClr val="0099FF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 Show Proccess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cl-share01\PublicNavimeat\Ng'ang'a\Pork%20Sheet%20Dev\Final%20%20Pork%20Butchery%20Data%20Capture(Template)%20%20dd-mm-yyyy%20revised(Recipe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cl-share01\PublicNavimeat\Ng'ang'a\Copy%20of%20Pork%20sheet%20-%201.2.6(2761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cl-share01\PublicNavimeat\Ng'ang'a\Pork%20Sheet%20Dev\Pork%20sheet%20-%201.2.7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nganga/Documents/Pork%20butchery%20Data%20Capture%2027.09.20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IDE pARTS"/>
      <sheetName val="NewRecipeList"/>
      <sheetName val="ItemListUpdated"/>
      <sheetName val="Pork Breaking"/>
      <sheetName val="Deboning Sow"/>
      <sheetName val="Pork Leg Deboning"/>
      <sheetName val="Middles"/>
      <sheetName val="shoulders"/>
      <sheetName val="Slicing"/>
      <sheetName val="New Deboning Leg"/>
      <sheetName val="New Deboning Middles"/>
      <sheetName val="New Deboning Shoulder"/>
      <sheetName val="WorkingConsolidate"/>
      <sheetName val="ConsolidateUpload"/>
    </sheetNames>
    <sheetDataSet>
      <sheetData sheetId="0"/>
      <sheetData sheetId="1"/>
      <sheetData sheetId="2"/>
      <sheetData sheetId="3">
        <row r="2">
          <cell r="D2">
            <v>44911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ferenceSheet"/>
      <sheetName val="Behead Pig|Porker|Sows"/>
      <sheetName val="Breaking Pig, (Leg, Mdl, Shld)"/>
      <sheetName val="Debone Pork Leg"/>
      <sheetName val="Debone Middle"/>
      <sheetName val="Debone Shoulder"/>
      <sheetName val="Allocating Pork Legs"/>
      <sheetName val="Allocating Shoulder"/>
      <sheetName val="Allocating Middles"/>
      <sheetName val="Slicing Capture"/>
      <sheetName val="Upload Sheet"/>
    </sheetNames>
    <sheetDataSet>
      <sheetData sheetId="0"/>
      <sheetData sheetId="1">
        <row r="2">
          <cell r="D2">
            <v>44851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ferenceSheet"/>
      <sheetName val="Behead Pig|Porker|Sows"/>
      <sheetName val="Breaking Pig, (Leg, Mdl, Shld)"/>
      <sheetName val="Debone Pork Leg"/>
      <sheetName val="Debone Middle"/>
      <sheetName val="Debone Shoulder"/>
      <sheetName val="Allocating Pork Legs"/>
      <sheetName val="Allocating Shoulder"/>
      <sheetName val="Allocating Middles"/>
      <sheetName val="Working"/>
      <sheetName val="Slicing Capture"/>
      <sheetName val="Upload Sheet"/>
    </sheetNames>
    <sheetDataSet>
      <sheetData sheetId="0"/>
      <sheetData sheetId="1">
        <row r="2">
          <cell r="D2">
            <v>44851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ork Breaking"/>
      <sheetName val="Pork Leg Deboning"/>
      <sheetName val="Middles"/>
      <sheetName val="shoulders"/>
      <sheetName val="slicing"/>
      <sheetName val="Deboning Leg"/>
      <sheetName val="Deboning Middles"/>
      <sheetName val="Deboning Shoulders"/>
      <sheetName val="physical stock"/>
      <sheetName val="Sheet1"/>
    </sheetNames>
    <sheetDataSet>
      <sheetData sheetId="0">
        <row r="2">
          <cell r="B2">
            <v>45196</v>
          </cell>
        </row>
        <row r="3">
          <cell r="D3">
            <v>554</v>
          </cell>
        </row>
        <row r="4">
          <cell r="D4">
            <v>0</v>
          </cell>
          <cell r="K4">
            <v>0</v>
          </cell>
          <cell r="L4">
            <v>0</v>
          </cell>
        </row>
        <row r="8">
          <cell r="A8">
            <v>1108</v>
          </cell>
          <cell r="B8">
            <v>32353.599999999999</v>
          </cell>
        </row>
        <row r="17">
          <cell r="B17">
            <v>1108</v>
          </cell>
          <cell r="C17">
            <v>9831.2000000000007</v>
          </cell>
        </row>
        <row r="20">
          <cell r="B20">
            <v>1108</v>
          </cell>
          <cell r="C20">
            <v>10647.5</v>
          </cell>
        </row>
        <row r="24">
          <cell r="B24">
            <v>1108</v>
          </cell>
          <cell r="C24">
            <v>11176.1</v>
          </cell>
        </row>
        <row r="27">
          <cell r="C27">
            <v>555.29999999999995</v>
          </cell>
        </row>
        <row r="30">
          <cell r="C30">
            <v>122</v>
          </cell>
        </row>
      </sheetData>
      <sheetData sheetId="1">
        <row r="8">
          <cell r="C8">
            <v>0</v>
          </cell>
          <cell r="D8">
            <v>0</v>
          </cell>
        </row>
        <row r="10">
          <cell r="C10">
            <v>10</v>
          </cell>
          <cell r="D10">
            <v>50</v>
          </cell>
        </row>
        <row r="12">
          <cell r="C12">
            <v>102</v>
          </cell>
          <cell r="D12">
            <v>715.7</v>
          </cell>
        </row>
        <row r="14">
          <cell r="C14">
            <v>0</v>
          </cell>
          <cell r="D14">
            <v>0</v>
          </cell>
        </row>
        <row r="15">
          <cell r="C15">
            <v>20</v>
          </cell>
          <cell r="D15">
            <v>103.9</v>
          </cell>
        </row>
        <row r="17">
          <cell r="C17">
            <v>0</v>
          </cell>
          <cell r="D17">
            <v>0</v>
          </cell>
        </row>
        <row r="19">
          <cell r="C19">
            <v>53</v>
          </cell>
          <cell r="D19">
            <v>157.9</v>
          </cell>
        </row>
        <row r="21">
          <cell r="C21">
            <v>903</v>
          </cell>
          <cell r="D21">
            <v>5253.8</v>
          </cell>
        </row>
        <row r="23">
          <cell r="C23">
            <v>0</v>
          </cell>
          <cell r="D23">
            <v>0</v>
          </cell>
        </row>
        <row r="25">
          <cell r="C25">
            <v>0</v>
          </cell>
          <cell r="D25">
            <v>0</v>
          </cell>
        </row>
        <row r="27">
          <cell r="C27">
            <v>0</v>
          </cell>
          <cell r="D27">
            <v>0</v>
          </cell>
        </row>
        <row r="29">
          <cell r="C29">
            <v>0</v>
          </cell>
          <cell r="D29">
            <v>0</v>
          </cell>
        </row>
        <row r="31">
          <cell r="C31">
            <v>0</v>
          </cell>
          <cell r="D31">
            <v>0</v>
          </cell>
        </row>
        <row r="33">
          <cell r="C33">
            <v>0</v>
          </cell>
          <cell r="D33">
            <v>0</v>
          </cell>
        </row>
        <row r="35">
          <cell r="C35">
            <v>0</v>
          </cell>
          <cell r="D35">
            <v>0</v>
          </cell>
        </row>
        <row r="37">
          <cell r="C37">
            <v>20</v>
          </cell>
          <cell r="D37">
            <v>86.5</v>
          </cell>
        </row>
        <row r="39">
          <cell r="C39">
            <v>0</v>
          </cell>
          <cell r="D39">
            <v>0</v>
          </cell>
        </row>
        <row r="41">
          <cell r="C41">
            <v>0</v>
          </cell>
          <cell r="D41">
            <v>0</v>
          </cell>
        </row>
        <row r="47">
          <cell r="D47">
            <v>995.7</v>
          </cell>
        </row>
        <row r="49">
          <cell r="D49">
            <v>1391.2</v>
          </cell>
        </row>
        <row r="51">
          <cell r="D51">
            <v>1082.5</v>
          </cell>
        </row>
      </sheetData>
      <sheetData sheetId="2">
        <row r="7">
          <cell r="C7">
            <v>0</v>
          </cell>
          <cell r="D7">
            <v>0</v>
          </cell>
        </row>
        <row r="10">
          <cell r="C10">
            <v>0</v>
          </cell>
          <cell r="D10">
            <v>0</v>
          </cell>
        </row>
        <row r="12">
          <cell r="C12">
            <v>332</v>
          </cell>
          <cell r="D12">
            <v>718</v>
          </cell>
        </row>
        <row r="13">
          <cell r="C13">
            <v>208</v>
          </cell>
          <cell r="D13">
            <v>549.5</v>
          </cell>
        </row>
        <row r="20">
          <cell r="C20">
            <v>0</v>
          </cell>
          <cell r="D20">
            <v>0</v>
          </cell>
        </row>
        <row r="22">
          <cell r="C22">
            <v>20</v>
          </cell>
          <cell r="D22">
            <v>44.6</v>
          </cell>
        </row>
        <row r="26">
          <cell r="C26">
            <v>2</v>
          </cell>
          <cell r="D26">
            <v>7.7</v>
          </cell>
        </row>
        <row r="28">
          <cell r="C28">
            <v>514</v>
          </cell>
          <cell r="D28">
            <v>1740</v>
          </cell>
        </row>
        <row r="35">
          <cell r="C35">
            <v>0</v>
          </cell>
          <cell r="D35">
            <v>0</v>
          </cell>
        </row>
        <row r="38">
          <cell r="C38">
            <v>32</v>
          </cell>
          <cell r="D38">
            <v>93.5</v>
          </cell>
        </row>
        <row r="45">
          <cell r="C45">
            <v>0</v>
          </cell>
          <cell r="D45">
            <v>0</v>
          </cell>
        </row>
        <row r="51">
          <cell r="C51">
            <v>0</v>
          </cell>
          <cell r="D51">
            <v>0</v>
          </cell>
        </row>
        <row r="59">
          <cell r="C59">
            <v>0</v>
          </cell>
          <cell r="D59">
            <v>0</v>
          </cell>
        </row>
        <row r="61">
          <cell r="C61">
            <v>131</v>
          </cell>
          <cell r="D61">
            <v>389.2</v>
          </cell>
        </row>
        <row r="63">
          <cell r="C63">
            <v>25</v>
          </cell>
          <cell r="D63">
            <v>54.2</v>
          </cell>
        </row>
        <row r="65">
          <cell r="C65">
            <v>0</v>
          </cell>
          <cell r="D65">
            <v>0</v>
          </cell>
        </row>
        <row r="67">
          <cell r="C67">
            <v>878</v>
          </cell>
          <cell r="D67">
            <v>1955.2</v>
          </cell>
        </row>
        <row r="70">
          <cell r="D70">
            <v>958.9</v>
          </cell>
        </row>
        <row r="72">
          <cell r="D72">
            <v>430.3</v>
          </cell>
        </row>
        <row r="74">
          <cell r="D74">
            <v>154.5</v>
          </cell>
        </row>
        <row r="76">
          <cell r="D76">
            <v>871.8</v>
          </cell>
        </row>
        <row r="78">
          <cell r="D78">
            <v>554.79999999999995</v>
          </cell>
        </row>
        <row r="80">
          <cell r="D80">
            <v>2137.3000000000002</v>
          </cell>
        </row>
      </sheetData>
      <sheetData sheetId="3">
        <row r="7">
          <cell r="C7">
            <v>0</v>
          </cell>
          <cell r="D7">
            <v>0</v>
          </cell>
        </row>
        <row r="9">
          <cell r="C9">
            <v>40</v>
          </cell>
          <cell r="D9">
            <v>103.4</v>
          </cell>
        </row>
        <row r="11">
          <cell r="C11">
            <v>0</v>
          </cell>
          <cell r="D11">
            <v>0</v>
          </cell>
        </row>
        <row r="12">
          <cell r="C12">
            <v>216</v>
          </cell>
          <cell r="D12">
            <v>339.7</v>
          </cell>
        </row>
        <row r="14">
          <cell r="C14">
            <v>0</v>
          </cell>
          <cell r="D14">
            <v>0</v>
          </cell>
        </row>
        <row r="15">
          <cell r="C15">
            <v>478</v>
          </cell>
          <cell r="D15">
            <v>2307.6</v>
          </cell>
        </row>
        <row r="17">
          <cell r="C17">
            <v>243</v>
          </cell>
          <cell r="D17">
            <v>1300.5999999999999</v>
          </cell>
        </row>
        <row r="19">
          <cell r="C19">
            <v>20</v>
          </cell>
          <cell r="D19">
            <v>93.2</v>
          </cell>
        </row>
        <row r="21">
          <cell r="C21">
            <v>0</v>
          </cell>
          <cell r="D21">
            <v>0</v>
          </cell>
        </row>
        <row r="23">
          <cell r="C23">
            <v>111</v>
          </cell>
          <cell r="D23">
            <v>333.1</v>
          </cell>
        </row>
        <row r="25">
          <cell r="C25">
            <v>0</v>
          </cell>
          <cell r="D25">
            <v>0</v>
          </cell>
        </row>
        <row r="30">
          <cell r="D30">
            <v>13.6</v>
          </cell>
        </row>
        <row r="32">
          <cell r="D32">
            <v>915.69999999999993</v>
          </cell>
        </row>
        <row r="34">
          <cell r="D34">
            <v>721.8</v>
          </cell>
        </row>
        <row r="36">
          <cell r="D36">
            <v>1212</v>
          </cell>
        </row>
        <row r="38">
          <cell r="D38">
            <v>14.7</v>
          </cell>
        </row>
        <row r="40">
          <cell r="D40">
            <v>2268.3999999999996</v>
          </cell>
        </row>
        <row r="42">
          <cell r="D42">
            <v>0</v>
          </cell>
        </row>
        <row r="44">
          <cell r="D44">
            <v>1257.3</v>
          </cell>
        </row>
        <row r="46">
          <cell r="D46">
            <v>86.7</v>
          </cell>
        </row>
        <row r="48">
          <cell r="D48">
            <v>221</v>
          </cell>
        </row>
      </sheetData>
      <sheetData sheetId="4">
        <row r="5">
          <cell r="D5">
            <v>197.2</v>
          </cell>
          <cell r="H5">
            <v>108.2</v>
          </cell>
          <cell r="L5">
            <v>554</v>
          </cell>
          <cell r="O5">
            <v>0</v>
          </cell>
        </row>
        <row r="6">
          <cell r="H6">
            <v>53.5</v>
          </cell>
          <cell r="L6">
            <v>36302</v>
          </cell>
        </row>
        <row r="7">
          <cell r="L7">
            <v>2500</v>
          </cell>
        </row>
        <row r="8">
          <cell r="L8">
            <v>451.9</v>
          </cell>
        </row>
        <row r="9">
          <cell r="H9">
            <v>35.299999999999997</v>
          </cell>
          <cell r="L9">
            <v>372</v>
          </cell>
        </row>
        <row r="11">
          <cell r="D11">
            <v>20.399999999999999</v>
          </cell>
          <cell r="H11">
            <v>9.5</v>
          </cell>
        </row>
        <row r="12">
          <cell r="H12">
            <v>4.7000000000000011</v>
          </cell>
        </row>
        <row r="13">
          <cell r="H13">
            <v>6.1000000000000005</v>
          </cell>
        </row>
        <row r="15">
          <cell r="L15">
            <v>16.2</v>
          </cell>
        </row>
        <row r="23">
          <cell r="D23">
            <v>430.3</v>
          </cell>
          <cell r="H23">
            <v>206.1</v>
          </cell>
        </row>
        <row r="24">
          <cell r="H24">
            <v>223.8</v>
          </cell>
        </row>
        <row r="44">
          <cell r="D44">
            <v>1257.3</v>
          </cell>
          <cell r="H44">
            <v>319.70000000000005</v>
          </cell>
        </row>
        <row r="45">
          <cell r="H45">
            <v>733.2</v>
          </cell>
        </row>
        <row r="46">
          <cell r="H46">
            <v>204.2</v>
          </cell>
        </row>
        <row r="48">
          <cell r="D48">
            <v>391.8</v>
          </cell>
          <cell r="H48">
            <v>219.89999999999998</v>
          </cell>
        </row>
        <row r="49">
          <cell r="H49">
            <v>59.5</v>
          </cell>
        </row>
        <row r="51">
          <cell r="H51">
            <v>112.19999999999999</v>
          </cell>
        </row>
        <row r="57">
          <cell r="D57">
            <v>2189.9</v>
          </cell>
          <cell r="H57">
            <v>2075.4</v>
          </cell>
        </row>
        <row r="58">
          <cell r="D58">
            <v>1614.1000000000001</v>
          </cell>
        </row>
        <row r="59">
          <cell r="D59">
            <v>12.3</v>
          </cell>
          <cell r="H59">
            <v>1740.9</v>
          </cell>
        </row>
        <row r="73">
          <cell r="D73">
            <v>122</v>
          </cell>
          <cell r="H73">
            <v>88.7</v>
          </cell>
        </row>
        <row r="74">
          <cell r="H74">
            <v>12.3</v>
          </cell>
        </row>
        <row r="75">
          <cell r="H75">
            <v>20.8</v>
          </cell>
        </row>
        <row r="91">
          <cell r="D91">
            <v>608.29999999999995</v>
          </cell>
          <cell r="H91">
            <v>327.7</v>
          </cell>
        </row>
        <row r="92">
          <cell r="H92">
            <v>18.600000000000001</v>
          </cell>
        </row>
        <row r="93">
          <cell r="H93">
            <v>134.5</v>
          </cell>
        </row>
        <row r="94">
          <cell r="H94">
            <v>63.2</v>
          </cell>
        </row>
        <row r="95">
          <cell r="H95">
            <v>64.3</v>
          </cell>
        </row>
      </sheetData>
      <sheetData sheetId="5">
        <row r="39">
          <cell r="C39">
            <v>2221.5</v>
          </cell>
        </row>
        <row r="40">
          <cell r="C40">
            <v>1704.1</v>
          </cell>
        </row>
        <row r="41">
          <cell r="C41">
            <v>0</v>
          </cell>
        </row>
        <row r="42">
          <cell r="C42">
            <v>1475.9</v>
          </cell>
        </row>
        <row r="43">
          <cell r="C43">
            <v>86.7</v>
          </cell>
        </row>
      </sheetData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NewRecipeTable" displayName="NewRecipeTable" ref="A1:T1148" totalsRowShown="0" headerRowDxfId="28" dataDxfId="27">
  <autoFilter ref="A1:T1148" xr:uid="{00000000-0009-0000-0100-000002000000}"/>
  <tableColumns count="20">
    <tableColumn id="1" xr3:uid="{00000000-0010-0000-0000-000001000000}" name="Recipe No." dataDxfId="26"/>
    <tableColumn id="2" xr3:uid="{00000000-0010-0000-0000-000002000000}" name="Calculation Week" dataDxfId="25"/>
    <tableColumn id="3" xr3:uid="{00000000-0010-0000-0000-000003000000}" name="Item No." dataDxfId="24"/>
    <tableColumn id="4" xr3:uid="{00000000-0010-0000-0000-000004000000}" name="Product Text" dataDxfId="23"/>
    <tableColumn id="5" xr3:uid="{00000000-0010-0000-0000-000005000000}" name="Cost Price" dataDxfId="22"/>
    <tableColumn id="6" xr3:uid="{00000000-0010-0000-0000-000006000000}" name="No. of Units" dataDxfId="21"/>
    <tableColumn id="7" xr3:uid="{00000000-0010-0000-0000-000007000000}" name="Percentage Yield" dataDxfId="20"/>
    <tableColumn id="8" xr3:uid="{00000000-0010-0000-0000-000008000000}" name="Percentage Main Product" dataDxfId="19"/>
    <tableColumn id="9" xr3:uid="{00000000-0010-0000-0000-000009000000}" name="Location" dataDxfId="18"/>
    <tableColumn id="10" xr3:uid="{00000000-0010-0000-0000-00000A000000}" name="Link Recipe No." dataDxfId="17"/>
    <tableColumn id="11" xr3:uid="{00000000-0010-0000-0000-00000B000000}" name="Auto. Accum. Weight" dataDxfId="16"/>
    <tableColumn id="12" xr3:uid="{00000000-0010-0000-0000-00000C000000}" name="Control Digit Type" dataDxfId="15"/>
    <tableColumn id="13" xr3:uid="{00000000-0010-0000-0000-00000D000000}" name="Total Product Value" dataDxfId="14"/>
    <tableColumn id="14" xr3:uid="{00000000-0010-0000-0000-00000E000000}" name="Unit of Measure Code" dataDxfId="13"/>
    <tableColumn id="15" xr3:uid="{00000000-0010-0000-0000-00000F000000}" name="Recipe Name" dataDxfId="12"/>
    <tableColumn id="16" xr3:uid="{00000000-0010-0000-0000-000010000000}" name="Level Code" dataDxfId="11"/>
    <tableColumn id="19" xr3:uid="{00000000-0010-0000-0000-000013000000}" name="ShortCode" dataDxfId="10">
      <calculatedColumnFormula>"2"&amp;RIGHT(NewRecipeTable[[#This Row],[Recipe No.]],3)&amp;IF(LEN(NewRecipeTable[[#This Row],[Item No.]])=LEN(NewRecipeTable[[#This Row],[Item No.]]),RIGHT(NewRecipeTable[[#This Row],[Item No.]],LEN(NewRecipeTable[[#This Row],[Item No.]])-1))</calculatedColumnFormula>
    </tableColumn>
    <tableColumn id="17" xr3:uid="{00000000-0010-0000-0000-000011000000}" name="Active Recipe" dataDxfId="9"/>
    <tableColumn id="18" xr3:uid="{00000000-0010-0000-0000-000012000000}" name="Item Category Type" dataDxfId="8">
      <calculatedColumnFormula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calculatedColumnFormula>
    </tableColumn>
    <tableColumn id="20" xr3:uid="{00000000-0010-0000-0000-000014000000}" name="Active By-Product" dataDxfId="7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T1148"/>
  <sheetViews>
    <sheetView topLeftCell="A848" workbookViewId="0">
      <selection activeCell="R996" sqref="R996:R1005"/>
    </sheetView>
  </sheetViews>
  <sheetFormatPr defaultRowHeight="15" x14ac:dyDescent="0.25"/>
  <cols>
    <col min="1" max="1" width="12.7109375" bestFit="1" customWidth="1"/>
    <col min="2" max="2" width="13.7109375" customWidth="1"/>
    <col min="3" max="3" width="10.85546875" bestFit="1" customWidth="1"/>
    <col min="4" max="4" width="29.140625" customWidth="1"/>
    <col min="5" max="5" width="11.85546875" hidden="1" customWidth="1"/>
    <col min="6" max="6" width="13.7109375" hidden="1" customWidth="1"/>
    <col min="7" max="7" width="12.42578125" style="2" customWidth="1"/>
    <col min="8" max="8" width="25.7109375" hidden="1" customWidth="1"/>
    <col min="9" max="9" width="10.5703125" hidden="1" customWidth="1"/>
    <col min="10" max="10" width="16.85546875" hidden="1" customWidth="1"/>
    <col min="11" max="11" width="22" hidden="1" customWidth="1"/>
    <col min="12" max="12" width="19.140625" hidden="1" customWidth="1"/>
    <col min="13" max="13" width="20.7109375" hidden="1" customWidth="1"/>
    <col min="14" max="14" width="10.28515625" customWidth="1"/>
    <col min="15" max="15" width="32.7109375" bestFit="1" customWidth="1"/>
    <col min="16" max="16" width="12.85546875" bestFit="1" customWidth="1"/>
    <col min="17" max="17" width="12.42578125" bestFit="1" customWidth="1"/>
    <col min="18" max="18" width="15.28515625" bestFit="1" customWidth="1"/>
    <col min="19" max="19" width="15.7109375" customWidth="1"/>
    <col min="20" max="20" width="19" bestFit="1" customWidth="1"/>
  </cols>
  <sheetData>
    <row r="1" spans="1:20" s="1019" customFormat="1" ht="45" x14ac:dyDescent="0.25">
      <c r="A1" s="1021" t="s">
        <v>57</v>
      </c>
      <c r="B1" s="1022" t="s">
        <v>1207</v>
      </c>
      <c r="C1" s="1022" t="s">
        <v>8</v>
      </c>
      <c r="D1" s="1022" t="s">
        <v>9</v>
      </c>
      <c r="E1" s="1022" t="s">
        <v>1208</v>
      </c>
      <c r="F1" s="1022" t="s">
        <v>1209</v>
      </c>
      <c r="G1" s="1024" t="s">
        <v>1210</v>
      </c>
      <c r="H1" s="1022" t="s">
        <v>1211</v>
      </c>
      <c r="I1" s="1022" t="s">
        <v>258</v>
      </c>
      <c r="J1" s="1022" t="s">
        <v>1212</v>
      </c>
      <c r="K1" s="1022" t="s">
        <v>1213</v>
      </c>
      <c r="L1" s="1022" t="s">
        <v>1214</v>
      </c>
      <c r="M1" s="1022" t="s">
        <v>1215</v>
      </c>
      <c r="N1" s="1022" t="s">
        <v>1216</v>
      </c>
      <c r="O1" s="1022" t="s">
        <v>1217</v>
      </c>
      <c r="P1" s="1022" t="s">
        <v>1218</v>
      </c>
      <c r="Q1" s="1022" t="s">
        <v>586</v>
      </c>
      <c r="R1" s="1022" t="s">
        <v>587</v>
      </c>
      <c r="S1" s="1022" t="s">
        <v>630</v>
      </c>
      <c r="T1" s="1023" t="s">
        <v>1219</v>
      </c>
    </row>
    <row r="2" spans="1:20" x14ac:dyDescent="0.25">
      <c r="A2" t="s">
        <v>85</v>
      </c>
      <c r="B2">
        <v>202005</v>
      </c>
      <c r="C2" t="s">
        <v>62</v>
      </c>
      <c r="D2" t="s">
        <v>63</v>
      </c>
      <c r="E2">
        <v>294.82855999999998</v>
      </c>
      <c r="F2">
        <v>0</v>
      </c>
      <c r="G2" s="2">
        <v>100</v>
      </c>
      <c r="H2">
        <v>0</v>
      </c>
      <c r="I2">
        <v>1570</v>
      </c>
      <c r="K2" t="s">
        <v>229</v>
      </c>
      <c r="L2">
        <v>1</v>
      </c>
      <c r="M2">
        <v>0</v>
      </c>
      <c r="N2" t="s">
        <v>259</v>
      </c>
      <c r="O2" t="s">
        <v>245</v>
      </c>
      <c r="P2">
        <v>12</v>
      </c>
      <c r="Q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2B011100</v>
      </c>
      <c r="R2" t="s">
        <v>229</v>
      </c>
      <c r="S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3" spans="1:20" x14ac:dyDescent="0.25">
      <c r="A3" t="s">
        <v>85</v>
      </c>
      <c r="B3">
        <v>202005</v>
      </c>
      <c r="C3" t="s">
        <v>86</v>
      </c>
      <c r="D3" t="s">
        <v>87</v>
      </c>
      <c r="E3">
        <v>469.13855999999998</v>
      </c>
      <c r="F3">
        <v>0</v>
      </c>
      <c r="G3" s="2">
        <v>50</v>
      </c>
      <c r="H3">
        <v>0</v>
      </c>
      <c r="I3">
        <v>1570</v>
      </c>
      <c r="K3" t="s">
        <v>229</v>
      </c>
      <c r="L3">
        <v>6</v>
      </c>
      <c r="M3">
        <v>0</v>
      </c>
      <c r="N3" t="s">
        <v>259</v>
      </c>
      <c r="O3" t="s">
        <v>245</v>
      </c>
      <c r="P3">
        <v>12</v>
      </c>
      <c r="Q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2B011127</v>
      </c>
      <c r="R3" t="s">
        <v>229</v>
      </c>
      <c r="S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4" spans="1:20" x14ac:dyDescent="0.25">
      <c r="A4" t="s">
        <v>85</v>
      </c>
      <c r="B4">
        <v>202005</v>
      </c>
      <c r="C4" t="s">
        <v>55</v>
      </c>
      <c r="D4" t="s">
        <v>61</v>
      </c>
      <c r="E4">
        <v>60</v>
      </c>
      <c r="F4">
        <v>0</v>
      </c>
      <c r="G4" s="2">
        <v>1.05</v>
      </c>
      <c r="H4">
        <v>0</v>
      </c>
      <c r="I4">
        <v>1570</v>
      </c>
      <c r="K4" t="s">
        <v>229</v>
      </c>
      <c r="L4">
        <v>7</v>
      </c>
      <c r="M4">
        <v>0</v>
      </c>
      <c r="N4" t="s">
        <v>259</v>
      </c>
      <c r="O4" t="s">
        <v>245</v>
      </c>
      <c r="P4">
        <v>12</v>
      </c>
      <c r="Q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2B011242</v>
      </c>
      <c r="R4" t="s">
        <v>229</v>
      </c>
      <c r="S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5" spans="1:20" x14ac:dyDescent="0.25">
      <c r="A5" t="s">
        <v>85</v>
      </c>
      <c r="B5">
        <v>202005</v>
      </c>
      <c r="C5" t="s">
        <v>260</v>
      </c>
      <c r="D5" t="s">
        <v>261</v>
      </c>
      <c r="E5">
        <v>50</v>
      </c>
      <c r="F5">
        <v>0</v>
      </c>
      <c r="G5" s="2">
        <v>2.57</v>
      </c>
      <c r="H5">
        <v>0</v>
      </c>
      <c r="I5">
        <v>1570</v>
      </c>
      <c r="K5" t="s">
        <v>229</v>
      </c>
      <c r="L5">
        <v>7</v>
      </c>
      <c r="M5">
        <v>0</v>
      </c>
      <c r="N5" t="s">
        <v>259</v>
      </c>
      <c r="O5" t="s">
        <v>245</v>
      </c>
      <c r="P5">
        <v>12</v>
      </c>
      <c r="Q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2B011334</v>
      </c>
      <c r="R5" t="s">
        <v>229</v>
      </c>
      <c r="S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6" spans="1:20" x14ac:dyDescent="0.25">
      <c r="A6" t="s">
        <v>85</v>
      </c>
      <c r="B6">
        <v>202005</v>
      </c>
      <c r="C6" t="s">
        <v>3</v>
      </c>
      <c r="D6" t="s">
        <v>58</v>
      </c>
      <c r="E6">
        <v>275</v>
      </c>
      <c r="F6">
        <v>0</v>
      </c>
      <c r="G6" s="2">
        <v>18.059999999999999</v>
      </c>
      <c r="H6">
        <v>0</v>
      </c>
      <c r="I6">
        <v>1570</v>
      </c>
      <c r="K6" t="s">
        <v>229</v>
      </c>
      <c r="L6">
        <v>7</v>
      </c>
      <c r="M6">
        <v>0</v>
      </c>
      <c r="N6" t="s">
        <v>259</v>
      </c>
      <c r="O6" t="s">
        <v>245</v>
      </c>
      <c r="P6">
        <v>12</v>
      </c>
      <c r="Q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2B011229</v>
      </c>
      <c r="R6" t="s">
        <v>229</v>
      </c>
      <c r="S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" spans="1:20" x14ac:dyDescent="0.25">
      <c r="A7" t="s">
        <v>85</v>
      </c>
      <c r="B7">
        <v>202005</v>
      </c>
      <c r="C7" t="s">
        <v>5</v>
      </c>
      <c r="D7" t="s">
        <v>59</v>
      </c>
      <c r="E7">
        <v>8.56</v>
      </c>
      <c r="F7">
        <v>0</v>
      </c>
      <c r="G7" s="2">
        <v>12.55</v>
      </c>
      <c r="H7">
        <v>0</v>
      </c>
      <c r="I7">
        <v>1570</v>
      </c>
      <c r="K7" t="s">
        <v>229</v>
      </c>
      <c r="L7">
        <v>7</v>
      </c>
      <c r="M7">
        <v>0</v>
      </c>
      <c r="N7" t="s">
        <v>259</v>
      </c>
      <c r="O7" t="s">
        <v>245</v>
      </c>
      <c r="P7">
        <v>12</v>
      </c>
      <c r="Q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2B011231</v>
      </c>
      <c r="R7" t="s">
        <v>229</v>
      </c>
      <c r="S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" spans="1:20" x14ac:dyDescent="0.25">
      <c r="A8" t="s">
        <v>85</v>
      </c>
      <c r="B8">
        <v>202005</v>
      </c>
      <c r="C8" t="s">
        <v>6</v>
      </c>
      <c r="D8" t="s">
        <v>60</v>
      </c>
      <c r="E8">
        <v>50</v>
      </c>
      <c r="F8">
        <v>0</v>
      </c>
      <c r="G8" s="2">
        <v>15.21</v>
      </c>
      <c r="H8">
        <v>0</v>
      </c>
      <c r="I8">
        <v>1570</v>
      </c>
      <c r="K8" t="s">
        <v>229</v>
      </c>
      <c r="L8">
        <v>7</v>
      </c>
      <c r="M8">
        <v>0</v>
      </c>
      <c r="N8" t="s">
        <v>259</v>
      </c>
      <c r="O8" t="s">
        <v>245</v>
      </c>
      <c r="P8">
        <v>12</v>
      </c>
      <c r="Q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2B011245</v>
      </c>
      <c r="R8" t="s">
        <v>229</v>
      </c>
      <c r="S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9" spans="1:20" x14ac:dyDescent="0.25">
      <c r="A9" t="s">
        <v>85</v>
      </c>
      <c r="B9">
        <v>202005</v>
      </c>
      <c r="C9" t="s">
        <v>56</v>
      </c>
      <c r="D9" t="s">
        <v>246</v>
      </c>
      <c r="E9">
        <v>0</v>
      </c>
      <c r="F9">
        <v>0</v>
      </c>
      <c r="G9" s="2">
        <v>0.56999999999999995</v>
      </c>
      <c r="H9">
        <v>0</v>
      </c>
      <c r="K9" t="s">
        <v>229</v>
      </c>
      <c r="L9">
        <v>8</v>
      </c>
      <c r="M9">
        <v>0</v>
      </c>
      <c r="O9" t="s">
        <v>245</v>
      </c>
      <c r="P9">
        <v>12</v>
      </c>
      <c r="Q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2B018999</v>
      </c>
      <c r="R9" t="s">
        <v>229</v>
      </c>
      <c r="S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" spans="1:20" x14ac:dyDescent="0.25">
      <c r="A10" t="s">
        <v>82</v>
      </c>
      <c r="B10">
        <v>202005</v>
      </c>
      <c r="C10" t="s">
        <v>62</v>
      </c>
      <c r="D10" t="s">
        <v>63</v>
      </c>
      <c r="E10">
        <v>294.82855999999998</v>
      </c>
      <c r="F10">
        <v>0</v>
      </c>
      <c r="G10" s="2">
        <v>100</v>
      </c>
      <c r="H10">
        <v>0</v>
      </c>
      <c r="I10">
        <v>1570</v>
      </c>
      <c r="K10" t="s">
        <v>229</v>
      </c>
      <c r="L10">
        <v>1</v>
      </c>
      <c r="M10">
        <v>0</v>
      </c>
      <c r="N10" t="s">
        <v>259</v>
      </c>
      <c r="O10" t="s">
        <v>544</v>
      </c>
      <c r="P10">
        <v>12</v>
      </c>
      <c r="Q1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2B021100</v>
      </c>
      <c r="R10" t="s">
        <v>644</v>
      </c>
      <c r="S1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11" spans="1:20" x14ac:dyDescent="0.25">
      <c r="A11" t="s">
        <v>82</v>
      </c>
      <c r="B11">
        <v>202005</v>
      </c>
      <c r="C11" t="s">
        <v>83</v>
      </c>
      <c r="D11" t="s">
        <v>247</v>
      </c>
      <c r="E11">
        <v>469.43695000000002</v>
      </c>
      <c r="F11">
        <v>0</v>
      </c>
      <c r="G11" s="2">
        <v>54.93</v>
      </c>
      <c r="H11">
        <v>0</v>
      </c>
      <c r="I11">
        <v>1570</v>
      </c>
      <c r="K11" t="s">
        <v>229</v>
      </c>
      <c r="L11">
        <v>6</v>
      </c>
      <c r="M11">
        <v>0</v>
      </c>
      <c r="N11" t="s">
        <v>259</v>
      </c>
      <c r="O11" t="s">
        <v>544</v>
      </c>
      <c r="P11">
        <v>12</v>
      </c>
      <c r="Q1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2B021126</v>
      </c>
      <c r="R11" t="s">
        <v>644</v>
      </c>
      <c r="S1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</row>
    <row r="12" spans="1:20" x14ac:dyDescent="0.25">
      <c r="A12" t="s">
        <v>82</v>
      </c>
      <c r="B12">
        <v>202005</v>
      </c>
      <c r="C12" t="s">
        <v>55</v>
      </c>
      <c r="D12" t="s">
        <v>61</v>
      </c>
      <c r="E12">
        <v>60</v>
      </c>
      <c r="F12">
        <v>0</v>
      </c>
      <c r="G12" s="2">
        <v>1.21</v>
      </c>
      <c r="H12">
        <v>0</v>
      </c>
      <c r="I12">
        <v>1570</v>
      </c>
      <c r="K12" t="s">
        <v>229</v>
      </c>
      <c r="L12">
        <v>7</v>
      </c>
      <c r="M12">
        <v>0</v>
      </c>
      <c r="N12" t="s">
        <v>259</v>
      </c>
      <c r="O12" t="s">
        <v>544</v>
      </c>
      <c r="P12">
        <v>12</v>
      </c>
      <c r="Q1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2B021242</v>
      </c>
      <c r="R12" t="s">
        <v>644</v>
      </c>
      <c r="S1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3" spans="1:20" x14ac:dyDescent="0.25">
      <c r="A13" t="s">
        <v>82</v>
      </c>
      <c r="B13">
        <v>202005</v>
      </c>
      <c r="C13" t="s">
        <v>3</v>
      </c>
      <c r="D13" t="s">
        <v>58</v>
      </c>
      <c r="E13">
        <v>275</v>
      </c>
      <c r="F13">
        <v>0</v>
      </c>
      <c r="G13" s="2">
        <v>8.89</v>
      </c>
      <c r="H13">
        <v>0</v>
      </c>
      <c r="I13">
        <v>1570</v>
      </c>
      <c r="K13" t="s">
        <v>229</v>
      </c>
      <c r="L13">
        <v>7</v>
      </c>
      <c r="M13">
        <v>0</v>
      </c>
      <c r="N13" t="s">
        <v>259</v>
      </c>
      <c r="O13" t="s">
        <v>544</v>
      </c>
      <c r="P13">
        <v>12</v>
      </c>
      <c r="Q1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2B021229</v>
      </c>
      <c r="R13" t="s">
        <v>644</v>
      </c>
      <c r="S1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4" spans="1:20" x14ac:dyDescent="0.25">
      <c r="A14" t="s">
        <v>82</v>
      </c>
      <c r="B14">
        <v>202005</v>
      </c>
      <c r="C14" t="s">
        <v>5</v>
      </c>
      <c r="D14" t="s">
        <v>59</v>
      </c>
      <c r="E14">
        <v>8.56</v>
      </c>
      <c r="F14">
        <v>0</v>
      </c>
      <c r="G14" s="2">
        <v>13.24</v>
      </c>
      <c r="H14">
        <v>0</v>
      </c>
      <c r="I14">
        <v>1570</v>
      </c>
      <c r="K14" t="s">
        <v>229</v>
      </c>
      <c r="L14">
        <v>7</v>
      </c>
      <c r="M14">
        <v>0</v>
      </c>
      <c r="N14" t="s">
        <v>259</v>
      </c>
      <c r="O14" t="s">
        <v>544</v>
      </c>
      <c r="P14">
        <v>12</v>
      </c>
      <c r="Q1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2B021231</v>
      </c>
      <c r="R14" t="s">
        <v>644</v>
      </c>
      <c r="S1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5" spans="1:20" x14ac:dyDescent="0.25">
      <c r="A15" t="s">
        <v>82</v>
      </c>
      <c r="B15">
        <v>202005</v>
      </c>
      <c r="C15" t="s">
        <v>6</v>
      </c>
      <c r="D15" t="s">
        <v>60</v>
      </c>
      <c r="E15">
        <v>50</v>
      </c>
      <c r="F15">
        <v>0</v>
      </c>
      <c r="G15" s="2">
        <v>18.27</v>
      </c>
      <c r="H15">
        <v>0</v>
      </c>
      <c r="I15">
        <v>1570</v>
      </c>
      <c r="K15" t="s">
        <v>229</v>
      </c>
      <c r="L15">
        <v>7</v>
      </c>
      <c r="M15">
        <v>0</v>
      </c>
      <c r="N15" t="s">
        <v>259</v>
      </c>
      <c r="O15" t="s">
        <v>544</v>
      </c>
      <c r="P15">
        <v>12</v>
      </c>
      <c r="Q1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2B021245</v>
      </c>
      <c r="R15" t="s">
        <v>644</v>
      </c>
      <c r="S1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6" spans="1:20" x14ac:dyDescent="0.25">
      <c r="A16" t="s">
        <v>82</v>
      </c>
      <c r="B16">
        <v>202005</v>
      </c>
      <c r="C16" t="s">
        <v>260</v>
      </c>
      <c r="D16" t="s">
        <v>261</v>
      </c>
      <c r="E16">
        <v>50</v>
      </c>
      <c r="F16">
        <v>0</v>
      </c>
      <c r="G16" s="2">
        <v>3.05</v>
      </c>
      <c r="H16">
        <v>0</v>
      </c>
      <c r="I16">
        <v>1570</v>
      </c>
      <c r="K16" t="s">
        <v>229</v>
      </c>
      <c r="L16">
        <v>7</v>
      </c>
      <c r="M16">
        <v>0</v>
      </c>
      <c r="N16" t="s">
        <v>259</v>
      </c>
      <c r="O16" t="s">
        <v>544</v>
      </c>
      <c r="P16">
        <v>12</v>
      </c>
      <c r="Q1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2B021334</v>
      </c>
      <c r="R16" t="s">
        <v>644</v>
      </c>
      <c r="S1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7" spans="1:19" x14ac:dyDescent="0.25">
      <c r="A17" t="s">
        <v>82</v>
      </c>
      <c r="B17">
        <v>202005</v>
      </c>
      <c r="C17" t="s">
        <v>56</v>
      </c>
      <c r="D17" t="s">
        <v>246</v>
      </c>
      <c r="E17">
        <v>0</v>
      </c>
      <c r="F17">
        <v>0</v>
      </c>
      <c r="G17" s="2">
        <v>0.41</v>
      </c>
      <c r="H17">
        <v>0</v>
      </c>
      <c r="K17" t="s">
        <v>229</v>
      </c>
      <c r="L17">
        <v>8</v>
      </c>
      <c r="M17">
        <v>0</v>
      </c>
      <c r="O17" t="s">
        <v>544</v>
      </c>
      <c r="P17">
        <v>12</v>
      </c>
      <c r="Q1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2B028999</v>
      </c>
      <c r="R17" t="s">
        <v>644</v>
      </c>
      <c r="S1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18" spans="1:19" x14ac:dyDescent="0.25">
      <c r="A18" t="s">
        <v>64</v>
      </c>
      <c r="B18">
        <v>202005</v>
      </c>
      <c r="C18" t="s">
        <v>62</v>
      </c>
      <c r="D18" t="s">
        <v>63</v>
      </c>
      <c r="E18">
        <v>294.82855999999998</v>
      </c>
      <c r="F18">
        <v>0</v>
      </c>
      <c r="G18" s="2">
        <v>100</v>
      </c>
      <c r="H18">
        <v>0</v>
      </c>
      <c r="I18">
        <v>1570</v>
      </c>
      <c r="K18" t="s">
        <v>229</v>
      </c>
      <c r="L18">
        <v>1</v>
      </c>
      <c r="M18">
        <v>0</v>
      </c>
      <c r="N18" t="s">
        <v>259</v>
      </c>
      <c r="O18" t="s">
        <v>248</v>
      </c>
      <c r="P18">
        <v>12</v>
      </c>
      <c r="Q1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2B031100</v>
      </c>
      <c r="R18" t="s">
        <v>644</v>
      </c>
      <c r="S1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19" spans="1:19" x14ac:dyDescent="0.25">
      <c r="A19" t="s">
        <v>64</v>
      </c>
      <c r="B19">
        <v>202005</v>
      </c>
      <c r="C19" t="s">
        <v>65</v>
      </c>
      <c r="D19" t="s">
        <v>225</v>
      </c>
      <c r="E19">
        <v>426.89765</v>
      </c>
      <c r="F19">
        <v>0</v>
      </c>
      <c r="G19" s="2">
        <v>58.02</v>
      </c>
      <c r="H19">
        <v>0</v>
      </c>
      <c r="I19">
        <v>1570</v>
      </c>
      <c r="K19" t="s">
        <v>229</v>
      </c>
      <c r="L19">
        <v>6</v>
      </c>
      <c r="M19">
        <v>0</v>
      </c>
      <c r="N19" t="s">
        <v>259</v>
      </c>
      <c r="O19" t="s">
        <v>248</v>
      </c>
      <c r="P19">
        <v>12</v>
      </c>
      <c r="Q1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2B031119</v>
      </c>
      <c r="R19" t="s">
        <v>644</v>
      </c>
      <c r="S1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</row>
    <row r="20" spans="1:19" x14ac:dyDescent="0.25">
      <c r="A20" t="s">
        <v>64</v>
      </c>
      <c r="B20">
        <v>202005</v>
      </c>
      <c r="C20" t="s">
        <v>55</v>
      </c>
      <c r="D20" t="s">
        <v>61</v>
      </c>
      <c r="E20">
        <v>60</v>
      </c>
      <c r="F20">
        <v>0</v>
      </c>
      <c r="G20" s="2">
        <v>1.0900000000000001</v>
      </c>
      <c r="H20">
        <v>0</v>
      </c>
      <c r="I20">
        <v>1570</v>
      </c>
      <c r="K20" t="s">
        <v>229</v>
      </c>
      <c r="L20">
        <v>7</v>
      </c>
      <c r="M20">
        <v>0</v>
      </c>
      <c r="N20" t="s">
        <v>259</v>
      </c>
      <c r="O20" t="s">
        <v>248</v>
      </c>
      <c r="P20">
        <v>12</v>
      </c>
      <c r="Q2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2B031242</v>
      </c>
      <c r="R20" t="s">
        <v>644</v>
      </c>
      <c r="S2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21" spans="1:19" x14ac:dyDescent="0.25">
      <c r="A21" t="s">
        <v>64</v>
      </c>
      <c r="B21">
        <v>202005</v>
      </c>
      <c r="C21" t="s">
        <v>3</v>
      </c>
      <c r="D21" t="s">
        <v>58</v>
      </c>
      <c r="E21">
        <v>275</v>
      </c>
      <c r="F21">
        <v>0</v>
      </c>
      <c r="G21" s="2">
        <v>13.72</v>
      </c>
      <c r="H21">
        <v>0</v>
      </c>
      <c r="I21">
        <v>1570</v>
      </c>
      <c r="K21" t="s">
        <v>229</v>
      </c>
      <c r="L21">
        <v>7</v>
      </c>
      <c r="M21">
        <v>0</v>
      </c>
      <c r="N21" t="s">
        <v>259</v>
      </c>
      <c r="O21" t="s">
        <v>248</v>
      </c>
      <c r="P21">
        <v>12</v>
      </c>
      <c r="Q2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2B031229</v>
      </c>
      <c r="R21" t="s">
        <v>644</v>
      </c>
      <c r="S2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22" spans="1:19" x14ac:dyDescent="0.25">
      <c r="A22" t="s">
        <v>64</v>
      </c>
      <c r="B22">
        <v>202005</v>
      </c>
      <c r="C22" t="s">
        <v>5</v>
      </c>
      <c r="D22" t="s">
        <v>59</v>
      </c>
      <c r="E22">
        <v>8.56</v>
      </c>
      <c r="F22">
        <v>0</v>
      </c>
      <c r="G22" s="2">
        <v>11.49</v>
      </c>
      <c r="H22">
        <v>0</v>
      </c>
      <c r="I22">
        <v>1570</v>
      </c>
      <c r="K22" t="s">
        <v>229</v>
      </c>
      <c r="L22">
        <v>7</v>
      </c>
      <c r="M22">
        <v>0</v>
      </c>
      <c r="N22" t="s">
        <v>259</v>
      </c>
      <c r="O22" t="s">
        <v>248</v>
      </c>
      <c r="P22">
        <v>12</v>
      </c>
      <c r="Q2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2B031231</v>
      </c>
      <c r="R22" t="s">
        <v>644</v>
      </c>
      <c r="S2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23" spans="1:19" x14ac:dyDescent="0.25">
      <c r="A23" t="s">
        <v>64</v>
      </c>
      <c r="B23">
        <v>202005</v>
      </c>
      <c r="C23" t="s">
        <v>6</v>
      </c>
      <c r="D23" t="s">
        <v>60</v>
      </c>
      <c r="E23">
        <v>50</v>
      </c>
      <c r="F23">
        <v>0</v>
      </c>
      <c r="G23" s="2">
        <v>12.28</v>
      </c>
      <c r="H23">
        <v>0</v>
      </c>
      <c r="I23">
        <v>1570</v>
      </c>
      <c r="K23" t="s">
        <v>229</v>
      </c>
      <c r="L23">
        <v>7</v>
      </c>
      <c r="M23">
        <v>0</v>
      </c>
      <c r="N23" t="s">
        <v>259</v>
      </c>
      <c r="O23" t="s">
        <v>248</v>
      </c>
      <c r="P23">
        <v>12</v>
      </c>
      <c r="Q2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2B031245</v>
      </c>
      <c r="R23" t="s">
        <v>644</v>
      </c>
      <c r="S2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24" spans="1:19" x14ac:dyDescent="0.25">
      <c r="A24" t="s">
        <v>64</v>
      </c>
      <c r="B24">
        <v>202005</v>
      </c>
      <c r="C24" t="s">
        <v>260</v>
      </c>
      <c r="D24" t="s">
        <v>261</v>
      </c>
      <c r="E24">
        <v>50</v>
      </c>
      <c r="F24">
        <v>0</v>
      </c>
      <c r="G24" s="2">
        <v>3.27</v>
      </c>
      <c r="H24">
        <v>0</v>
      </c>
      <c r="I24">
        <v>1570</v>
      </c>
      <c r="K24" t="s">
        <v>229</v>
      </c>
      <c r="L24">
        <v>7</v>
      </c>
      <c r="M24">
        <v>0</v>
      </c>
      <c r="N24" t="s">
        <v>259</v>
      </c>
      <c r="O24" t="s">
        <v>248</v>
      </c>
      <c r="P24">
        <v>12</v>
      </c>
      <c r="Q2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2B031334</v>
      </c>
      <c r="R24" t="s">
        <v>644</v>
      </c>
      <c r="S2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25" spans="1:19" x14ac:dyDescent="0.25">
      <c r="A25" t="s">
        <v>64</v>
      </c>
      <c r="B25">
        <v>202005</v>
      </c>
      <c r="C25" t="s">
        <v>56</v>
      </c>
      <c r="D25" t="s">
        <v>246</v>
      </c>
      <c r="E25">
        <v>0</v>
      </c>
      <c r="F25">
        <v>0</v>
      </c>
      <c r="G25" s="2">
        <v>0.13</v>
      </c>
      <c r="H25">
        <v>0</v>
      </c>
      <c r="K25" t="s">
        <v>229</v>
      </c>
      <c r="L25">
        <v>8</v>
      </c>
      <c r="M25">
        <v>0</v>
      </c>
      <c r="O25" t="s">
        <v>248</v>
      </c>
      <c r="P25">
        <v>12</v>
      </c>
      <c r="Q2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2B038999</v>
      </c>
      <c r="R25" t="s">
        <v>644</v>
      </c>
      <c r="S2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26" spans="1:19" x14ac:dyDescent="0.25">
      <c r="A26" t="s">
        <v>73</v>
      </c>
      <c r="B26">
        <v>202005</v>
      </c>
      <c r="C26" t="s">
        <v>62</v>
      </c>
      <c r="D26" t="s">
        <v>63</v>
      </c>
      <c r="E26">
        <v>294.82855999999998</v>
      </c>
      <c r="F26">
        <v>0</v>
      </c>
      <c r="G26" s="2">
        <v>100</v>
      </c>
      <c r="H26">
        <v>0</v>
      </c>
      <c r="I26">
        <v>1570</v>
      </c>
      <c r="K26" t="s">
        <v>229</v>
      </c>
      <c r="L26">
        <v>1</v>
      </c>
      <c r="M26">
        <v>0</v>
      </c>
      <c r="N26" t="s">
        <v>259</v>
      </c>
      <c r="O26" t="s">
        <v>249</v>
      </c>
      <c r="P26">
        <v>12</v>
      </c>
      <c r="Q2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2B041100</v>
      </c>
      <c r="R26" t="s">
        <v>644</v>
      </c>
      <c r="S2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27" spans="1:19" x14ac:dyDescent="0.25">
      <c r="A27" t="s">
        <v>73</v>
      </c>
      <c r="B27">
        <v>202005</v>
      </c>
      <c r="C27" t="s">
        <v>74</v>
      </c>
      <c r="D27" t="s">
        <v>75</v>
      </c>
      <c r="E27">
        <v>347.15143</v>
      </c>
      <c r="F27">
        <v>0</v>
      </c>
      <c r="G27" s="2">
        <v>70.040000000000006</v>
      </c>
      <c r="H27">
        <v>0</v>
      </c>
      <c r="I27">
        <v>1570</v>
      </c>
      <c r="K27" t="s">
        <v>229</v>
      </c>
      <c r="L27">
        <v>6</v>
      </c>
      <c r="M27">
        <v>0</v>
      </c>
      <c r="N27" t="s">
        <v>259</v>
      </c>
      <c r="O27" t="s">
        <v>249</v>
      </c>
      <c r="P27">
        <v>12</v>
      </c>
      <c r="Q2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2B041123</v>
      </c>
      <c r="R27" t="s">
        <v>644</v>
      </c>
      <c r="S2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</row>
    <row r="28" spans="1:19" x14ac:dyDescent="0.25">
      <c r="A28" t="s">
        <v>73</v>
      </c>
      <c r="B28">
        <v>202005</v>
      </c>
      <c r="C28" t="s">
        <v>55</v>
      </c>
      <c r="D28" t="s">
        <v>61</v>
      </c>
      <c r="E28">
        <v>60</v>
      </c>
      <c r="F28">
        <v>0</v>
      </c>
      <c r="G28" s="2">
        <v>1.25</v>
      </c>
      <c r="H28">
        <v>0</v>
      </c>
      <c r="I28">
        <v>1570</v>
      </c>
      <c r="K28" t="s">
        <v>229</v>
      </c>
      <c r="L28">
        <v>7</v>
      </c>
      <c r="M28">
        <v>0</v>
      </c>
      <c r="N28" t="s">
        <v>259</v>
      </c>
      <c r="O28" t="s">
        <v>249</v>
      </c>
      <c r="P28">
        <v>12</v>
      </c>
      <c r="Q2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2B041242</v>
      </c>
      <c r="R28" t="s">
        <v>644</v>
      </c>
      <c r="S2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29" spans="1:19" x14ac:dyDescent="0.25">
      <c r="A29" t="s">
        <v>73</v>
      </c>
      <c r="B29">
        <v>202005</v>
      </c>
      <c r="C29" t="s">
        <v>3</v>
      </c>
      <c r="D29" t="s">
        <v>58</v>
      </c>
      <c r="E29">
        <v>275</v>
      </c>
      <c r="F29">
        <v>0</v>
      </c>
      <c r="G29" s="2">
        <v>16.670000000000002</v>
      </c>
      <c r="H29">
        <v>0</v>
      </c>
      <c r="I29">
        <v>1570</v>
      </c>
      <c r="K29" t="s">
        <v>229</v>
      </c>
      <c r="L29">
        <v>7</v>
      </c>
      <c r="M29">
        <v>0</v>
      </c>
      <c r="N29" t="s">
        <v>259</v>
      </c>
      <c r="O29" t="s">
        <v>249</v>
      </c>
      <c r="P29">
        <v>12</v>
      </c>
      <c r="Q2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2B041229</v>
      </c>
      <c r="R29" t="s">
        <v>644</v>
      </c>
      <c r="S2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0" spans="1:19" x14ac:dyDescent="0.25">
      <c r="A30" t="s">
        <v>73</v>
      </c>
      <c r="B30">
        <v>202005</v>
      </c>
      <c r="C30" t="s">
        <v>5</v>
      </c>
      <c r="D30" t="s">
        <v>59</v>
      </c>
      <c r="E30">
        <v>8.56</v>
      </c>
      <c r="F30">
        <v>0</v>
      </c>
      <c r="G30" s="2">
        <v>2</v>
      </c>
      <c r="H30">
        <v>0</v>
      </c>
      <c r="I30">
        <v>1570</v>
      </c>
      <c r="K30" t="s">
        <v>229</v>
      </c>
      <c r="L30">
        <v>7</v>
      </c>
      <c r="M30">
        <v>0</v>
      </c>
      <c r="N30" t="s">
        <v>259</v>
      </c>
      <c r="O30" t="s">
        <v>249</v>
      </c>
      <c r="P30">
        <v>12</v>
      </c>
      <c r="Q3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2B041231</v>
      </c>
      <c r="R30" t="s">
        <v>644</v>
      </c>
      <c r="S3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1" spans="1:19" x14ac:dyDescent="0.25">
      <c r="A31" t="s">
        <v>73</v>
      </c>
      <c r="B31">
        <v>202005</v>
      </c>
      <c r="C31" t="s">
        <v>6</v>
      </c>
      <c r="D31" t="s">
        <v>60</v>
      </c>
      <c r="E31">
        <v>50</v>
      </c>
      <c r="F31">
        <v>0</v>
      </c>
      <c r="G31" s="2">
        <v>6.32</v>
      </c>
      <c r="H31">
        <v>0</v>
      </c>
      <c r="I31">
        <v>1570</v>
      </c>
      <c r="K31" t="s">
        <v>229</v>
      </c>
      <c r="L31">
        <v>7</v>
      </c>
      <c r="M31">
        <v>0</v>
      </c>
      <c r="N31" t="s">
        <v>259</v>
      </c>
      <c r="O31" t="s">
        <v>249</v>
      </c>
      <c r="P31">
        <v>12</v>
      </c>
      <c r="Q3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2B041245</v>
      </c>
      <c r="R31" t="s">
        <v>644</v>
      </c>
      <c r="S3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2" spans="1:19" x14ac:dyDescent="0.25">
      <c r="A32" t="s">
        <v>73</v>
      </c>
      <c r="B32">
        <v>202005</v>
      </c>
      <c r="C32" t="s">
        <v>260</v>
      </c>
      <c r="D32" t="s">
        <v>261</v>
      </c>
      <c r="E32">
        <v>50</v>
      </c>
      <c r="F32">
        <v>0</v>
      </c>
      <c r="G32" s="2">
        <v>3.52</v>
      </c>
      <c r="H32">
        <v>0</v>
      </c>
      <c r="I32">
        <v>1570</v>
      </c>
      <c r="K32" t="s">
        <v>229</v>
      </c>
      <c r="L32">
        <v>7</v>
      </c>
      <c r="M32">
        <v>0</v>
      </c>
      <c r="N32" t="s">
        <v>259</v>
      </c>
      <c r="O32" t="s">
        <v>249</v>
      </c>
      <c r="P32">
        <v>12</v>
      </c>
      <c r="Q3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2B041334</v>
      </c>
      <c r="R32" t="s">
        <v>644</v>
      </c>
      <c r="S3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3" spans="1:19" x14ac:dyDescent="0.25">
      <c r="A33" t="s">
        <v>73</v>
      </c>
      <c r="B33">
        <v>202005</v>
      </c>
      <c r="C33" t="s">
        <v>56</v>
      </c>
      <c r="D33" t="s">
        <v>246</v>
      </c>
      <c r="E33">
        <v>0</v>
      </c>
      <c r="F33">
        <v>0</v>
      </c>
      <c r="G33" s="2">
        <v>0.2</v>
      </c>
      <c r="H33">
        <v>0</v>
      </c>
      <c r="K33" t="s">
        <v>229</v>
      </c>
      <c r="L33">
        <v>8</v>
      </c>
      <c r="M33">
        <v>0</v>
      </c>
      <c r="O33" t="s">
        <v>249</v>
      </c>
      <c r="P33">
        <v>12</v>
      </c>
      <c r="Q3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2B048999</v>
      </c>
      <c r="R33" t="s">
        <v>644</v>
      </c>
      <c r="S3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34" spans="1:19" x14ac:dyDescent="0.25">
      <c r="A34" t="s">
        <v>71</v>
      </c>
      <c r="B34">
        <v>202005</v>
      </c>
      <c r="C34" t="s">
        <v>62</v>
      </c>
      <c r="D34" t="s">
        <v>63</v>
      </c>
      <c r="E34">
        <v>294.82855999999998</v>
      </c>
      <c r="F34">
        <v>0</v>
      </c>
      <c r="G34" s="2">
        <v>100</v>
      </c>
      <c r="H34">
        <v>0</v>
      </c>
      <c r="I34">
        <v>1570</v>
      </c>
      <c r="K34" t="s">
        <v>229</v>
      </c>
      <c r="L34">
        <v>1</v>
      </c>
      <c r="M34">
        <v>0</v>
      </c>
      <c r="N34" t="s">
        <v>259</v>
      </c>
      <c r="O34" t="s">
        <v>250</v>
      </c>
      <c r="P34">
        <v>12</v>
      </c>
      <c r="Q3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2B051100</v>
      </c>
      <c r="R34" t="s">
        <v>644</v>
      </c>
      <c r="S3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35" spans="1:19" x14ac:dyDescent="0.25">
      <c r="A35" t="s">
        <v>71</v>
      </c>
      <c r="B35">
        <v>202005</v>
      </c>
      <c r="C35" t="s">
        <v>72</v>
      </c>
      <c r="D35" t="s">
        <v>251</v>
      </c>
      <c r="E35">
        <v>331.29658000000001</v>
      </c>
      <c r="F35">
        <v>0</v>
      </c>
      <c r="G35" s="2">
        <v>79.16</v>
      </c>
      <c r="H35">
        <v>0</v>
      </c>
      <c r="I35">
        <v>1570</v>
      </c>
      <c r="K35" t="s">
        <v>229</v>
      </c>
      <c r="L35">
        <v>6</v>
      </c>
      <c r="M35">
        <v>0</v>
      </c>
      <c r="N35" t="s">
        <v>259</v>
      </c>
      <c r="O35" t="s">
        <v>250</v>
      </c>
      <c r="P35">
        <v>12</v>
      </c>
      <c r="Q3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2B051122</v>
      </c>
      <c r="R35" t="s">
        <v>644</v>
      </c>
      <c r="S3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</row>
    <row r="36" spans="1:19" x14ac:dyDescent="0.25">
      <c r="A36" t="s">
        <v>71</v>
      </c>
      <c r="B36">
        <v>202005</v>
      </c>
      <c r="C36" t="s">
        <v>55</v>
      </c>
      <c r="D36" t="s">
        <v>61</v>
      </c>
      <c r="E36">
        <v>60</v>
      </c>
      <c r="F36">
        <v>0</v>
      </c>
      <c r="G36" s="2">
        <v>1</v>
      </c>
      <c r="H36">
        <v>0</v>
      </c>
      <c r="I36">
        <v>1570</v>
      </c>
      <c r="K36" t="s">
        <v>229</v>
      </c>
      <c r="L36">
        <v>7</v>
      </c>
      <c r="M36">
        <v>0</v>
      </c>
      <c r="N36" t="s">
        <v>259</v>
      </c>
      <c r="O36" t="s">
        <v>250</v>
      </c>
      <c r="P36">
        <v>12</v>
      </c>
      <c r="Q3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2B051242</v>
      </c>
      <c r="R36" t="s">
        <v>644</v>
      </c>
      <c r="S3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7" spans="1:19" x14ac:dyDescent="0.25">
      <c r="A37" t="s">
        <v>71</v>
      </c>
      <c r="B37">
        <v>202005</v>
      </c>
      <c r="C37" t="s">
        <v>3</v>
      </c>
      <c r="D37" t="s">
        <v>58</v>
      </c>
      <c r="E37">
        <v>275</v>
      </c>
      <c r="F37">
        <v>0</v>
      </c>
      <c r="G37" s="2">
        <v>10.11</v>
      </c>
      <c r="H37">
        <v>0</v>
      </c>
      <c r="I37">
        <v>1570</v>
      </c>
      <c r="K37" t="s">
        <v>229</v>
      </c>
      <c r="L37">
        <v>7</v>
      </c>
      <c r="M37">
        <v>0</v>
      </c>
      <c r="N37" t="s">
        <v>259</v>
      </c>
      <c r="O37" t="s">
        <v>250</v>
      </c>
      <c r="P37">
        <v>12</v>
      </c>
      <c r="Q3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2B051229</v>
      </c>
      <c r="R37" t="s">
        <v>644</v>
      </c>
      <c r="S3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8" spans="1:19" x14ac:dyDescent="0.25">
      <c r="A38" t="s">
        <v>71</v>
      </c>
      <c r="B38">
        <v>202005</v>
      </c>
      <c r="C38" t="s">
        <v>5</v>
      </c>
      <c r="D38" t="s">
        <v>59</v>
      </c>
      <c r="E38">
        <v>8.56</v>
      </c>
      <c r="F38">
        <v>0</v>
      </c>
      <c r="G38" s="2">
        <v>1.48</v>
      </c>
      <c r="H38">
        <v>0</v>
      </c>
      <c r="I38">
        <v>1570</v>
      </c>
      <c r="K38" t="s">
        <v>229</v>
      </c>
      <c r="L38">
        <v>7</v>
      </c>
      <c r="M38">
        <v>0</v>
      </c>
      <c r="N38" t="s">
        <v>259</v>
      </c>
      <c r="O38" t="s">
        <v>250</v>
      </c>
      <c r="P38">
        <v>12</v>
      </c>
      <c r="Q3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2B051231</v>
      </c>
      <c r="R38" t="s">
        <v>644</v>
      </c>
      <c r="S3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9" spans="1:19" x14ac:dyDescent="0.25">
      <c r="A39" t="s">
        <v>71</v>
      </c>
      <c r="B39">
        <v>202005</v>
      </c>
      <c r="C39" t="s">
        <v>6</v>
      </c>
      <c r="D39" t="s">
        <v>60</v>
      </c>
      <c r="E39">
        <v>50</v>
      </c>
      <c r="F39">
        <v>0</v>
      </c>
      <c r="G39" s="2">
        <v>5.59</v>
      </c>
      <c r="H39">
        <v>0</v>
      </c>
      <c r="I39">
        <v>1570</v>
      </c>
      <c r="K39" t="s">
        <v>229</v>
      </c>
      <c r="L39">
        <v>7</v>
      </c>
      <c r="M39">
        <v>0</v>
      </c>
      <c r="N39" t="s">
        <v>259</v>
      </c>
      <c r="O39" t="s">
        <v>250</v>
      </c>
      <c r="P39">
        <v>12</v>
      </c>
      <c r="Q3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2B051245</v>
      </c>
      <c r="R39" t="s">
        <v>644</v>
      </c>
      <c r="S3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0" spans="1:19" x14ac:dyDescent="0.25">
      <c r="A40" t="s">
        <v>71</v>
      </c>
      <c r="B40">
        <v>202005</v>
      </c>
      <c r="C40" t="s">
        <v>260</v>
      </c>
      <c r="D40" t="s">
        <v>261</v>
      </c>
      <c r="E40">
        <v>50</v>
      </c>
      <c r="F40">
        <v>0</v>
      </c>
      <c r="G40" s="2">
        <v>2.5</v>
      </c>
      <c r="H40">
        <v>0</v>
      </c>
      <c r="I40">
        <v>1570</v>
      </c>
      <c r="K40" t="s">
        <v>229</v>
      </c>
      <c r="L40">
        <v>7</v>
      </c>
      <c r="M40">
        <v>0</v>
      </c>
      <c r="N40" t="s">
        <v>259</v>
      </c>
      <c r="O40" t="s">
        <v>250</v>
      </c>
      <c r="P40">
        <v>12</v>
      </c>
      <c r="Q4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2B051334</v>
      </c>
      <c r="R40" t="s">
        <v>644</v>
      </c>
      <c r="S4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1" spans="1:19" x14ac:dyDescent="0.25">
      <c r="A41" t="s">
        <v>71</v>
      </c>
      <c r="B41">
        <v>202005</v>
      </c>
      <c r="C41" t="s">
        <v>56</v>
      </c>
      <c r="D41" t="s">
        <v>246</v>
      </c>
      <c r="E41">
        <v>0</v>
      </c>
      <c r="F41">
        <v>0</v>
      </c>
      <c r="G41" s="2">
        <v>0.15</v>
      </c>
      <c r="H41">
        <v>0</v>
      </c>
      <c r="K41" t="s">
        <v>229</v>
      </c>
      <c r="L41">
        <v>8</v>
      </c>
      <c r="M41">
        <v>0</v>
      </c>
      <c r="O41" t="s">
        <v>250</v>
      </c>
      <c r="P41">
        <v>12</v>
      </c>
      <c r="Q4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2B058999</v>
      </c>
      <c r="R41" t="s">
        <v>644</v>
      </c>
      <c r="S4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42" spans="1:19" x14ac:dyDescent="0.25">
      <c r="A42" t="s">
        <v>67</v>
      </c>
      <c r="B42">
        <v>202005</v>
      </c>
      <c r="C42" t="s">
        <v>62</v>
      </c>
      <c r="D42" t="s">
        <v>63</v>
      </c>
      <c r="E42">
        <v>294.82855999999998</v>
      </c>
      <c r="F42">
        <v>0</v>
      </c>
      <c r="G42" s="2">
        <v>100</v>
      </c>
      <c r="H42">
        <v>0</v>
      </c>
      <c r="I42">
        <v>1570</v>
      </c>
      <c r="K42" t="s">
        <v>229</v>
      </c>
      <c r="L42">
        <v>1</v>
      </c>
      <c r="M42">
        <v>0</v>
      </c>
      <c r="N42" t="s">
        <v>259</v>
      </c>
      <c r="O42" t="s">
        <v>252</v>
      </c>
      <c r="P42">
        <v>12</v>
      </c>
      <c r="Q4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2B061100</v>
      </c>
      <c r="R42" t="s">
        <v>644</v>
      </c>
      <c r="S4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43" spans="1:19" x14ac:dyDescent="0.25">
      <c r="A43" t="s">
        <v>67</v>
      </c>
      <c r="B43">
        <v>202005</v>
      </c>
      <c r="C43" t="s">
        <v>68</v>
      </c>
      <c r="D43" t="s">
        <v>69</v>
      </c>
      <c r="E43">
        <v>426.89765</v>
      </c>
      <c r="F43">
        <v>0</v>
      </c>
      <c r="G43" s="2">
        <v>58.02</v>
      </c>
      <c r="H43">
        <v>0</v>
      </c>
      <c r="I43">
        <v>1570</v>
      </c>
      <c r="K43" t="s">
        <v>229</v>
      </c>
      <c r="L43">
        <v>6</v>
      </c>
      <c r="M43">
        <v>0</v>
      </c>
      <c r="N43" t="s">
        <v>259</v>
      </c>
      <c r="O43" t="s">
        <v>252</v>
      </c>
      <c r="P43">
        <v>12</v>
      </c>
      <c r="Q4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2B061121</v>
      </c>
      <c r="R43" t="s">
        <v>644</v>
      </c>
      <c r="S4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</row>
    <row r="44" spans="1:19" x14ac:dyDescent="0.25">
      <c r="A44" t="s">
        <v>67</v>
      </c>
      <c r="B44">
        <v>202005</v>
      </c>
      <c r="C44" t="s">
        <v>55</v>
      </c>
      <c r="D44" t="s">
        <v>61</v>
      </c>
      <c r="E44">
        <v>60</v>
      </c>
      <c r="F44">
        <v>0</v>
      </c>
      <c r="G44" s="2">
        <v>1.0900000000000001</v>
      </c>
      <c r="H44">
        <v>0</v>
      </c>
      <c r="I44">
        <v>1570</v>
      </c>
      <c r="K44" t="s">
        <v>229</v>
      </c>
      <c r="L44">
        <v>7</v>
      </c>
      <c r="M44">
        <v>0</v>
      </c>
      <c r="N44" t="s">
        <v>259</v>
      </c>
      <c r="O44" t="s">
        <v>252</v>
      </c>
      <c r="P44">
        <v>12</v>
      </c>
      <c r="Q4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2B061242</v>
      </c>
      <c r="R44" t="s">
        <v>644</v>
      </c>
      <c r="S4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5" spans="1:19" x14ac:dyDescent="0.25">
      <c r="A45" t="s">
        <v>67</v>
      </c>
      <c r="B45">
        <v>202005</v>
      </c>
      <c r="C45" t="s">
        <v>3</v>
      </c>
      <c r="D45" t="s">
        <v>58</v>
      </c>
      <c r="E45">
        <v>275</v>
      </c>
      <c r="F45">
        <v>0</v>
      </c>
      <c r="G45" s="2">
        <v>13.72</v>
      </c>
      <c r="H45">
        <v>0</v>
      </c>
      <c r="I45">
        <v>1570</v>
      </c>
      <c r="K45" t="s">
        <v>229</v>
      </c>
      <c r="L45">
        <v>7</v>
      </c>
      <c r="M45">
        <v>0</v>
      </c>
      <c r="N45" t="s">
        <v>259</v>
      </c>
      <c r="O45" t="s">
        <v>252</v>
      </c>
      <c r="P45">
        <v>12</v>
      </c>
      <c r="Q4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2B061229</v>
      </c>
      <c r="R45" t="s">
        <v>644</v>
      </c>
      <c r="S4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6" spans="1:19" x14ac:dyDescent="0.25">
      <c r="A46" t="s">
        <v>67</v>
      </c>
      <c r="B46">
        <v>202005</v>
      </c>
      <c r="C46" t="s">
        <v>5</v>
      </c>
      <c r="D46" t="s">
        <v>59</v>
      </c>
      <c r="E46" s="1020">
        <v>8.56</v>
      </c>
      <c r="F46">
        <v>0</v>
      </c>
      <c r="G46" s="2">
        <v>11.49</v>
      </c>
      <c r="H46">
        <v>0</v>
      </c>
      <c r="I46">
        <v>1570</v>
      </c>
      <c r="K46" t="s">
        <v>229</v>
      </c>
      <c r="L46">
        <v>7</v>
      </c>
      <c r="M46">
        <v>0</v>
      </c>
      <c r="N46" t="s">
        <v>259</v>
      </c>
      <c r="O46" t="s">
        <v>252</v>
      </c>
      <c r="P46">
        <v>12</v>
      </c>
      <c r="Q4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2B061231</v>
      </c>
      <c r="R46" t="s">
        <v>644</v>
      </c>
      <c r="S4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7" spans="1:19" x14ac:dyDescent="0.25">
      <c r="A47" t="s">
        <v>67</v>
      </c>
      <c r="B47">
        <v>202005</v>
      </c>
      <c r="C47" t="s">
        <v>6</v>
      </c>
      <c r="D47" t="s">
        <v>60</v>
      </c>
      <c r="E47">
        <v>50</v>
      </c>
      <c r="F47">
        <v>0</v>
      </c>
      <c r="G47" s="2">
        <v>12.28</v>
      </c>
      <c r="H47">
        <v>0</v>
      </c>
      <c r="I47">
        <v>1570</v>
      </c>
      <c r="K47" t="s">
        <v>229</v>
      </c>
      <c r="L47">
        <v>7</v>
      </c>
      <c r="M47">
        <v>0</v>
      </c>
      <c r="N47" t="s">
        <v>259</v>
      </c>
      <c r="O47" t="s">
        <v>252</v>
      </c>
      <c r="P47">
        <v>12</v>
      </c>
      <c r="Q4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2B061245</v>
      </c>
      <c r="R47" t="s">
        <v>644</v>
      </c>
      <c r="S4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8" spans="1:19" x14ac:dyDescent="0.25">
      <c r="A48" t="s">
        <v>67</v>
      </c>
      <c r="B48">
        <v>202005</v>
      </c>
      <c r="C48" t="s">
        <v>260</v>
      </c>
      <c r="D48" t="s">
        <v>261</v>
      </c>
      <c r="E48">
        <v>50</v>
      </c>
      <c r="F48">
        <v>0</v>
      </c>
      <c r="G48" s="2">
        <v>3.27</v>
      </c>
      <c r="H48">
        <v>0</v>
      </c>
      <c r="I48">
        <v>1570</v>
      </c>
      <c r="K48" t="s">
        <v>229</v>
      </c>
      <c r="L48">
        <v>7</v>
      </c>
      <c r="M48">
        <v>0</v>
      </c>
      <c r="N48" t="s">
        <v>259</v>
      </c>
      <c r="O48" t="s">
        <v>252</v>
      </c>
      <c r="P48">
        <v>12</v>
      </c>
      <c r="Q4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2B061334</v>
      </c>
      <c r="R48" t="s">
        <v>644</v>
      </c>
      <c r="S4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9" spans="1:19" x14ac:dyDescent="0.25">
      <c r="A49" t="s">
        <v>67</v>
      </c>
      <c r="B49">
        <v>202005</v>
      </c>
      <c r="C49" t="s">
        <v>56</v>
      </c>
      <c r="D49" t="s">
        <v>246</v>
      </c>
      <c r="E49">
        <v>0</v>
      </c>
      <c r="F49">
        <v>0</v>
      </c>
      <c r="G49" s="2">
        <v>0.13</v>
      </c>
      <c r="H49">
        <v>0</v>
      </c>
      <c r="K49" t="s">
        <v>229</v>
      </c>
      <c r="L49">
        <v>8</v>
      </c>
      <c r="M49">
        <v>0</v>
      </c>
      <c r="O49" t="s">
        <v>252</v>
      </c>
      <c r="P49">
        <v>12</v>
      </c>
      <c r="Q4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2B068999</v>
      </c>
      <c r="R49" t="s">
        <v>644</v>
      </c>
      <c r="S4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50" spans="1:19" x14ac:dyDescent="0.25">
      <c r="A50" t="s">
        <v>1220</v>
      </c>
      <c r="B50">
        <v>202005</v>
      </c>
      <c r="C50" t="s">
        <v>62</v>
      </c>
      <c r="D50" t="s">
        <v>63</v>
      </c>
      <c r="E50">
        <v>294.82855999999998</v>
      </c>
      <c r="F50">
        <v>0</v>
      </c>
      <c r="G50" s="2">
        <v>100</v>
      </c>
      <c r="H50">
        <v>0</v>
      </c>
      <c r="I50">
        <v>1570</v>
      </c>
      <c r="K50" t="s">
        <v>229</v>
      </c>
      <c r="L50">
        <v>1</v>
      </c>
      <c r="M50">
        <v>0</v>
      </c>
      <c r="N50" t="s">
        <v>259</v>
      </c>
      <c r="O50" t="s">
        <v>1221</v>
      </c>
      <c r="P50">
        <v>12</v>
      </c>
      <c r="Q5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2B081100</v>
      </c>
      <c r="R50" t="s">
        <v>229</v>
      </c>
      <c r="S5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51" spans="1:19" x14ac:dyDescent="0.25">
      <c r="A51" t="s">
        <v>1220</v>
      </c>
      <c r="B51">
        <v>202005</v>
      </c>
      <c r="C51" t="s">
        <v>66</v>
      </c>
      <c r="D51" t="s">
        <v>1222</v>
      </c>
      <c r="E51" s="1020">
        <v>1147.2553499999999</v>
      </c>
      <c r="F51">
        <v>0</v>
      </c>
      <c r="G51" s="2">
        <v>16.690000000000001</v>
      </c>
      <c r="H51">
        <v>0</v>
      </c>
      <c r="I51">
        <v>1570</v>
      </c>
      <c r="K51" t="s">
        <v>229</v>
      </c>
      <c r="L51">
        <v>6</v>
      </c>
      <c r="M51">
        <v>0</v>
      </c>
      <c r="N51" t="s">
        <v>259</v>
      </c>
      <c r="O51" t="s">
        <v>1221</v>
      </c>
      <c r="P51">
        <v>12</v>
      </c>
      <c r="Q5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2B081120</v>
      </c>
      <c r="R51" t="s">
        <v>229</v>
      </c>
      <c r="S5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52" spans="1:19" x14ac:dyDescent="0.25">
      <c r="A52" t="s">
        <v>1220</v>
      </c>
      <c r="B52">
        <v>202005</v>
      </c>
      <c r="C52" t="s">
        <v>3</v>
      </c>
      <c r="D52" t="s">
        <v>58</v>
      </c>
      <c r="E52">
        <v>275</v>
      </c>
      <c r="F52">
        <v>0</v>
      </c>
      <c r="G52" s="2">
        <v>43.76</v>
      </c>
      <c r="H52">
        <v>0</v>
      </c>
      <c r="I52">
        <v>1570</v>
      </c>
      <c r="K52" t="s">
        <v>229</v>
      </c>
      <c r="L52">
        <v>7</v>
      </c>
      <c r="M52">
        <v>0</v>
      </c>
      <c r="N52" t="s">
        <v>259</v>
      </c>
      <c r="O52" t="s">
        <v>1221</v>
      </c>
      <c r="P52">
        <v>12</v>
      </c>
      <c r="Q5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2B081229</v>
      </c>
      <c r="R52" t="s">
        <v>229</v>
      </c>
      <c r="S5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53" spans="1:19" x14ac:dyDescent="0.25">
      <c r="A53" t="s">
        <v>1220</v>
      </c>
      <c r="B53">
        <v>202005</v>
      </c>
      <c r="C53" t="s">
        <v>5</v>
      </c>
      <c r="D53" t="s">
        <v>59</v>
      </c>
      <c r="E53">
        <v>8.56</v>
      </c>
      <c r="F53">
        <v>0</v>
      </c>
      <c r="G53" s="2">
        <v>13.72</v>
      </c>
      <c r="H53">
        <v>0</v>
      </c>
      <c r="I53">
        <v>1570</v>
      </c>
      <c r="K53" t="s">
        <v>229</v>
      </c>
      <c r="L53">
        <v>7</v>
      </c>
      <c r="M53">
        <v>0</v>
      </c>
      <c r="N53" t="s">
        <v>259</v>
      </c>
      <c r="O53" t="s">
        <v>1221</v>
      </c>
      <c r="P53">
        <v>12</v>
      </c>
      <c r="Q5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2B081231</v>
      </c>
      <c r="R53" t="s">
        <v>229</v>
      </c>
      <c r="S5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54" spans="1:19" x14ac:dyDescent="0.25">
      <c r="A54" t="s">
        <v>1220</v>
      </c>
      <c r="B54">
        <v>202005</v>
      </c>
      <c r="C54" t="s">
        <v>6</v>
      </c>
      <c r="D54" t="s">
        <v>60</v>
      </c>
      <c r="E54">
        <v>50</v>
      </c>
      <c r="F54">
        <v>0</v>
      </c>
      <c r="G54" s="2">
        <v>25.82</v>
      </c>
      <c r="H54">
        <v>0</v>
      </c>
      <c r="I54">
        <v>1570</v>
      </c>
      <c r="K54" t="s">
        <v>229</v>
      </c>
      <c r="L54">
        <v>7</v>
      </c>
      <c r="M54">
        <v>0</v>
      </c>
      <c r="N54" t="s">
        <v>259</v>
      </c>
      <c r="O54" t="s">
        <v>1221</v>
      </c>
      <c r="P54">
        <v>12</v>
      </c>
      <c r="Q5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2B081245</v>
      </c>
      <c r="R54" t="s">
        <v>229</v>
      </c>
      <c r="S5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55" spans="1:19" x14ac:dyDescent="0.25">
      <c r="A55" t="s">
        <v>1220</v>
      </c>
      <c r="B55">
        <v>202005</v>
      </c>
      <c r="C55" t="s">
        <v>56</v>
      </c>
      <c r="D55" t="s">
        <v>246</v>
      </c>
      <c r="E55">
        <v>0</v>
      </c>
      <c r="F55">
        <v>0</v>
      </c>
      <c r="G55" s="2">
        <v>0</v>
      </c>
      <c r="H55">
        <v>0</v>
      </c>
      <c r="K55" t="s">
        <v>229</v>
      </c>
      <c r="L55">
        <v>8</v>
      </c>
      <c r="M55">
        <v>0</v>
      </c>
      <c r="O55" t="s">
        <v>1221</v>
      </c>
      <c r="P55">
        <v>12</v>
      </c>
      <c r="Q5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2B088999</v>
      </c>
      <c r="R55" t="s">
        <v>229</v>
      </c>
      <c r="S5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56" spans="1:19" x14ac:dyDescent="0.25">
      <c r="A56" t="s">
        <v>80</v>
      </c>
      <c r="B56">
        <v>202005</v>
      </c>
      <c r="C56" t="s">
        <v>62</v>
      </c>
      <c r="D56" t="s">
        <v>63</v>
      </c>
      <c r="E56">
        <v>294.82855999999998</v>
      </c>
      <c r="F56">
        <v>0</v>
      </c>
      <c r="G56" s="2">
        <v>100</v>
      </c>
      <c r="H56">
        <v>0</v>
      </c>
      <c r="I56">
        <v>1570</v>
      </c>
      <c r="K56" t="s">
        <v>229</v>
      </c>
      <c r="L56">
        <v>1</v>
      </c>
      <c r="M56">
        <v>0</v>
      </c>
      <c r="N56" t="s">
        <v>259</v>
      </c>
      <c r="O56" t="s">
        <v>545</v>
      </c>
      <c r="P56">
        <v>12</v>
      </c>
      <c r="Q5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2B091100</v>
      </c>
      <c r="R56" t="s">
        <v>644</v>
      </c>
      <c r="S5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57" spans="1:19" x14ac:dyDescent="0.25">
      <c r="A57" t="s">
        <v>80</v>
      </c>
      <c r="B57">
        <v>202005</v>
      </c>
      <c r="C57" t="s">
        <v>81</v>
      </c>
      <c r="D57" t="s">
        <v>546</v>
      </c>
      <c r="E57">
        <v>554.16430000000003</v>
      </c>
      <c r="F57">
        <v>0</v>
      </c>
      <c r="G57" s="2">
        <v>31.94</v>
      </c>
      <c r="H57">
        <v>0</v>
      </c>
      <c r="I57">
        <v>1570</v>
      </c>
      <c r="K57" t="s">
        <v>229</v>
      </c>
      <c r="L57">
        <v>6</v>
      </c>
      <c r="M57">
        <v>0</v>
      </c>
      <c r="N57" t="s">
        <v>259</v>
      </c>
      <c r="O57" t="s">
        <v>545</v>
      </c>
      <c r="P57">
        <v>12</v>
      </c>
      <c r="Q5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2B091125</v>
      </c>
      <c r="R57" t="s">
        <v>644</v>
      </c>
      <c r="S5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</row>
    <row r="58" spans="1:19" x14ac:dyDescent="0.25">
      <c r="A58" t="s">
        <v>80</v>
      </c>
      <c r="B58">
        <v>202005</v>
      </c>
      <c r="C58" t="s">
        <v>55</v>
      </c>
      <c r="D58" t="s">
        <v>61</v>
      </c>
      <c r="E58">
        <v>60</v>
      </c>
      <c r="F58">
        <v>0</v>
      </c>
      <c r="G58" s="2">
        <v>1.1399999999999999</v>
      </c>
      <c r="H58">
        <v>0</v>
      </c>
      <c r="I58">
        <v>1570</v>
      </c>
      <c r="K58" t="s">
        <v>229</v>
      </c>
      <c r="L58">
        <v>7</v>
      </c>
      <c r="M58">
        <v>0</v>
      </c>
      <c r="N58" t="s">
        <v>259</v>
      </c>
      <c r="O58" t="s">
        <v>545</v>
      </c>
      <c r="P58">
        <v>12</v>
      </c>
      <c r="Q5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2B091242</v>
      </c>
      <c r="R58" t="s">
        <v>644</v>
      </c>
      <c r="S5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9" spans="1:19" x14ac:dyDescent="0.25">
      <c r="A59" t="s">
        <v>80</v>
      </c>
      <c r="B59">
        <v>202005</v>
      </c>
      <c r="C59" t="s">
        <v>3</v>
      </c>
      <c r="D59" t="s">
        <v>58</v>
      </c>
      <c r="E59" s="1020">
        <v>275</v>
      </c>
      <c r="F59">
        <v>0</v>
      </c>
      <c r="G59" s="2">
        <v>39.57</v>
      </c>
      <c r="H59">
        <v>0</v>
      </c>
      <c r="I59">
        <v>1570</v>
      </c>
      <c r="K59" t="s">
        <v>229</v>
      </c>
      <c r="L59">
        <v>7</v>
      </c>
      <c r="M59">
        <v>0</v>
      </c>
      <c r="N59" t="s">
        <v>259</v>
      </c>
      <c r="O59" t="s">
        <v>545</v>
      </c>
      <c r="P59">
        <v>12</v>
      </c>
      <c r="Q5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2B091229</v>
      </c>
      <c r="R59" t="s">
        <v>644</v>
      </c>
      <c r="S5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0" spans="1:19" x14ac:dyDescent="0.25">
      <c r="A60" t="s">
        <v>80</v>
      </c>
      <c r="B60">
        <v>202005</v>
      </c>
      <c r="C60" t="s">
        <v>5</v>
      </c>
      <c r="D60" t="s">
        <v>59</v>
      </c>
      <c r="E60">
        <v>8.56</v>
      </c>
      <c r="F60">
        <v>0</v>
      </c>
      <c r="G60" s="2">
        <v>12.64</v>
      </c>
      <c r="H60">
        <v>0</v>
      </c>
      <c r="I60">
        <v>1570</v>
      </c>
      <c r="K60" t="s">
        <v>229</v>
      </c>
      <c r="L60">
        <v>7</v>
      </c>
      <c r="M60">
        <v>0</v>
      </c>
      <c r="N60" t="s">
        <v>259</v>
      </c>
      <c r="O60" t="s">
        <v>545</v>
      </c>
      <c r="P60">
        <v>12</v>
      </c>
      <c r="Q6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2B091231</v>
      </c>
      <c r="R60" t="s">
        <v>644</v>
      </c>
      <c r="S6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1" spans="1:19" x14ac:dyDescent="0.25">
      <c r="A61" t="s">
        <v>80</v>
      </c>
      <c r="B61">
        <v>202005</v>
      </c>
      <c r="C61" t="s">
        <v>6</v>
      </c>
      <c r="D61" t="s">
        <v>60</v>
      </c>
      <c r="E61">
        <v>50</v>
      </c>
      <c r="F61">
        <v>0</v>
      </c>
      <c r="G61" s="2">
        <v>11.11</v>
      </c>
      <c r="H61">
        <v>0</v>
      </c>
      <c r="I61">
        <v>1570</v>
      </c>
      <c r="K61" t="s">
        <v>229</v>
      </c>
      <c r="L61">
        <v>7</v>
      </c>
      <c r="M61">
        <v>0</v>
      </c>
      <c r="N61" t="s">
        <v>259</v>
      </c>
      <c r="O61" t="s">
        <v>545</v>
      </c>
      <c r="P61">
        <v>12</v>
      </c>
      <c r="Q6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2B091245</v>
      </c>
      <c r="R61" t="s">
        <v>644</v>
      </c>
      <c r="S6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2" spans="1:19" x14ac:dyDescent="0.25">
      <c r="A62" t="s">
        <v>80</v>
      </c>
      <c r="B62">
        <v>202005</v>
      </c>
      <c r="C62" t="s">
        <v>260</v>
      </c>
      <c r="D62" t="s">
        <v>261</v>
      </c>
      <c r="E62">
        <v>50</v>
      </c>
      <c r="F62">
        <v>0</v>
      </c>
      <c r="G62" s="2">
        <v>3.38</v>
      </c>
      <c r="H62">
        <v>0</v>
      </c>
      <c r="I62">
        <v>1570</v>
      </c>
      <c r="K62" t="s">
        <v>229</v>
      </c>
      <c r="L62">
        <v>7</v>
      </c>
      <c r="M62">
        <v>0</v>
      </c>
      <c r="N62" t="s">
        <v>259</v>
      </c>
      <c r="O62" t="s">
        <v>545</v>
      </c>
      <c r="P62">
        <v>12</v>
      </c>
      <c r="Q6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2B091334</v>
      </c>
      <c r="R62" t="s">
        <v>644</v>
      </c>
      <c r="S6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3" spans="1:19" x14ac:dyDescent="0.25">
      <c r="A63" t="s">
        <v>80</v>
      </c>
      <c r="B63">
        <v>202005</v>
      </c>
      <c r="C63" t="s">
        <v>56</v>
      </c>
      <c r="D63" t="s">
        <v>246</v>
      </c>
      <c r="E63">
        <v>0</v>
      </c>
      <c r="F63">
        <v>0</v>
      </c>
      <c r="G63" s="2">
        <v>0</v>
      </c>
      <c r="H63">
        <v>0</v>
      </c>
      <c r="K63" t="s">
        <v>229</v>
      </c>
      <c r="L63">
        <v>8</v>
      </c>
      <c r="M63">
        <v>0</v>
      </c>
      <c r="O63" t="s">
        <v>545</v>
      </c>
      <c r="P63">
        <v>12</v>
      </c>
      <c r="Q6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2B098999</v>
      </c>
      <c r="R63" t="s">
        <v>644</v>
      </c>
      <c r="S6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64" spans="1:19" x14ac:dyDescent="0.25">
      <c r="A64" t="s">
        <v>1223</v>
      </c>
      <c r="B64">
        <v>202005</v>
      </c>
      <c r="C64" t="s">
        <v>62</v>
      </c>
      <c r="D64" t="s">
        <v>63</v>
      </c>
      <c r="E64">
        <v>294.82855999999998</v>
      </c>
      <c r="F64">
        <v>0</v>
      </c>
      <c r="G64" s="2">
        <v>100</v>
      </c>
      <c r="H64">
        <v>0</v>
      </c>
      <c r="I64">
        <v>1570</v>
      </c>
      <c r="K64" t="s">
        <v>229</v>
      </c>
      <c r="L64">
        <v>1</v>
      </c>
      <c r="M64">
        <v>0</v>
      </c>
      <c r="N64" t="s">
        <v>259</v>
      </c>
      <c r="O64" t="s">
        <v>1224</v>
      </c>
      <c r="P64">
        <v>12</v>
      </c>
      <c r="Q6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2B101100</v>
      </c>
      <c r="R64" t="s">
        <v>229</v>
      </c>
      <c r="S6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65" spans="1:19" x14ac:dyDescent="0.25">
      <c r="A65" t="s">
        <v>1223</v>
      </c>
      <c r="B65">
        <v>202005</v>
      </c>
      <c r="C65" t="s">
        <v>1225</v>
      </c>
      <c r="D65" t="s">
        <v>76</v>
      </c>
      <c r="E65" s="1020">
        <v>1496.9319499999999</v>
      </c>
      <c r="F65">
        <v>0</v>
      </c>
      <c r="G65" s="2">
        <v>11.5</v>
      </c>
      <c r="H65">
        <v>0</v>
      </c>
      <c r="I65">
        <v>1570</v>
      </c>
      <c r="K65" t="s">
        <v>229</v>
      </c>
      <c r="L65">
        <v>6</v>
      </c>
      <c r="M65">
        <v>0</v>
      </c>
      <c r="N65" t="s">
        <v>259</v>
      </c>
      <c r="O65" t="s">
        <v>1224</v>
      </c>
      <c r="P65">
        <v>12</v>
      </c>
      <c r="Q6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2B101124</v>
      </c>
      <c r="R65" t="s">
        <v>229</v>
      </c>
      <c r="S6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66" spans="1:19" x14ac:dyDescent="0.25">
      <c r="A66" t="s">
        <v>1223</v>
      </c>
      <c r="B66">
        <v>202005</v>
      </c>
      <c r="C66" t="s">
        <v>3</v>
      </c>
      <c r="D66" t="s">
        <v>58</v>
      </c>
      <c r="E66">
        <v>275</v>
      </c>
      <c r="F66">
        <v>0</v>
      </c>
      <c r="G66" s="2">
        <v>51.38</v>
      </c>
      <c r="H66">
        <v>0</v>
      </c>
      <c r="I66">
        <v>1570</v>
      </c>
      <c r="K66" t="s">
        <v>229</v>
      </c>
      <c r="L66">
        <v>7</v>
      </c>
      <c r="M66">
        <v>0</v>
      </c>
      <c r="N66" t="s">
        <v>259</v>
      </c>
      <c r="O66" t="s">
        <v>1224</v>
      </c>
      <c r="P66">
        <v>12</v>
      </c>
      <c r="Q6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2B101229</v>
      </c>
      <c r="R66" t="s">
        <v>229</v>
      </c>
      <c r="S6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67" spans="1:19" x14ac:dyDescent="0.25">
      <c r="A67" t="s">
        <v>1223</v>
      </c>
      <c r="B67">
        <v>202005</v>
      </c>
      <c r="C67" t="s">
        <v>5</v>
      </c>
      <c r="D67" t="s">
        <v>59</v>
      </c>
      <c r="E67">
        <v>8.56</v>
      </c>
      <c r="F67">
        <v>0</v>
      </c>
      <c r="G67" s="2">
        <v>14.71</v>
      </c>
      <c r="H67">
        <v>0</v>
      </c>
      <c r="I67">
        <v>1570</v>
      </c>
      <c r="K67" t="s">
        <v>229</v>
      </c>
      <c r="L67">
        <v>7</v>
      </c>
      <c r="M67">
        <v>0</v>
      </c>
      <c r="N67" t="s">
        <v>259</v>
      </c>
      <c r="O67" t="s">
        <v>1224</v>
      </c>
      <c r="P67">
        <v>12</v>
      </c>
      <c r="Q6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2B101231</v>
      </c>
      <c r="R67" t="s">
        <v>229</v>
      </c>
      <c r="S6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68" spans="1:19" x14ac:dyDescent="0.25">
      <c r="A68" t="s">
        <v>1223</v>
      </c>
      <c r="B68">
        <v>202005</v>
      </c>
      <c r="C68" t="s">
        <v>6</v>
      </c>
      <c r="D68" t="s">
        <v>60</v>
      </c>
      <c r="E68">
        <v>50</v>
      </c>
      <c r="F68">
        <v>0</v>
      </c>
      <c r="G68" s="2">
        <v>22.4</v>
      </c>
      <c r="H68">
        <v>0</v>
      </c>
      <c r="I68">
        <v>1570</v>
      </c>
      <c r="K68" t="s">
        <v>229</v>
      </c>
      <c r="L68">
        <v>7</v>
      </c>
      <c r="M68">
        <v>0</v>
      </c>
      <c r="N68" t="s">
        <v>259</v>
      </c>
      <c r="O68" t="s">
        <v>1224</v>
      </c>
      <c r="P68">
        <v>12</v>
      </c>
      <c r="Q6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2B101245</v>
      </c>
      <c r="R68" t="s">
        <v>229</v>
      </c>
      <c r="S6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69" spans="1:19" x14ac:dyDescent="0.25">
      <c r="A69" t="s">
        <v>1223</v>
      </c>
      <c r="B69">
        <v>202005</v>
      </c>
      <c r="C69" t="s">
        <v>56</v>
      </c>
      <c r="D69" t="s">
        <v>246</v>
      </c>
      <c r="E69">
        <v>0</v>
      </c>
      <c r="F69">
        <v>0</v>
      </c>
      <c r="G69" s="2">
        <v>0</v>
      </c>
      <c r="H69">
        <v>0</v>
      </c>
      <c r="K69" t="s">
        <v>229</v>
      </c>
      <c r="L69">
        <v>8</v>
      </c>
      <c r="M69">
        <v>0</v>
      </c>
      <c r="O69" t="s">
        <v>1224</v>
      </c>
      <c r="P69">
        <v>12</v>
      </c>
      <c r="Q6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2B108999</v>
      </c>
      <c r="R69" t="s">
        <v>229</v>
      </c>
      <c r="S6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0" spans="1:19" x14ac:dyDescent="0.25">
      <c r="A70" t="s">
        <v>88</v>
      </c>
      <c r="B70">
        <v>202005</v>
      </c>
      <c r="C70" t="s">
        <v>62</v>
      </c>
      <c r="D70" t="s">
        <v>63</v>
      </c>
      <c r="E70">
        <v>294.82855999999998</v>
      </c>
      <c r="F70">
        <v>0</v>
      </c>
      <c r="G70" s="2">
        <v>100</v>
      </c>
      <c r="H70">
        <v>0</v>
      </c>
      <c r="I70">
        <v>1570</v>
      </c>
      <c r="K70" t="s">
        <v>229</v>
      </c>
      <c r="L70">
        <v>1</v>
      </c>
      <c r="M70">
        <v>0</v>
      </c>
      <c r="N70" t="s">
        <v>259</v>
      </c>
      <c r="O70" t="s">
        <v>253</v>
      </c>
      <c r="P70">
        <v>12</v>
      </c>
      <c r="Q7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2B111100</v>
      </c>
      <c r="R70" t="s">
        <v>644</v>
      </c>
      <c r="S7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71" spans="1:19" x14ac:dyDescent="0.25">
      <c r="A71" t="s">
        <v>88</v>
      </c>
      <c r="B71">
        <v>202005</v>
      </c>
      <c r="C71" t="s">
        <v>89</v>
      </c>
      <c r="D71" t="s">
        <v>90</v>
      </c>
      <c r="E71">
        <v>405.23748999999998</v>
      </c>
      <c r="F71">
        <v>0</v>
      </c>
      <c r="G71" s="2">
        <v>59.14</v>
      </c>
      <c r="H71">
        <v>0</v>
      </c>
      <c r="I71">
        <v>1570</v>
      </c>
      <c r="K71" t="s">
        <v>229</v>
      </c>
      <c r="L71">
        <v>6</v>
      </c>
      <c r="M71">
        <v>0</v>
      </c>
      <c r="N71" t="s">
        <v>259</v>
      </c>
      <c r="O71" t="s">
        <v>253</v>
      </c>
      <c r="P71">
        <v>12</v>
      </c>
      <c r="Q7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2B111128</v>
      </c>
      <c r="R71" t="s">
        <v>644</v>
      </c>
      <c r="S7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</row>
    <row r="72" spans="1:19" x14ac:dyDescent="0.25">
      <c r="A72" t="s">
        <v>88</v>
      </c>
      <c r="B72">
        <v>202005</v>
      </c>
      <c r="C72" t="s">
        <v>55</v>
      </c>
      <c r="D72" t="s">
        <v>61</v>
      </c>
      <c r="E72">
        <v>60</v>
      </c>
      <c r="F72">
        <v>0</v>
      </c>
      <c r="G72" s="2">
        <v>0.56000000000000005</v>
      </c>
      <c r="H72">
        <v>0</v>
      </c>
      <c r="I72">
        <v>1570</v>
      </c>
      <c r="K72" t="s">
        <v>229</v>
      </c>
      <c r="L72">
        <v>7</v>
      </c>
      <c r="M72">
        <v>0</v>
      </c>
      <c r="N72" t="s">
        <v>259</v>
      </c>
      <c r="O72" t="s">
        <v>253</v>
      </c>
      <c r="P72">
        <v>12</v>
      </c>
      <c r="Q7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2B111242</v>
      </c>
      <c r="R72" t="s">
        <v>644</v>
      </c>
      <c r="S7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73" spans="1:19" x14ac:dyDescent="0.25">
      <c r="A73" t="s">
        <v>88</v>
      </c>
      <c r="B73">
        <v>202005</v>
      </c>
      <c r="C73" t="s">
        <v>3</v>
      </c>
      <c r="D73" t="s">
        <v>58</v>
      </c>
      <c r="E73">
        <v>275</v>
      </c>
      <c r="F73">
        <v>0</v>
      </c>
      <c r="G73" s="2">
        <v>17.77</v>
      </c>
      <c r="H73">
        <v>0</v>
      </c>
      <c r="I73">
        <v>1570</v>
      </c>
      <c r="K73" t="s">
        <v>229</v>
      </c>
      <c r="L73">
        <v>7</v>
      </c>
      <c r="M73">
        <v>0</v>
      </c>
      <c r="N73" t="s">
        <v>259</v>
      </c>
      <c r="O73" t="s">
        <v>253</v>
      </c>
      <c r="P73">
        <v>12</v>
      </c>
      <c r="Q7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2B111229</v>
      </c>
      <c r="R73" t="s">
        <v>644</v>
      </c>
      <c r="S7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74" spans="1:19" x14ac:dyDescent="0.25">
      <c r="A74" t="s">
        <v>88</v>
      </c>
      <c r="B74">
        <v>202005</v>
      </c>
      <c r="C74" t="s">
        <v>5</v>
      </c>
      <c r="D74" t="s">
        <v>59</v>
      </c>
      <c r="E74">
        <v>8.56</v>
      </c>
      <c r="F74">
        <v>0</v>
      </c>
      <c r="G74" s="2">
        <v>12.18</v>
      </c>
      <c r="H74">
        <v>0</v>
      </c>
      <c r="I74">
        <v>1570</v>
      </c>
      <c r="K74" t="s">
        <v>229</v>
      </c>
      <c r="L74">
        <v>7</v>
      </c>
      <c r="M74">
        <v>0</v>
      </c>
      <c r="N74" t="s">
        <v>259</v>
      </c>
      <c r="O74" t="s">
        <v>253</v>
      </c>
      <c r="P74">
        <v>12</v>
      </c>
      <c r="Q7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2B111231</v>
      </c>
      <c r="R74" t="s">
        <v>644</v>
      </c>
      <c r="S7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75" spans="1:19" x14ac:dyDescent="0.25">
      <c r="A75" t="s">
        <v>88</v>
      </c>
      <c r="B75">
        <v>202005</v>
      </c>
      <c r="C75" t="s">
        <v>6</v>
      </c>
      <c r="D75" t="s">
        <v>60</v>
      </c>
      <c r="E75">
        <v>50</v>
      </c>
      <c r="F75">
        <v>0</v>
      </c>
      <c r="G75" s="2">
        <v>6.5</v>
      </c>
      <c r="H75">
        <v>0</v>
      </c>
      <c r="I75">
        <v>1570</v>
      </c>
      <c r="K75" t="s">
        <v>229</v>
      </c>
      <c r="L75">
        <v>7</v>
      </c>
      <c r="M75">
        <v>0</v>
      </c>
      <c r="N75" t="s">
        <v>259</v>
      </c>
      <c r="O75" t="s">
        <v>253</v>
      </c>
      <c r="P75">
        <v>12</v>
      </c>
      <c r="Q7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2B111245</v>
      </c>
      <c r="R75" t="s">
        <v>644</v>
      </c>
      <c r="S7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76" spans="1:19" x14ac:dyDescent="0.25">
      <c r="A76" t="s">
        <v>88</v>
      </c>
      <c r="B76">
        <v>202005</v>
      </c>
      <c r="C76" t="s">
        <v>260</v>
      </c>
      <c r="D76" t="s">
        <v>261</v>
      </c>
      <c r="E76">
        <v>50</v>
      </c>
      <c r="F76">
        <v>0</v>
      </c>
      <c r="G76" s="2">
        <v>3.35</v>
      </c>
      <c r="H76">
        <v>0</v>
      </c>
      <c r="I76">
        <v>1570</v>
      </c>
      <c r="K76" t="s">
        <v>229</v>
      </c>
      <c r="L76">
        <v>7</v>
      </c>
      <c r="M76">
        <v>0</v>
      </c>
      <c r="N76" t="s">
        <v>259</v>
      </c>
      <c r="O76" t="s">
        <v>253</v>
      </c>
      <c r="P76">
        <v>12</v>
      </c>
      <c r="Q7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2B111334</v>
      </c>
      <c r="R76" t="s">
        <v>644</v>
      </c>
      <c r="S7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77" spans="1:19" x14ac:dyDescent="0.25">
      <c r="A77" t="s">
        <v>88</v>
      </c>
      <c r="B77">
        <v>202005</v>
      </c>
      <c r="C77" t="s">
        <v>56</v>
      </c>
      <c r="D77" t="s">
        <v>246</v>
      </c>
      <c r="E77">
        <v>0</v>
      </c>
      <c r="F77">
        <v>0</v>
      </c>
      <c r="G77" s="2">
        <v>0.51</v>
      </c>
      <c r="H77">
        <v>0</v>
      </c>
      <c r="K77" t="s">
        <v>229</v>
      </c>
      <c r="L77">
        <v>8</v>
      </c>
      <c r="M77">
        <v>0</v>
      </c>
      <c r="O77" t="s">
        <v>253</v>
      </c>
      <c r="P77">
        <v>12</v>
      </c>
      <c r="Q7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2B118999</v>
      </c>
      <c r="R77" t="s">
        <v>644</v>
      </c>
      <c r="S7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78" spans="1:19" x14ac:dyDescent="0.25">
      <c r="A78" t="s">
        <v>1226</v>
      </c>
      <c r="B78">
        <v>202005</v>
      </c>
      <c r="C78" t="s">
        <v>62</v>
      </c>
      <c r="D78" t="s">
        <v>63</v>
      </c>
      <c r="E78">
        <v>294.82855999999998</v>
      </c>
      <c r="F78">
        <v>0</v>
      </c>
      <c r="G78" s="2">
        <v>100</v>
      </c>
      <c r="H78">
        <v>0</v>
      </c>
      <c r="I78">
        <v>1570</v>
      </c>
      <c r="K78" t="s">
        <v>229</v>
      </c>
      <c r="L78">
        <v>1</v>
      </c>
      <c r="M78">
        <v>0</v>
      </c>
      <c r="N78" t="s">
        <v>259</v>
      </c>
      <c r="O78" t="s">
        <v>1227</v>
      </c>
      <c r="P78">
        <v>12</v>
      </c>
      <c r="Q7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2B121100</v>
      </c>
      <c r="R78" t="s">
        <v>644</v>
      </c>
      <c r="S7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79" spans="1:19" x14ac:dyDescent="0.25">
      <c r="A79" t="s">
        <v>1226</v>
      </c>
      <c r="B79">
        <v>202005</v>
      </c>
      <c r="C79" t="s">
        <v>95</v>
      </c>
      <c r="D79" t="s">
        <v>96</v>
      </c>
      <c r="E79">
        <v>495.48491999999999</v>
      </c>
      <c r="F79">
        <v>0</v>
      </c>
      <c r="G79" s="2">
        <v>47.12</v>
      </c>
      <c r="H79">
        <v>0</v>
      </c>
      <c r="I79">
        <v>1570</v>
      </c>
      <c r="K79" t="s">
        <v>229</v>
      </c>
      <c r="L79">
        <v>6</v>
      </c>
      <c r="M79">
        <v>0</v>
      </c>
      <c r="N79" t="s">
        <v>259</v>
      </c>
      <c r="O79" t="s">
        <v>1227</v>
      </c>
      <c r="P79">
        <v>12</v>
      </c>
      <c r="Q7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2B121131</v>
      </c>
      <c r="R79" t="s">
        <v>644</v>
      </c>
      <c r="S7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</row>
    <row r="80" spans="1:19" x14ac:dyDescent="0.25">
      <c r="A80" t="s">
        <v>1226</v>
      </c>
      <c r="B80">
        <v>202005</v>
      </c>
      <c r="C80" t="s">
        <v>55</v>
      </c>
      <c r="D80" t="s">
        <v>61</v>
      </c>
      <c r="E80">
        <v>60</v>
      </c>
      <c r="F80">
        <v>0</v>
      </c>
      <c r="G80" s="2">
        <v>0.56000000000000005</v>
      </c>
      <c r="H80">
        <v>0</v>
      </c>
      <c r="I80">
        <v>1570</v>
      </c>
      <c r="K80" t="s">
        <v>229</v>
      </c>
      <c r="L80">
        <v>7</v>
      </c>
      <c r="M80">
        <v>0</v>
      </c>
      <c r="N80" t="s">
        <v>259</v>
      </c>
      <c r="O80" t="s">
        <v>1227</v>
      </c>
      <c r="P80">
        <v>12</v>
      </c>
      <c r="Q8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2B121242</v>
      </c>
      <c r="R80" t="s">
        <v>644</v>
      </c>
      <c r="S8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81" spans="1:19" x14ac:dyDescent="0.25">
      <c r="A81" t="s">
        <v>1226</v>
      </c>
      <c r="B81">
        <v>202005</v>
      </c>
      <c r="C81" t="s">
        <v>3</v>
      </c>
      <c r="D81" t="s">
        <v>58</v>
      </c>
      <c r="E81">
        <v>275</v>
      </c>
      <c r="F81">
        <v>0</v>
      </c>
      <c r="G81" s="2">
        <v>11.97</v>
      </c>
      <c r="H81">
        <v>0</v>
      </c>
      <c r="I81">
        <v>1570</v>
      </c>
      <c r="K81" t="s">
        <v>229</v>
      </c>
      <c r="L81">
        <v>7</v>
      </c>
      <c r="M81">
        <v>0</v>
      </c>
      <c r="N81" t="s">
        <v>259</v>
      </c>
      <c r="O81" t="s">
        <v>1227</v>
      </c>
      <c r="P81">
        <v>12</v>
      </c>
      <c r="Q8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2B121229</v>
      </c>
      <c r="R81" t="s">
        <v>644</v>
      </c>
      <c r="S8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82" spans="1:19" x14ac:dyDescent="0.25">
      <c r="A82" t="s">
        <v>1226</v>
      </c>
      <c r="B82">
        <v>202005</v>
      </c>
      <c r="C82" t="s">
        <v>5</v>
      </c>
      <c r="D82" t="s">
        <v>59</v>
      </c>
      <c r="E82">
        <v>8.56</v>
      </c>
      <c r="F82">
        <v>0</v>
      </c>
      <c r="G82" s="2">
        <v>7.53</v>
      </c>
      <c r="H82">
        <v>0</v>
      </c>
      <c r="I82">
        <v>1570</v>
      </c>
      <c r="K82" t="s">
        <v>229</v>
      </c>
      <c r="L82">
        <v>7</v>
      </c>
      <c r="M82">
        <v>0</v>
      </c>
      <c r="N82" t="s">
        <v>259</v>
      </c>
      <c r="O82" t="s">
        <v>1227</v>
      </c>
      <c r="P82">
        <v>12</v>
      </c>
      <c r="Q8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2B121231</v>
      </c>
      <c r="R82" t="s">
        <v>644</v>
      </c>
      <c r="S8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83" spans="1:19" x14ac:dyDescent="0.25">
      <c r="A83" t="s">
        <v>1226</v>
      </c>
      <c r="B83">
        <v>202005</v>
      </c>
      <c r="C83" t="s">
        <v>6</v>
      </c>
      <c r="D83" t="s">
        <v>60</v>
      </c>
      <c r="E83">
        <v>50</v>
      </c>
      <c r="F83">
        <v>0</v>
      </c>
      <c r="G83" s="2">
        <v>11.4</v>
      </c>
      <c r="H83">
        <v>0</v>
      </c>
      <c r="I83">
        <v>1570</v>
      </c>
      <c r="K83" t="s">
        <v>229</v>
      </c>
      <c r="L83">
        <v>7</v>
      </c>
      <c r="M83">
        <v>0</v>
      </c>
      <c r="N83" t="s">
        <v>259</v>
      </c>
      <c r="O83" t="s">
        <v>1227</v>
      </c>
      <c r="P83">
        <v>12</v>
      </c>
      <c r="Q8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2B121245</v>
      </c>
      <c r="R83" t="s">
        <v>644</v>
      </c>
      <c r="S8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84" spans="1:19" x14ac:dyDescent="0.25">
      <c r="A84" t="s">
        <v>1226</v>
      </c>
      <c r="B84">
        <v>202005</v>
      </c>
      <c r="C84" t="s">
        <v>1228</v>
      </c>
      <c r="D84" t="s">
        <v>1229</v>
      </c>
      <c r="E84">
        <v>120</v>
      </c>
      <c r="F84">
        <v>0</v>
      </c>
      <c r="G84" s="2">
        <v>15.79</v>
      </c>
      <c r="H84">
        <v>0</v>
      </c>
      <c r="I84">
        <v>1570</v>
      </c>
      <c r="K84" t="s">
        <v>229</v>
      </c>
      <c r="L84">
        <v>7</v>
      </c>
      <c r="M84">
        <v>0</v>
      </c>
      <c r="N84" t="s">
        <v>259</v>
      </c>
      <c r="O84" t="s">
        <v>1227</v>
      </c>
      <c r="P84">
        <v>12</v>
      </c>
      <c r="Q8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2B121259</v>
      </c>
      <c r="R84" t="s">
        <v>644</v>
      </c>
      <c r="S8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85" spans="1:19" x14ac:dyDescent="0.25">
      <c r="A85" t="s">
        <v>1226</v>
      </c>
      <c r="B85">
        <v>202005</v>
      </c>
      <c r="C85" t="s">
        <v>260</v>
      </c>
      <c r="D85" t="s">
        <v>261</v>
      </c>
      <c r="E85">
        <v>50</v>
      </c>
      <c r="F85">
        <v>0</v>
      </c>
      <c r="G85" s="2">
        <v>5.62</v>
      </c>
      <c r="H85">
        <v>0</v>
      </c>
      <c r="I85">
        <v>1570</v>
      </c>
      <c r="K85" t="s">
        <v>229</v>
      </c>
      <c r="L85">
        <v>7</v>
      </c>
      <c r="M85">
        <v>0</v>
      </c>
      <c r="N85" t="s">
        <v>259</v>
      </c>
      <c r="O85" t="s">
        <v>1227</v>
      </c>
      <c r="P85">
        <v>12</v>
      </c>
      <c r="Q8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2B121334</v>
      </c>
      <c r="R85" t="s">
        <v>644</v>
      </c>
      <c r="S8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86" spans="1:19" x14ac:dyDescent="0.25">
      <c r="A86" t="s">
        <v>1226</v>
      </c>
      <c r="B86">
        <v>202005</v>
      </c>
      <c r="C86" t="s">
        <v>56</v>
      </c>
      <c r="D86" t="s">
        <v>246</v>
      </c>
      <c r="E86">
        <v>0</v>
      </c>
      <c r="F86">
        <v>0</v>
      </c>
      <c r="G86" s="2">
        <v>0</v>
      </c>
      <c r="H86">
        <v>0</v>
      </c>
      <c r="K86" t="s">
        <v>229</v>
      </c>
      <c r="L86">
        <v>8</v>
      </c>
      <c r="M86">
        <v>0</v>
      </c>
      <c r="O86" t="s">
        <v>1227</v>
      </c>
      <c r="P86">
        <v>12</v>
      </c>
      <c r="Q8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2B128999</v>
      </c>
      <c r="R86" t="s">
        <v>644</v>
      </c>
      <c r="S8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87" spans="1:19" x14ac:dyDescent="0.25">
      <c r="A87" t="s">
        <v>1230</v>
      </c>
      <c r="B87">
        <v>202005</v>
      </c>
      <c r="C87" t="s">
        <v>62</v>
      </c>
      <c r="D87" t="s">
        <v>63</v>
      </c>
      <c r="E87">
        <v>294.82855999999998</v>
      </c>
      <c r="F87">
        <v>0</v>
      </c>
      <c r="G87" s="2">
        <v>100</v>
      </c>
      <c r="H87">
        <v>0</v>
      </c>
      <c r="I87">
        <v>1570</v>
      </c>
      <c r="K87" t="s">
        <v>229</v>
      </c>
      <c r="L87">
        <v>1</v>
      </c>
      <c r="M87">
        <v>0</v>
      </c>
      <c r="N87" t="s">
        <v>259</v>
      </c>
      <c r="O87" t="s">
        <v>1231</v>
      </c>
      <c r="P87">
        <v>12</v>
      </c>
      <c r="Q8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2B131100</v>
      </c>
      <c r="R87" t="s">
        <v>229</v>
      </c>
      <c r="S8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8" spans="1:19" x14ac:dyDescent="0.25">
      <c r="A88" t="s">
        <v>1230</v>
      </c>
      <c r="B88">
        <v>202005</v>
      </c>
      <c r="C88" t="s">
        <v>93</v>
      </c>
      <c r="D88" t="s">
        <v>94</v>
      </c>
      <c r="E88">
        <v>614.04</v>
      </c>
      <c r="F88">
        <v>0</v>
      </c>
      <c r="G88" s="2">
        <v>38.5</v>
      </c>
      <c r="H88">
        <v>0</v>
      </c>
      <c r="I88">
        <v>1570</v>
      </c>
      <c r="K88" t="s">
        <v>229</v>
      </c>
      <c r="L88">
        <v>6</v>
      </c>
      <c r="M88">
        <v>0</v>
      </c>
      <c r="N88" t="s">
        <v>259</v>
      </c>
      <c r="O88" t="s">
        <v>1231</v>
      </c>
      <c r="P88">
        <v>12</v>
      </c>
      <c r="Q8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2B131130</v>
      </c>
      <c r="R88" t="s">
        <v>229</v>
      </c>
      <c r="S8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9" spans="1:19" x14ac:dyDescent="0.25">
      <c r="A89" t="s">
        <v>1230</v>
      </c>
      <c r="B89">
        <v>202005</v>
      </c>
      <c r="C89" t="s">
        <v>3</v>
      </c>
      <c r="D89" t="s">
        <v>58</v>
      </c>
      <c r="E89">
        <v>275</v>
      </c>
      <c r="F89">
        <v>0</v>
      </c>
      <c r="G89" s="2">
        <v>28.33</v>
      </c>
      <c r="H89">
        <v>0</v>
      </c>
      <c r="I89">
        <v>1570</v>
      </c>
      <c r="K89" t="s">
        <v>229</v>
      </c>
      <c r="L89">
        <v>7</v>
      </c>
      <c r="M89">
        <v>0</v>
      </c>
      <c r="N89" t="s">
        <v>259</v>
      </c>
      <c r="O89" t="s">
        <v>1231</v>
      </c>
      <c r="P89">
        <v>12</v>
      </c>
      <c r="Q8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2B131229</v>
      </c>
      <c r="R89" t="s">
        <v>229</v>
      </c>
      <c r="S8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90" spans="1:19" x14ac:dyDescent="0.25">
      <c r="A90" t="s">
        <v>1230</v>
      </c>
      <c r="B90">
        <v>202005</v>
      </c>
      <c r="C90" t="s">
        <v>5</v>
      </c>
      <c r="D90" t="s">
        <v>59</v>
      </c>
      <c r="E90">
        <v>8.56</v>
      </c>
      <c r="F90">
        <v>0</v>
      </c>
      <c r="G90" s="2">
        <v>9.91</v>
      </c>
      <c r="H90">
        <v>0</v>
      </c>
      <c r="I90">
        <v>1570</v>
      </c>
      <c r="K90" t="s">
        <v>229</v>
      </c>
      <c r="L90">
        <v>7</v>
      </c>
      <c r="M90">
        <v>0</v>
      </c>
      <c r="N90" t="s">
        <v>259</v>
      </c>
      <c r="O90" t="s">
        <v>1231</v>
      </c>
      <c r="P90">
        <v>12</v>
      </c>
      <c r="Q9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2B131231</v>
      </c>
      <c r="R90" t="s">
        <v>229</v>
      </c>
      <c r="S9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91" spans="1:19" x14ac:dyDescent="0.25">
      <c r="A91" t="s">
        <v>1230</v>
      </c>
      <c r="B91">
        <v>202005</v>
      </c>
      <c r="C91" t="s">
        <v>6</v>
      </c>
      <c r="D91" t="s">
        <v>60</v>
      </c>
      <c r="E91">
        <v>50</v>
      </c>
      <c r="F91">
        <v>0</v>
      </c>
      <c r="G91" s="2">
        <v>23.16</v>
      </c>
      <c r="H91">
        <v>0</v>
      </c>
      <c r="I91">
        <v>1570</v>
      </c>
      <c r="K91" t="s">
        <v>229</v>
      </c>
      <c r="L91">
        <v>7</v>
      </c>
      <c r="M91">
        <v>0</v>
      </c>
      <c r="N91" t="s">
        <v>259</v>
      </c>
      <c r="O91" t="s">
        <v>1231</v>
      </c>
      <c r="P91">
        <v>12</v>
      </c>
      <c r="Q9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2B131245</v>
      </c>
      <c r="R91" t="s">
        <v>229</v>
      </c>
      <c r="S9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92" spans="1:19" x14ac:dyDescent="0.25">
      <c r="A92" t="s">
        <v>1230</v>
      </c>
      <c r="B92">
        <v>202005</v>
      </c>
      <c r="C92" t="s">
        <v>56</v>
      </c>
      <c r="D92" t="s">
        <v>246</v>
      </c>
      <c r="E92">
        <v>0</v>
      </c>
      <c r="F92">
        <v>0</v>
      </c>
      <c r="G92" s="2">
        <v>0</v>
      </c>
      <c r="H92">
        <v>0</v>
      </c>
      <c r="K92" t="s">
        <v>229</v>
      </c>
      <c r="L92">
        <v>8</v>
      </c>
      <c r="M92">
        <v>0</v>
      </c>
      <c r="O92" t="s">
        <v>1231</v>
      </c>
      <c r="P92">
        <v>12</v>
      </c>
      <c r="Q9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2B138999</v>
      </c>
      <c r="R92" t="s">
        <v>229</v>
      </c>
      <c r="S9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93" spans="1:19" x14ac:dyDescent="0.25">
      <c r="A93" t="s">
        <v>1232</v>
      </c>
      <c r="B93">
        <v>202005</v>
      </c>
      <c r="C93" t="s">
        <v>62</v>
      </c>
      <c r="D93" t="s">
        <v>63</v>
      </c>
      <c r="E93">
        <v>294.82855999999998</v>
      </c>
      <c r="F93">
        <v>0</v>
      </c>
      <c r="G93" s="2">
        <v>100</v>
      </c>
      <c r="H93">
        <v>0</v>
      </c>
      <c r="I93">
        <v>1570</v>
      </c>
      <c r="K93" t="s">
        <v>229</v>
      </c>
      <c r="L93">
        <v>1</v>
      </c>
      <c r="M93">
        <v>0</v>
      </c>
      <c r="N93" t="s">
        <v>259</v>
      </c>
      <c r="O93" t="s">
        <v>1233</v>
      </c>
      <c r="P93">
        <v>12</v>
      </c>
      <c r="Q9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2B141100</v>
      </c>
      <c r="R93" t="s">
        <v>229</v>
      </c>
      <c r="S9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94" spans="1:19" x14ac:dyDescent="0.25">
      <c r="A94" t="s">
        <v>1232</v>
      </c>
      <c r="B94">
        <v>202005</v>
      </c>
      <c r="C94" t="s">
        <v>72</v>
      </c>
      <c r="D94" t="s">
        <v>251</v>
      </c>
      <c r="E94">
        <v>331.29658000000001</v>
      </c>
      <c r="F94">
        <v>0</v>
      </c>
      <c r="G94" s="2">
        <v>71.45</v>
      </c>
      <c r="H94">
        <v>0</v>
      </c>
      <c r="I94">
        <v>1570</v>
      </c>
      <c r="K94" t="s">
        <v>229</v>
      </c>
      <c r="L94">
        <v>6</v>
      </c>
      <c r="M94">
        <v>0</v>
      </c>
      <c r="N94" t="s">
        <v>259</v>
      </c>
      <c r="O94" t="s">
        <v>1233</v>
      </c>
      <c r="P94">
        <v>12</v>
      </c>
      <c r="Q9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2B141122</v>
      </c>
      <c r="R94" t="s">
        <v>229</v>
      </c>
      <c r="S9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95" spans="1:19" x14ac:dyDescent="0.25">
      <c r="A95" t="s">
        <v>1232</v>
      </c>
      <c r="B95">
        <v>202005</v>
      </c>
      <c r="C95" t="s">
        <v>3</v>
      </c>
      <c r="D95" t="s">
        <v>58</v>
      </c>
      <c r="E95">
        <v>275</v>
      </c>
      <c r="F95">
        <v>0</v>
      </c>
      <c r="G95" s="2">
        <v>1.72</v>
      </c>
      <c r="H95">
        <v>0</v>
      </c>
      <c r="I95">
        <v>1570</v>
      </c>
      <c r="K95" t="s">
        <v>229</v>
      </c>
      <c r="L95">
        <v>7</v>
      </c>
      <c r="M95">
        <v>0</v>
      </c>
      <c r="N95" t="s">
        <v>259</v>
      </c>
      <c r="O95" t="s">
        <v>1233</v>
      </c>
      <c r="P95">
        <v>12</v>
      </c>
      <c r="Q9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2B141229</v>
      </c>
      <c r="R95" t="s">
        <v>229</v>
      </c>
      <c r="S9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96" spans="1:19" x14ac:dyDescent="0.25">
      <c r="A96" t="s">
        <v>1232</v>
      </c>
      <c r="B96">
        <v>202005</v>
      </c>
      <c r="C96" t="s">
        <v>5</v>
      </c>
      <c r="D96" t="s">
        <v>59</v>
      </c>
      <c r="E96">
        <v>8.56</v>
      </c>
      <c r="F96">
        <v>0</v>
      </c>
      <c r="G96" s="2">
        <v>5.6</v>
      </c>
      <c r="H96">
        <v>0</v>
      </c>
      <c r="I96">
        <v>1570</v>
      </c>
      <c r="K96" t="s">
        <v>229</v>
      </c>
      <c r="L96">
        <v>7</v>
      </c>
      <c r="M96">
        <v>0</v>
      </c>
      <c r="N96" t="s">
        <v>259</v>
      </c>
      <c r="O96" t="s">
        <v>1233</v>
      </c>
      <c r="P96">
        <v>12</v>
      </c>
      <c r="Q9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2B141231</v>
      </c>
      <c r="R96" t="s">
        <v>229</v>
      </c>
      <c r="S9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97" spans="1:19" x14ac:dyDescent="0.25">
      <c r="A97" t="s">
        <v>1232</v>
      </c>
      <c r="B97">
        <v>202005</v>
      </c>
      <c r="C97" t="s">
        <v>6</v>
      </c>
      <c r="D97" t="s">
        <v>60</v>
      </c>
      <c r="E97">
        <v>50</v>
      </c>
      <c r="F97">
        <v>0</v>
      </c>
      <c r="G97" s="2">
        <v>14.38</v>
      </c>
      <c r="H97">
        <v>0</v>
      </c>
      <c r="I97">
        <v>1570</v>
      </c>
      <c r="K97" t="s">
        <v>229</v>
      </c>
      <c r="L97">
        <v>7</v>
      </c>
      <c r="M97">
        <v>0</v>
      </c>
      <c r="N97" t="s">
        <v>259</v>
      </c>
      <c r="O97" t="s">
        <v>1233</v>
      </c>
      <c r="P97">
        <v>12</v>
      </c>
      <c r="Q9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2B141245</v>
      </c>
      <c r="R97" t="s">
        <v>229</v>
      </c>
      <c r="S9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98" spans="1:19" x14ac:dyDescent="0.25">
      <c r="A98" t="s">
        <v>1232</v>
      </c>
      <c r="B98">
        <v>202005</v>
      </c>
      <c r="C98" t="s">
        <v>1234</v>
      </c>
      <c r="D98" t="s">
        <v>1235</v>
      </c>
      <c r="E98">
        <v>145</v>
      </c>
      <c r="F98">
        <v>0</v>
      </c>
      <c r="G98" s="2">
        <v>6.35</v>
      </c>
      <c r="H98">
        <v>0</v>
      </c>
      <c r="I98">
        <v>1570</v>
      </c>
      <c r="K98" t="s">
        <v>229</v>
      </c>
      <c r="L98">
        <v>7</v>
      </c>
      <c r="M98">
        <v>0</v>
      </c>
      <c r="N98" t="s">
        <v>259</v>
      </c>
      <c r="O98" t="s">
        <v>1233</v>
      </c>
      <c r="P98">
        <v>12</v>
      </c>
      <c r="Q9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2B141254</v>
      </c>
      <c r="R98" t="s">
        <v>229</v>
      </c>
      <c r="S9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99" spans="1:19" x14ac:dyDescent="0.25">
      <c r="A99" t="s">
        <v>1232</v>
      </c>
      <c r="B99">
        <v>202005</v>
      </c>
      <c r="C99" t="s">
        <v>56</v>
      </c>
      <c r="D99" t="s">
        <v>246</v>
      </c>
      <c r="E99">
        <v>0</v>
      </c>
      <c r="F99">
        <v>0</v>
      </c>
      <c r="G99" s="2">
        <v>0</v>
      </c>
      <c r="H99">
        <v>0</v>
      </c>
      <c r="K99" t="s">
        <v>229</v>
      </c>
      <c r="L99">
        <v>8</v>
      </c>
      <c r="M99">
        <v>0</v>
      </c>
      <c r="O99" t="s">
        <v>1233</v>
      </c>
      <c r="P99">
        <v>12</v>
      </c>
      <c r="Q9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2B148999</v>
      </c>
      <c r="R99" t="s">
        <v>229</v>
      </c>
      <c r="S9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0" spans="1:19" x14ac:dyDescent="0.25">
      <c r="A100" t="s">
        <v>97</v>
      </c>
      <c r="B100">
        <v>202005</v>
      </c>
      <c r="C100" t="s">
        <v>62</v>
      </c>
      <c r="D100" t="s">
        <v>63</v>
      </c>
      <c r="E100">
        <v>294.82855999999998</v>
      </c>
      <c r="F100">
        <v>0</v>
      </c>
      <c r="G100" s="2">
        <v>100</v>
      </c>
      <c r="H100">
        <v>0</v>
      </c>
      <c r="I100">
        <v>1570</v>
      </c>
      <c r="K100" t="s">
        <v>229</v>
      </c>
      <c r="L100">
        <v>1</v>
      </c>
      <c r="M100">
        <v>0</v>
      </c>
      <c r="N100" t="s">
        <v>259</v>
      </c>
      <c r="O100" t="s">
        <v>254</v>
      </c>
      <c r="P100">
        <v>12</v>
      </c>
      <c r="Q10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2B151100</v>
      </c>
      <c r="R100" t="s">
        <v>644</v>
      </c>
      <c r="S10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101" spans="1:19" x14ac:dyDescent="0.25">
      <c r="A101" t="s">
        <v>97</v>
      </c>
      <c r="B101">
        <v>202005</v>
      </c>
      <c r="C101" t="s">
        <v>98</v>
      </c>
      <c r="D101" t="s">
        <v>99</v>
      </c>
      <c r="E101">
        <v>405.23748999999998</v>
      </c>
      <c r="F101">
        <v>0</v>
      </c>
      <c r="G101" s="2">
        <v>59.14</v>
      </c>
      <c r="H101">
        <v>0</v>
      </c>
      <c r="I101">
        <v>1570</v>
      </c>
      <c r="K101" t="s">
        <v>229</v>
      </c>
      <c r="L101">
        <v>6</v>
      </c>
      <c r="M101">
        <v>0</v>
      </c>
      <c r="N101" t="s">
        <v>259</v>
      </c>
      <c r="O101" t="s">
        <v>254</v>
      </c>
      <c r="P101">
        <v>12</v>
      </c>
      <c r="Q10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2B151132</v>
      </c>
      <c r="R101" t="s">
        <v>644</v>
      </c>
      <c r="S10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</row>
    <row r="102" spans="1:19" x14ac:dyDescent="0.25">
      <c r="A102" t="s">
        <v>97</v>
      </c>
      <c r="B102">
        <v>202005</v>
      </c>
      <c r="C102" t="s">
        <v>55</v>
      </c>
      <c r="D102" t="s">
        <v>61</v>
      </c>
      <c r="E102">
        <v>60</v>
      </c>
      <c r="F102">
        <v>0</v>
      </c>
      <c r="G102" s="2">
        <v>0.56000000000000005</v>
      </c>
      <c r="H102">
        <v>0</v>
      </c>
      <c r="I102">
        <v>1570</v>
      </c>
      <c r="K102" t="s">
        <v>229</v>
      </c>
      <c r="L102">
        <v>7</v>
      </c>
      <c r="M102">
        <v>0</v>
      </c>
      <c r="N102" t="s">
        <v>259</v>
      </c>
      <c r="O102" t="s">
        <v>254</v>
      </c>
      <c r="P102">
        <v>12</v>
      </c>
      <c r="Q10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2B151242</v>
      </c>
      <c r="R102" t="s">
        <v>644</v>
      </c>
      <c r="S10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03" spans="1:19" x14ac:dyDescent="0.25">
      <c r="A103" t="s">
        <v>97</v>
      </c>
      <c r="B103">
        <v>202005</v>
      </c>
      <c r="C103" t="s">
        <v>3</v>
      </c>
      <c r="D103" t="s">
        <v>58</v>
      </c>
      <c r="E103">
        <v>275</v>
      </c>
      <c r="F103">
        <v>0</v>
      </c>
      <c r="G103" s="2">
        <v>17.77</v>
      </c>
      <c r="H103">
        <v>0</v>
      </c>
      <c r="I103">
        <v>1570</v>
      </c>
      <c r="K103" t="s">
        <v>229</v>
      </c>
      <c r="L103">
        <v>7</v>
      </c>
      <c r="M103">
        <v>0</v>
      </c>
      <c r="N103" t="s">
        <v>259</v>
      </c>
      <c r="O103" t="s">
        <v>254</v>
      </c>
      <c r="P103">
        <v>12</v>
      </c>
      <c r="Q10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2B151229</v>
      </c>
      <c r="R103" t="s">
        <v>644</v>
      </c>
      <c r="S10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04" spans="1:19" x14ac:dyDescent="0.25">
      <c r="A104" t="s">
        <v>97</v>
      </c>
      <c r="B104">
        <v>202005</v>
      </c>
      <c r="C104" t="s">
        <v>5</v>
      </c>
      <c r="D104" t="s">
        <v>59</v>
      </c>
      <c r="E104">
        <v>8.56</v>
      </c>
      <c r="F104">
        <v>0</v>
      </c>
      <c r="G104" s="2">
        <v>12.18</v>
      </c>
      <c r="H104">
        <v>0</v>
      </c>
      <c r="I104">
        <v>1570</v>
      </c>
      <c r="K104" t="s">
        <v>229</v>
      </c>
      <c r="L104">
        <v>7</v>
      </c>
      <c r="M104">
        <v>0</v>
      </c>
      <c r="N104" t="s">
        <v>259</v>
      </c>
      <c r="O104" t="s">
        <v>254</v>
      </c>
      <c r="P104">
        <v>12</v>
      </c>
      <c r="Q10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2B151231</v>
      </c>
      <c r="R104" t="s">
        <v>644</v>
      </c>
      <c r="S10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05" spans="1:19" x14ac:dyDescent="0.25">
      <c r="A105" t="s">
        <v>97</v>
      </c>
      <c r="B105">
        <v>202005</v>
      </c>
      <c r="C105" t="s">
        <v>6</v>
      </c>
      <c r="D105" t="s">
        <v>60</v>
      </c>
      <c r="E105">
        <v>50</v>
      </c>
      <c r="F105">
        <v>0</v>
      </c>
      <c r="G105" s="2">
        <v>6.5</v>
      </c>
      <c r="H105">
        <v>0</v>
      </c>
      <c r="I105">
        <v>1570</v>
      </c>
      <c r="K105" t="s">
        <v>229</v>
      </c>
      <c r="L105">
        <v>7</v>
      </c>
      <c r="M105">
        <v>0</v>
      </c>
      <c r="N105" t="s">
        <v>259</v>
      </c>
      <c r="O105" t="s">
        <v>254</v>
      </c>
      <c r="P105">
        <v>12</v>
      </c>
      <c r="Q10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2B151245</v>
      </c>
      <c r="R105" t="s">
        <v>644</v>
      </c>
      <c r="S10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06" spans="1:19" x14ac:dyDescent="0.25">
      <c r="A106" t="s">
        <v>97</v>
      </c>
      <c r="B106">
        <v>202005</v>
      </c>
      <c r="C106" t="s">
        <v>260</v>
      </c>
      <c r="D106" t="s">
        <v>261</v>
      </c>
      <c r="E106">
        <v>50</v>
      </c>
      <c r="F106">
        <v>0</v>
      </c>
      <c r="G106" s="2">
        <v>3.35</v>
      </c>
      <c r="H106">
        <v>0</v>
      </c>
      <c r="I106">
        <v>1570</v>
      </c>
      <c r="K106" t="s">
        <v>229</v>
      </c>
      <c r="L106">
        <v>7</v>
      </c>
      <c r="M106">
        <v>0</v>
      </c>
      <c r="N106" t="s">
        <v>259</v>
      </c>
      <c r="O106" t="s">
        <v>254</v>
      </c>
      <c r="P106">
        <v>12</v>
      </c>
      <c r="Q10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2B151334</v>
      </c>
      <c r="R106" t="s">
        <v>644</v>
      </c>
      <c r="S10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07" spans="1:19" x14ac:dyDescent="0.25">
      <c r="A107" t="s">
        <v>97</v>
      </c>
      <c r="B107">
        <v>202005</v>
      </c>
      <c r="C107" t="s">
        <v>56</v>
      </c>
      <c r="D107" t="s">
        <v>246</v>
      </c>
      <c r="E107">
        <v>0</v>
      </c>
      <c r="F107">
        <v>0</v>
      </c>
      <c r="G107" s="2">
        <v>0.51</v>
      </c>
      <c r="H107">
        <v>0</v>
      </c>
      <c r="K107" t="s">
        <v>229</v>
      </c>
      <c r="L107">
        <v>8</v>
      </c>
      <c r="M107">
        <v>0</v>
      </c>
      <c r="O107" t="s">
        <v>254</v>
      </c>
      <c r="P107">
        <v>12</v>
      </c>
      <c r="Q10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2B158999</v>
      </c>
      <c r="R107" t="s">
        <v>644</v>
      </c>
      <c r="S10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108" spans="1:19" x14ac:dyDescent="0.25">
      <c r="A108" t="s">
        <v>1236</v>
      </c>
      <c r="B108">
        <v>202005</v>
      </c>
      <c r="C108" t="s">
        <v>62</v>
      </c>
      <c r="D108" t="s">
        <v>63</v>
      </c>
      <c r="E108">
        <v>294.82855999999998</v>
      </c>
      <c r="F108">
        <v>0</v>
      </c>
      <c r="G108" s="2">
        <v>100</v>
      </c>
      <c r="H108">
        <v>0</v>
      </c>
      <c r="I108">
        <v>1570</v>
      </c>
      <c r="K108" t="s">
        <v>229</v>
      </c>
      <c r="L108">
        <v>1</v>
      </c>
      <c r="M108">
        <v>0</v>
      </c>
      <c r="N108" t="s">
        <v>259</v>
      </c>
      <c r="O108" t="s">
        <v>1237</v>
      </c>
      <c r="P108">
        <v>12</v>
      </c>
      <c r="Q10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2B161100</v>
      </c>
      <c r="R108" t="s">
        <v>229</v>
      </c>
      <c r="S10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9" spans="1:19" x14ac:dyDescent="0.25">
      <c r="A109" t="s">
        <v>1236</v>
      </c>
      <c r="B109">
        <v>202005</v>
      </c>
      <c r="C109" t="s">
        <v>100</v>
      </c>
      <c r="D109" t="s">
        <v>1238</v>
      </c>
      <c r="E109">
        <v>850.39</v>
      </c>
      <c r="F109">
        <v>0</v>
      </c>
      <c r="G109" s="2">
        <v>24.9</v>
      </c>
      <c r="H109">
        <v>0</v>
      </c>
      <c r="I109">
        <v>1570</v>
      </c>
      <c r="K109" t="s">
        <v>229</v>
      </c>
      <c r="L109">
        <v>6</v>
      </c>
      <c r="M109">
        <v>0</v>
      </c>
      <c r="N109" t="s">
        <v>259</v>
      </c>
      <c r="O109" t="s">
        <v>1237</v>
      </c>
      <c r="P109">
        <v>12</v>
      </c>
      <c r="Q10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2B161135</v>
      </c>
      <c r="R109" t="s">
        <v>229</v>
      </c>
      <c r="S10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10" spans="1:19" x14ac:dyDescent="0.25">
      <c r="A110" t="s">
        <v>1236</v>
      </c>
      <c r="B110">
        <v>202005</v>
      </c>
      <c r="C110" t="s">
        <v>3</v>
      </c>
      <c r="D110" t="s">
        <v>58</v>
      </c>
      <c r="E110">
        <v>275</v>
      </c>
      <c r="F110">
        <v>0</v>
      </c>
      <c r="G110" s="2">
        <v>36.299999999999997</v>
      </c>
      <c r="H110">
        <v>0</v>
      </c>
      <c r="I110">
        <v>1570</v>
      </c>
      <c r="K110" t="s">
        <v>229</v>
      </c>
      <c r="L110">
        <v>7</v>
      </c>
      <c r="M110">
        <v>0</v>
      </c>
      <c r="N110" t="s">
        <v>259</v>
      </c>
      <c r="O110" t="s">
        <v>1237</v>
      </c>
      <c r="P110">
        <v>12</v>
      </c>
      <c r="Q11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2B161229</v>
      </c>
      <c r="R110" t="s">
        <v>229</v>
      </c>
      <c r="S11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11" spans="1:19" x14ac:dyDescent="0.25">
      <c r="A111" t="s">
        <v>1236</v>
      </c>
      <c r="B111">
        <v>202005</v>
      </c>
      <c r="C111" t="s">
        <v>5</v>
      </c>
      <c r="D111" t="s">
        <v>59</v>
      </c>
      <c r="E111">
        <v>8.56</v>
      </c>
      <c r="F111">
        <v>0</v>
      </c>
      <c r="G111" s="2">
        <v>10.15</v>
      </c>
      <c r="H111">
        <v>0</v>
      </c>
      <c r="I111">
        <v>1570</v>
      </c>
      <c r="K111" t="s">
        <v>229</v>
      </c>
      <c r="L111">
        <v>7</v>
      </c>
      <c r="M111">
        <v>0</v>
      </c>
      <c r="N111" t="s">
        <v>259</v>
      </c>
      <c r="O111" t="s">
        <v>1237</v>
      </c>
      <c r="P111">
        <v>12</v>
      </c>
      <c r="Q11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2B161231</v>
      </c>
      <c r="R111" t="s">
        <v>229</v>
      </c>
      <c r="S11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12" spans="1:19" x14ac:dyDescent="0.25">
      <c r="A112" t="s">
        <v>1236</v>
      </c>
      <c r="B112">
        <v>202005</v>
      </c>
      <c r="C112" t="s">
        <v>6</v>
      </c>
      <c r="D112" t="s">
        <v>60</v>
      </c>
      <c r="E112">
        <v>50</v>
      </c>
      <c r="F112">
        <v>0</v>
      </c>
      <c r="G112" s="2">
        <v>28.6</v>
      </c>
      <c r="H112">
        <v>0</v>
      </c>
      <c r="I112">
        <v>1570</v>
      </c>
      <c r="K112" t="s">
        <v>229</v>
      </c>
      <c r="L112">
        <v>7</v>
      </c>
      <c r="M112">
        <v>0</v>
      </c>
      <c r="N112" t="s">
        <v>259</v>
      </c>
      <c r="O112" t="s">
        <v>1237</v>
      </c>
      <c r="P112">
        <v>12</v>
      </c>
      <c r="Q11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2B161245</v>
      </c>
      <c r="R112" t="s">
        <v>229</v>
      </c>
      <c r="S11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13" spans="1:19" x14ac:dyDescent="0.25">
      <c r="A113" t="s">
        <v>1236</v>
      </c>
      <c r="B113">
        <v>202005</v>
      </c>
      <c r="C113" t="s">
        <v>56</v>
      </c>
      <c r="D113" t="s">
        <v>246</v>
      </c>
      <c r="E113">
        <v>0</v>
      </c>
      <c r="F113">
        <v>0</v>
      </c>
      <c r="G113" s="2">
        <v>0</v>
      </c>
      <c r="H113">
        <v>0</v>
      </c>
      <c r="K113" t="s">
        <v>229</v>
      </c>
      <c r="L113">
        <v>8</v>
      </c>
      <c r="M113">
        <v>0</v>
      </c>
      <c r="O113" t="s">
        <v>1237</v>
      </c>
      <c r="P113">
        <v>12</v>
      </c>
      <c r="Q11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2B168999</v>
      </c>
      <c r="R113" t="s">
        <v>229</v>
      </c>
      <c r="S11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14" spans="1:19" x14ac:dyDescent="0.25">
      <c r="A114" t="s">
        <v>84</v>
      </c>
      <c r="B114">
        <v>202005</v>
      </c>
      <c r="C114" t="s">
        <v>62</v>
      </c>
      <c r="D114" t="s">
        <v>63</v>
      </c>
      <c r="E114">
        <v>294.82855999999998</v>
      </c>
      <c r="F114">
        <v>0</v>
      </c>
      <c r="G114" s="2">
        <v>100</v>
      </c>
      <c r="H114">
        <v>0</v>
      </c>
      <c r="I114">
        <v>1570</v>
      </c>
      <c r="K114" t="s">
        <v>229</v>
      </c>
      <c r="L114">
        <v>1</v>
      </c>
      <c r="M114">
        <v>0</v>
      </c>
      <c r="N114" t="s">
        <v>259</v>
      </c>
      <c r="O114" t="s">
        <v>255</v>
      </c>
      <c r="P114">
        <v>12</v>
      </c>
      <c r="Q11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2B171100</v>
      </c>
      <c r="R114" t="s">
        <v>229</v>
      </c>
      <c r="S11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15" spans="1:19" x14ac:dyDescent="0.25">
      <c r="A115" t="s">
        <v>84</v>
      </c>
      <c r="B115">
        <v>202005</v>
      </c>
      <c r="C115" t="s">
        <v>83</v>
      </c>
      <c r="D115" t="s">
        <v>247</v>
      </c>
      <c r="E115">
        <v>469.43695000000002</v>
      </c>
      <c r="F115">
        <v>0</v>
      </c>
      <c r="G115" s="2">
        <v>28.5</v>
      </c>
      <c r="H115">
        <v>0</v>
      </c>
      <c r="I115">
        <v>1570</v>
      </c>
      <c r="K115" t="s">
        <v>229</v>
      </c>
      <c r="L115">
        <v>6</v>
      </c>
      <c r="M115">
        <v>0</v>
      </c>
      <c r="N115" t="s">
        <v>259</v>
      </c>
      <c r="O115" t="s">
        <v>255</v>
      </c>
      <c r="P115">
        <v>12</v>
      </c>
      <c r="Q11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2B171126</v>
      </c>
      <c r="R115" t="s">
        <v>229</v>
      </c>
      <c r="S11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16" spans="1:19" x14ac:dyDescent="0.25">
      <c r="A116" t="s">
        <v>84</v>
      </c>
      <c r="B116">
        <v>202005</v>
      </c>
      <c r="C116" t="s">
        <v>3</v>
      </c>
      <c r="D116" t="s">
        <v>58</v>
      </c>
      <c r="E116">
        <v>275</v>
      </c>
      <c r="F116">
        <v>0</v>
      </c>
      <c r="G116" s="2">
        <v>42.5</v>
      </c>
      <c r="H116">
        <v>0</v>
      </c>
      <c r="I116">
        <v>1570</v>
      </c>
      <c r="K116" t="s">
        <v>229</v>
      </c>
      <c r="L116">
        <v>7</v>
      </c>
      <c r="M116">
        <v>0</v>
      </c>
      <c r="N116" t="s">
        <v>259</v>
      </c>
      <c r="O116" t="s">
        <v>255</v>
      </c>
      <c r="P116">
        <v>12</v>
      </c>
      <c r="Q11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2B171229</v>
      </c>
      <c r="R116" t="s">
        <v>229</v>
      </c>
      <c r="S11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17" spans="1:19" x14ac:dyDescent="0.25">
      <c r="A117" t="s">
        <v>84</v>
      </c>
      <c r="B117">
        <v>202005</v>
      </c>
      <c r="C117" t="s">
        <v>5</v>
      </c>
      <c r="D117" t="s">
        <v>59</v>
      </c>
      <c r="E117">
        <v>8.56</v>
      </c>
      <c r="F117">
        <v>0</v>
      </c>
      <c r="G117" s="2">
        <v>12.3</v>
      </c>
      <c r="H117">
        <v>0</v>
      </c>
      <c r="I117">
        <v>1570</v>
      </c>
      <c r="K117" t="s">
        <v>229</v>
      </c>
      <c r="L117">
        <v>7</v>
      </c>
      <c r="M117">
        <v>0</v>
      </c>
      <c r="N117" t="s">
        <v>259</v>
      </c>
      <c r="O117" t="s">
        <v>255</v>
      </c>
      <c r="P117">
        <v>12</v>
      </c>
      <c r="Q11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2B171231</v>
      </c>
      <c r="R117" t="s">
        <v>229</v>
      </c>
      <c r="S11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18" spans="1:19" x14ac:dyDescent="0.25">
      <c r="A118" t="s">
        <v>84</v>
      </c>
      <c r="B118">
        <v>202005</v>
      </c>
      <c r="C118" t="s">
        <v>6</v>
      </c>
      <c r="D118" t="s">
        <v>60</v>
      </c>
      <c r="E118">
        <v>50</v>
      </c>
      <c r="F118">
        <v>0</v>
      </c>
      <c r="G118" s="2">
        <v>16.5</v>
      </c>
      <c r="H118">
        <v>0</v>
      </c>
      <c r="I118">
        <v>1570</v>
      </c>
      <c r="K118" t="s">
        <v>229</v>
      </c>
      <c r="L118">
        <v>7</v>
      </c>
      <c r="M118">
        <v>0</v>
      </c>
      <c r="N118" t="s">
        <v>259</v>
      </c>
      <c r="O118" t="s">
        <v>255</v>
      </c>
      <c r="P118">
        <v>12</v>
      </c>
      <c r="Q11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2B171245</v>
      </c>
      <c r="R118" t="s">
        <v>229</v>
      </c>
      <c r="S11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19" spans="1:19" x14ac:dyDescent="0.25">
      <c r="A119" t="s">
        <v>84</v>
      </c>
      <c r="B119">
        <v>202005</v>
      </c>
      <c r="C119" t="s">
        <v>56</v>
      </c>
      <c r="D119" t="s">
        <v>246</v>
      </c>
      <c r="E119">
        <v>0</v>
      </c>
      <c r="F119">
        <v>0</v>
      </c>
      <c r="G119" s="2">
        <v>0</v>
      </c>
      <c r="H119">
        <v>0</v>
      </c>
      <c r="K119" t="s">
        <v>229</v>
      </c>
      <c r="L119">
        <v>8</v>
      </c>
      <c r="M119">
        <v>0</v>
      </c>
      <c r="O119" t="s">
        <v>255</v>
      </c>
      <c r="P119">
        <v>12</v>
      </c>
      <c r="Q11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2B178999</v>
      </c>
      <c r="R119" t="s">
        <v>229</v>
      </c>
      <c r="S11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20" spans="1:19" x14ac:dyDescent="0.25">
      <c r="A120" t="s">
        <v>1239</v>
      </c>
      <c r="B120">
        <v>202005</v>
      </c>
      <c r="C120" t="s">
        <v>62</v>
      </c>
      <c r="D120" t="s">
        <v>63</v>
      </c>
      <c r="E120">
        <v>294.82855999999998</v>
      </c>
      <c r="F120">
        <v>0</v>
      </c>
      <c r="G120" s="2">
        <v>100</v>
      </c>
      <c r="H120">
        <v>0</v>
      </c>
      <c r="I120">
        <v>1570</v>
      </c>
      <c r="K120" t="s">
        <v>229</v>
      </c>
      <c r="L120">
        <v>1</v>
      </c>
      <c r="M120">
        <v>0</v>
      </c>
      <c r="N120" t="s">
        <v>259</v>
      </c>
      <c r="O120" t="s">
        <v>1240</v>
      </c>
      <c r="P120">
        <v>12</v>
      </c>
      <c r="Q12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2B181100</v>
      </c>
      <c r="R120" t="s">
        <v>644</v>
      </c>
      <c r="S12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121" spans="1:19" x14ac:dyDescent="0.25">
      <c r="A121" t="s">
        <v>1239</v>
      </c>
      <c r="B121">
        <v>202005</v>
      </c>
      <c r="C121" t="s">
        <v>1241</v>
      </c>
      <c r="D121" t="s">
        <v>1242</v>
      </c>
      <c r="E121">
        <v>437.66102000000001</v>
      </c>
      <c r="F121">
        <v>0</v>
      </c>
      <c r="G121" s="2">
        <v>47.36</v>
      </c>
      <c r="H121">
        <v>0</v>
      </c>
      <c r="I121">
        <v>1570</v>
      </c>
      <c r="K121" t="s">
        <v>229</v>
      </c>
      <c r="L121">
        <v>6</v>
      </c>
      <c r="M121">
        <v>0</v>
      </c>
      <c r="N121" t="s">
        <v>259</v>
      </c>
      <c r="O121" t="s">
        <v>1240</v>
      </c>
      <c r="P121">
        <v>12</v>
      </c>
      <c r="Q12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2B181137</v>
      </c>
      <c r="R121" t="s">
        <v>644</v>
      </c>
      <c r="S12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</row>
    <row r="122" spans="1:19" x14ac:dyDescent="0.25">
      <c r="A122" t="s">
        <v>1239</v>
      </c>
      <c r="B122">
        <v>202005</v>
      </c>
      <c r="C122" t="s">
        <v>55</v>
      </c>
      <c r="D122" t="s">
        <v>61</v>
      </c>
      <c r="E122">
        <v>60</v>
      </c>
      <c r="F122">
        <v>0</v>
      </c>
      <c r="G122" s="2">
        <v>0.56000000000000005</v>
      </c>
      <c r="H122">
        <v>0</v>
      </c>
      <c r="I122">
        <v>1570</v>
      </c>
      <c r="K122" t="s">
        <v>229</v>
      </c>
      <c r="L122">
        <v>7</v>
      </c>
      <c r="M122">
        <v>0</v>
      </c>
      <c r="N122" t="s">
        <v>259</v>
      </c>
      <c r="O122" t="s">
        <v>1240</v>
      </c>
      <c r="P122">
        <v>12</v>
      </c>
      <c r="Q12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2B181242</v>
      </c>
      <c r="R122" t="s">
        <v>644</v>
      </c>
      <c r="S12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23" spans="1:19" x14ac:dyDescent="0.25">
      <c r="A123" t="s">
        <v>1239</v>
      </c>
      <c r="B123">
        <v>202005</v>
      </c>
      <c r="C123" t="s">
        <v>3</v>
      </c>
      <c r="D123" t="s">
        <v>58</v>
      </c>
      <c r="E123">
        <v>275</v>
      </c>
      <c r="F123">
        <v>0</v>
      </c>
      <c r="G123" s="2">
        <v>29.17</v>
      </c>
      <c r="H123">
        <v>0</v>
      </c>
      <c r="I123">
        <v>1570</v>
      </c>
      <c r="K123" t="s">
        <v>229</v>
      </c>
      <c r="L123">
        <v>7</v>
      </c>
      <c r="M123">
        <v>0</v>
      </c>
      <c r="N123" t="s">
        <v>259</v>
      </c>
      <c r="O123" t="s">
        <v>1240</v>
      </c>
      <c r="P123">
        <v>12</v>
      </c>
      <c r="Q12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2B181229</v>
      </c>
      <c r="R123" t="s">
        <v>644</v>
      </c>
      <c r="S12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24" spans="1:19" x14ac:dyDescent="0.25">
      <c r="A124" t="s">
        <v>1239</v>
      </c>
      <c r="B124">
        <v>202005</v>
      </c>
      <c r="C124" t="s">
        <v>5</v>
      </c>
      <c r="D124" t="s">
        <v>59</v>
      </c>
      <c r="E124">
        <v>8.56</v>
      </c>
      <c r="F124">
        <v>0</v>
      </c>
      <c r="G124" s="2">
        <v>10.5</v>
      </c>
      <c r="H124">
        <v>0</v>
      </c>
      <c r="I124">
        <v>1570</v>
      </c>
      <c r="K124" t="s">
        <v>229</v>
      </c>
      <c r="L124">
        <v>7</v>
      </c>
      <c r="M124">
        <v>0</v>
      </c>
      <c r="N124" t="s">
        <v>259</v>
      </c>
      <c r="O124" t="s">
        <v>1240</v>
      </c>
      <c r="P124">
        <v>12</v>
      </c>
      <c r="Q12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2B181231</v>
      </c>
      <c r="R124" t="s">
        <v>644</v>
      </c>
      <c r="S12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25" spans="1:19" x14ac:dyDescent="0.25">
      <c r="A125" t="s">
        <v>1239</v>
      </c>
      <c r="B125">
        <v>202005</v>
      </c>
      <c r="C125" t="s">
        <v>6</v>
      </c>
      <c r="D125" t="s">
        <v>60</v>
      </c>
      <c r="E125">
        <v>50</v>
      </c>
      <c r="F125">
        <v>0</v>
      </c>
      <c r="G125" s="2">
        <v>9.32</v>
      </c>
      <c r="H125">
        <v>0</v>
      </c>
      <c r="I125">
        <v>1570</v>
      </c>
      <c r="K125" t="s">
        <v>229</v>
      </c>
      <c r="L125">
        <v>7</v>
      </c>
      <c r="M125">
        <v>0</v>
      </c>
      <c r="N125" t="s">
        <v>259</v>
      </c>
      <c r="O125" t="s">
        <v>1240</v>
      </c>
      <c r="P125">
        <v>12</v>
      </c>
      <c r="Q12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2B181245</v>
      </c>
      <c r="R125" t="s">
        <v>644</v>
      </c>
      <c r="S12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26" spans="1:19" x14ac:dyDescent="0.25">
      <c r="A126" t="s">
        <v>1239</v>
      </c>
      <c r="B126">
        <v>202005</v>
      </c>
      <c r="C126" t="s">
        <v>260</v>
      </c>
      <c r="D126" t="s">
        <v>261</v>
      </c>
      <c r="E126">
        <v>50</v>
      </c>
      <c r="F126">
        <v>0</v>
      </c>
      <c r="G126" s="2">
        <v>2.88</v>
      </c>
      <c r="H126">
        <v>0</v>
      </c>
      <c r="I126">
        <v>1570</v>
      </c>
      <c r="K126" t="s">
        <v>229</v>
      </c>
      <c r="L126">
        <v>7</v>
      </c>
      <c r="M126">
        <v>0</v>
      </c>
      <c r="N126" t="s">
        <v>259</v>
      </c>
      <c r="O126" t="s">
        <v>1240</v>
      </c>
      <c r="P126">
        <v>12</v>
      </c>
      <c r="Q12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2B181334</v>
      </c>
      <c r="R126" t="s">
        <v>644</v>
      </c>
      <c r="S12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27" spans="1:19" x14ac:dyDescent="0.25">
      <c r="A127" t="s">
        <v>1239</v>
      </c>
      <c r="B127">
        <v>202005</v>
      </c>
      <c r="C127" t="s">
        <v>56</v>
      </c>
      <c r="D127" t="s">
        <v>246</v>
      </c>
      <c r="E127">
        <v>0</v>
      </c>
      <c r="F127">
        <v>0</v>
      </c>
      <c r="G127" s="2">
        <v>0</v>
      </c>
      <c r="H127">
        <v>0</v>
      </c>
      <c r="K127" t="s">
        <v>229</v>
      </c>
      <c r="L127">
        <v>8</v>
      </c>
      <c r="M127">
        <v>0</v>
      </c>
      <c r="O127" t="s">
        <v>1240</v>
      </c>
      <c r="P127">
        <v>12</v>
      </c>
      <c r="Q12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2B188999</v>
      </c>
      <c r="R127" t="s">
        <v>644</v>
      </c>
      <c r="S12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128" spans="1:19" x14ac:dyDescent="0.25">
      <c r="A128" t="s">
        <v>1243</v>
      </c>
      <c r="B128">
        <v>202005</v>
      </c>
      <c r="C128" t="s">
        <v>62</v>
      </c>
      <c r="D128" t="s">
        <v>63</v>
      </c>
      <c r="E128">
        <v>294.82855999999998</v>
      </c>
      <c r="F128">
        <v>0</v>
      </c>
      <c r="G128" s="2">
        <v>100</v>
      </c>
      <c r="H128">
        <v>0</v>
      </c>
      <c r="I128">
        <v>1570</v>
      </c>
      <c r="K128" t="s">
        <v>229</v>
      </c>
      <c r="L128">
        <v>1</v>
      </c>
      <c r="M128">
        <v>0</v>
      </c>
      <c r="N128" t="s">
        <v>259</v>
      </c>
      <c r="O128" t="s">
        <v>1244</v>
      </c>
      <c r="P128">
        <v>12</v>
      </c>
      <c r="Q12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2B191100</v>
      </c>
      <c r="R128" t="s">
        <v>229</v>
      </c>
      <c r="S12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29" spans="1:19" x14ac:dyDescent="0.25">
      <c r="A129" t="s">
        <v>1243</v>
      </c>
      <c r="B129">
        <v>202005</v>
      </c>
      <c r="C129" t="s">
        <v>83</v>
      </c>
      <c r="D129" t="s">
        <v>247</v>
      </c>
      <c r="E129">
        <v>469.43695000000002</v>
      </c>
      <c r="F129">
        <v>0</v>
      </c>
      <c r="G129" s="2">
        <v>62.53</v>
      </c>
      <c r="H129">
        <v>0</v>
      </c>
      <c r="I129">
        <v>1570</v>
      </c>
      <c r="K129" t="s">
        <v>229</v>
      </c>
      <c r="L129">
        <v>6</v>
      </c>
      <c r="M129">
        <v>0</v>
      </c>
      <c r="N129" t="s">
        <v>259</v>
      </c>
      <c r="O129" t="s">
        <v>1244</v>
      </c>
      <c r="P129">
        <v>12</v>
      </c>
      <c r="Q12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2B191126</v>
      </c>
      <c r="R129" t="s">
        <v>229</v>
      </c>
      <c r="S12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30" spans="1:19" x14ac:dyDescent="0.25">
      <c r="A130" t="s">
        <v>1243</v>
      </c>
      <c r="B130">
        <v>202005</v>
      </c>
      <c r="C130" t="s">
        <v>3</v>
      </c>
      <c r="D130" t="s">
        <v>58</v>
      </c>
      <c r="E130">
        <v>275</v>
      </c>
      <c r="F130">
        <v>0</v>
      </c>
      <c r="G130" s="2">
        <v>0.01</v>
      </c>
      <c r="H130">
        <v>0</v>
      </c>
      <c r="I130">
        <v>1570</v>
      </c>
      <c r="K130" t="s">
        <v>229</v>
      </c>
      <c r="L130">
        <v>7</v>
      </c>
      <c r="M130">
        <v>0</v>
      </c>
      <c r="N130" t="s">
        <v>259</v>
      </c>
      <c r="O130" t="s">
        <v>1244</v>
      </c>
      <c r="P130">
        <v>12</v>
      </c>
      <c r="Q13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2B191229</v>
      </c>
      <c r="R130" t="s">
        <v>229</v>
      </c>
      <c r="S13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31" spans="1:19" x14ac:dyDescent="0.25">
      <c r="A131" t="s">
        <v>1243</v>
      </c>
      <c r="B131">
        <v>202005</v>
      </c>
      <c r="C131" t="s">
        <v>5</v>
      </c>
      <c r="D131" t="s">
        <v>59</v>
      </c>
      <c r="E131">
        <v>8.56</v>
      </c>
      <c r="F131">
        <v>0</v>
      </c>
      <c r="G131" s="2">
        <v>10.33</v>
      </c>
      <c r="H131">
        <v>0</v>
      </c>
      <c r="I131">
        <v>1570</v>
      </c>
      <c r="K131" t="s">
        <v>229</v>
      </c>
      <c r="L131">
        <v>7</v>
      </c>
      <c r="M131">
        <v>0</v>
      </c>
      <c r="N131" t="s">
        <v>259</v>
      </c>
      <c r="O131" t="s">
        <v>1244</v>
      </c>
      <c r="P131">
        <v>12</v>
      </c>
      <c r="Q13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2B191231</v>
      </c>
      <c r="R131" t="s">
        <v>229</v>
      </c>
      <c r="S13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32" spans="1:19" x14ac:dyDescent="0.25">
      <c r="A132" t="s">
        <v>1243</v>
      </c>
      <c r="B132">
        <v>202005</v>
      </c>
      <c r="C132" t="s">
        <v>6</v>
      </c>
      <c r="D132" t="s">
        <v>60</v>
      </c>
      <c r="E132">
        <v>50</v>
      </c>
      <c r="F132">
        <v>0</v>
      </c>
      <c r="G132" s="2">
        <v>13.33</v>
      </c>
      <c r="H132">
        <v>0</v>
      </c>
      <c r="I132">
        <v>1570</v>
      </c>
      <c r="K132" t="s">
        <v>229</v>
      </c>
      <c r="L132">
        <v>7</v>
      </c>
      <c r="M132">
        <v>0</v>
      </c>
      <c r="N132" t="s">
        <v>259</v>
      </c>
      <c r="O132" t="s">
        <v>1244</v>
      </c>
      <c r="P132">
        <v>12</v>
      </c>
      <c r="Q13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2B191245</v>
      </c>
      <c r="R132" t="s">
        <v>229</v>
      </c>
      <c r="S13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33" spans="1:19" x14ac:dyDescent="0.25">
      <c r="A133" t="s">
        <v>1243</v>
      </c>
      <c r="B133">
        <v>202005</v>
      </c>
      <c r="C133" t="s">
        <v>1245</v>
      </c>
      <c r="D133" t="s">
        <v>1246</v>
      </c>
      <c r="E133">
        <v>67</v>
      </c>
      <c r="F133">
        <v>0</v>
      </c>
      <c r="G133" s="2">
        <v>11.7</v>
      </c>
      <c r="H133">
        <v>0</v>
      </c>
      <c r="I133">
        <v>1570</v>
      </c>
      <c r="K133" t="s">
        <v>229</v>
      </c>
      <c r="L133">
        <v>7</v>
      </c>
      <c r="M133">
        <v>0</v>
      </c>
      <c r="N133" t="s">
        <v>259</v>
      </c>
      <c r="O133" t="s">
        <v>1244</v>
      </c>
      <c r="P133">
        <v>12</v>
      </c>
      <c r="Q13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2B191289</v>
      </c>
      <c r="R133" t="s">
        <v>229</v>
      </c>
      <c r="S13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34" spans="1:19" x14ac:dyDescent="0.25">
      <c r="A134" t="s">
        <v>1243</v>
      </c>
      <c r="B134">
        <v>202005</v>
      </c>
      <c r="C134" t="s">
        <v>56</v>
      </c>
      <c r="D134" t="s">
        <v>246</v>
      </c>
      <c r="E134">
        <v>0</v>
      </c>
      <c r="F134">
        <v>0</v>
      </c>
      <c r="G134" s="2">
        <v>0</v>
      </c>
      <c r="H134">
        <v>0</v>
      </c>
      <c r="K134" t="s">
        <v>229</v>
      </c>
      <c r="L134">
        <v>8</v>
      </c>
      <c r="M134">
        <v>0</v>
      </c>
      <c r="O134" t="s">
        <v>1244</v>
      </c>
      <c r="P134">
        <v>12</v>
      </c>
      <c r="Q13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2B198999</v>
      </c>
      <c r="R134" t="s">
        <v>229</v>
      </c>
      <c r="S13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35" spans="1:19" x14ac:dyDescent="0.25">
      <c r="A135" t="s">
        <v>1247</v>
      </c>
      <c r="B135">
        <v>202005</v>
      </c>
      <c r="C135" t="s">
        <v>62</v>
      </c>
      <c r="D135" t="s">
        <v>63</v>
      </c>
      <c r="E135">
        <v>294.82855999999998</v>
      </c>
      <c r="F135">
        <v>0</v>
      </c>
      <c r="G135" s="2">
        <v>100</v>
      </c>
      <c r="H135">
        <v>0</v>
      </c>
      <c r="I135">
        <v>1570</v>
      </c>
      <c r="K135" t="s">
        <v>229</v>
      </c>
      <c r="L135">
        <v>1</v>
      </c>
      <c r="M135">
        <v>0</v>
      </c>
      <c r="N135" t="s">
        <v>259</v>
      </c>
      <c r="O135" t="s">
        <v>1248</v>
      </c>
      <c r="P135">
        <v>12</v>
      </c>
      <c r="Q13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2B201100</v>
      </c>
      <c r="R135" t="s">
        <v>229</v>
      </c>
      <c r="S13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36" spans="1:19" x14ac:dyDescent="0.25">
      <c r="A136" t="s">
        <v>1247</v>
      </c>
      <c r="B136">
        <v>202005</v>
      </c>
      <c r="C136" t="s">
        <v>89</v>
      </c>
      <c r="D136" t="s">
        <v>90</v>
      </c>
      <c r="E136">
        <v>405.23748999999998</v>
      </c>
      <c r="F136">
        <v>0</v>
      </c>
      <c r="G136" s="2">
        <v>61.1</v>
      </c>
      <c r="H136">
        <v>0</v>
      </c>
      <c r="I136">
        <v>1570</v>
      </c>
      <c r="K136" t="s">
        <v>229</v>
      </c>
      <c r="L136">
        <v>6</v>
      </c>
      <c r="M136">
        <v>0</v>
      </c>
      <c r="N136" t="s">
        <v>259</v>
      </c>
      <c r="O136" t="s">
        <v>1248</v>
      </c>
      <c r="P136">
        <v>12</v>
      </c>
      <c r="Q13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2B201128</v>
      </c>
      <c r="R136" t="s">
        <v>229</v>
      </c>
      <c r="S13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37" spans="1:19" x14ac:dyDescent="0.25">
      <c r="A137" t="s">
        <v>1247</v>
      </c>
      <c r="B137">
        <v>202005</v>
      </c>
      <c r="C137" t="s">
        <v>3</v>
      </c>
      <c r="D137" t="s">
        <v>58</v>
      </c>
      <c r="E137">
        <v>275</v>
      </c>
      <c r="F137">
        <v>0</v>
      </c>
      <c r="G137" s="2">
        <v>11.9</v>
      </c>
      <c r="H137">
        <v>0</v>
      </c>
      <c r="I137">
        <v>1570</v>
      </c>
      <c r="K137" t="s">
        <v>229</v>
      </c>
      <c r="L137">
        <v>7</v>
      </c>
      <c r="M137">
        <v>0</v>
      </c>
      <c r="N137" t="s">
        <v>259</v>
      </c>
      <c r="O137" t="s">
        <v>1248</v>
      </c>
      <c r="P137">
        <v>12</v>
      </c>
      <c r="Q13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2B201229</v>
      </c>
      <c r="R137" t="s">
        <v>229</v>
      </c>
      <c r="S13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38" spans="1:19" x14ac:dyDescent="0.25">
      <c r="A138" t="s">
        <v>1247</v>
      </c>
      <c r="B138">
        <v>202005</v>
      </c>
      <c r="C138" t="s">
        <v>5</v>
      </c>
      <c r="D138" t="s">
        <v>59</v>
      </c>
      <c r="E138">
        <v>8.56</v>
      </c>
      <c r="F138">
        <v>0</v>
      </c>
      <c r="G138" s="2">
        <v>26.5</v>
      </c>
      <c r="H138">
        <v>0</v>
      </c>
      <c r="I138">
        <v>1570</v>
      </c>
      <c r="K138" t="s">
        <v>229</v>
      </c>
      <c r="L138">
        <v>7</v>
      </c>
      <c r="M138">
        <v>0</v>
      </c>
      <c r="N138" t="s">
        <v>259</v>
      </c>
      <c r="O138" t="s">
        <v>1248</v>
      </c>
      <c r="P138">
        <v>12</v>
      </c>
      <c r="Q13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2B201231</v>
      </c>
      <c r="R138" t="s">
        <v>229</v>
      </c>
      <c r="S13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39" spans="1:19" x14ac:dyDescent="0.25">
      <c r="A139" t="s">
        <v>1247</v>
      </c>
      <c r="B139">
        <v>202005</v>
      </c>
      <c r="C139" t="s">
        <v>56</v>
      </c>
      <c r="D139" t="s">
        <v>246</v>
      </c>
      <c r="E139">
        <v>0</v>
      </c>
      <c r="F139">
        <v>0</v>
      </c>
      <c r="G139" s="2">
        <v>0</v>
      </c>
      <c r="H139">
        <v>0</v>
      </c>
      <c r="K139" t="s">
        <v>229</v>
      </c>
      <c r="L139">
        <v>8</v>
      </c>
      <c r="M139">
        <v>0</v>
      </c>
      <c r="O139" t="s">
        <v>1248</v>
      </c>
      <c r="P139">
        <v>12</v>
      </c>
      <c r="Q13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2B208999</v>
      </c>
      <c r="R139" t="s">
        <v>229</v>
      </c>
      <c r="S13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40" spans="1:19" x14ac:dyDescent="0.25">
      <c r="A140" t="s">
        <v>1249</v>
      </c>
      <c r="B140">
        <v>202005</v>
      </c>
      <c r="C140" t="s">
        <v>98</v>
      </c>
      <c r="D140" t="s">
        <v>99</v>
      </c>
      <c r="E140">
        <v>405.23748999999998</v>
      </c>
      <c r="F140">
        <v>0</v>
      </c>
      <c r="G140" s="2">
        <v>100</v>
      </c>
      <c r="H140">
        <v>0</v>
      </c>
      <c r="I140">
        <v>1570</v>
      </c>
      <c r="K140" t="s">
        <v>229</v>
      </c>
      <c r="L140">
        <v>1</v>
      </c>
      <c r="M140">
        <v>0</v>
      </c>
      <c r="N140" t="s">
        <v>259</v>
      </c>
      <c r="O140" t="s">
        <v>1250</v>
      </c>
      <c r="P140">
        <v>13</v>
      </c>
      <c r="Q14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2B211132</v>
      </c>
      <c r="R140" t="s">
        <v>229</v>
      </c>
      <c r="S14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41" spans="1:19" x14ac:dyDescent="0.25">
      <c r="A141" t="s">
        <v>1249</v>
      </c>
      <c r="B141">
        <v>202005</v>
      </c>
      <c r="C141" t="s">
        <v>93</v>
      </c>
      <c r="D141" t="s">
        <v>94</v>
      </c>
      <c r="E141">
        <v>614.04</v>
      </c>
      <c r="F141">
        <v>0</v>
      </c>
      <c r="G141" s="2">
        <v>80.900000000000006</v>
      </c>
      <c r="H141">
        <v>0</v>
      </c>
      <c r="I141">
        <v>1570</v>
      </c>
      <c r="K141" t="s">
        <v>229</v>
      </c>
      <c r="L141">
        <v>6</v>
      </c>
      <c r="M141">
        <v>0</v>
      </c>
      <c r="N141" t="s">
        <v>259</v>
      </c>
      <c r="O141" t="s">
        <v>1250</v>
      </c>
      <c r="P141">
        <v>13</v>
      </c>
      <c r="Q14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2B211130</v>
      </c>
      <c r="R141" t="s">
        <v>229</v>
      </c>
      <c r="S14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42" spans="1:19" x14ac:dyDescent="0.25">
      <c r="A142" t="s">
        <v>1249</v>
      </c>
      <c r="B142">
        <v>202005</v>
      </c>
      <c r="C142" t="s">
        <v>6</v>
      </c>
      <c r="D142" t="s">
        <v>60</v>
      </c>
      <c r="E142">
        <v>50</v>
      </c>
      <c r="F142">
        <v>0</v>
      </c>
      <c r="G142" s="2">
        <v>17.8</v>
      </c>
      <c r="H142">
        <v>0</v>
      </c>
      <c r="I142">
        <v>1570</v>
      </c>
      <c r="K142" t="s">
        <v>229</v>
      </c>
      <c r="L142">
        <v>7</v>
      </c>
      <c r="M142">
        <v>0</v>
      </c>
      <c r="N142" t="s">
        <v>259</v>
      </c>
      <c r="O142" t="s">
        <v>1250</v>
      </c>
      <c r="P142">
        <v>13</v>
      </c>
      <c r="Q14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2B211245</v>
      </c>
      <c r="R142" t="s">
        <v>229</v>
      </c>
      <c r="S14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43" spans="1:19" x14ac:dyDescent="0.25">
      <c r="A143" t="s">
        <v>1249</v>
      </c>
      <c r="B143">
        <v>202005</v>
      </c>
      <c r="C143" t="s">
        <v>56</v>
      </c>
      <c r="D143" t="s">
        <v>246</v>
      </c>
      <c r="E143">
        <v>0</v>
      </c>
      <c r="F143">
        <v>0</v>
      </c>
      <c r="G143" s="2">
        <v>2.2999999999999998</v>
      </c>
      <c r="H143">
        <v>0</v>
      </c>
      <c r="K143" t="s">
        <v>229</v>
      </c>
      <c r="L143">
        <v>8</v>
      </c>
      <c r="M143">
        <v>0</v>
      </c>
      <c r="O143" t="s">
        <v>1250</v>
      </c>
      <c r="P143">
        <v>13</v>
      </c>
      <c r="Q14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2B218999</v>
      </c>
      <c r="R143" t="s">
        <v>229</v>
      </c>
      <c r="S14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44" spans="1:19" x14ac:dyDescent="0.25">
      <c r="A144" t="s">
        <v>1251</v>
      </c>
      <c r="B144">
        <v>202005</v>
      </c>
      <c r="C144" t="s">
        <v>62</v>
      </c>
      <c r="D144" t="s">
        <v>63</v>
      </c>
      <c r="E144">
        <v>294.82855999999998</v>
      </c>
      <c r="F144">
        <v>0</v>
      </c>
      <c r="G144" s="2">
        <v>100</v>
      </c>
      <c r="H144">
        <v>0</v>
      </c>
      <c r="I144">
        <v>1570</v>
      </c>
      <c r="K144" t="s">
        <v>229</v>
      </c>
      <c r="L144">
        <v>1</v>
      </c>
      <c r="M144">
        <v>0</v>
      </c>
      <c r="N144" t="s">
        <v>259</v>
      </c>
      <c r="O144" t="s">
        <v>1252</v>
      </c>
      <c r="P144">
        <v>12</v>
      </c>
      <c r="Q14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2B221100</v>
      </c>
      <c r="R144" t="s">
        <v>229</v>
      </c>
      <c r="S14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45" spans="1:19" x14ac:dyDescent="0.25">
      <c r="A145" t="s">
        <v>1251</v>
      </c>
      <c r="B145">
        <v>202005</v>
      </c>
      <c r="C145" t="s">
        <v>1253</v>
      </c>
      <c r="D145" t="s">
        <v>1254</v>
      </c>
      <c r="E145">
        <v>898.93</v>
      </c>
      <c r="F145">
        <v>0</v>
      </c>
      <c r="G145" s="2">
        <v>24</v>
      </c>
      <c r="H145">
        <v>0</v>
      </c>
      <c r="I145">
        <v>1570</v>
      </c>
      <c r="K145" t="s">
        <v>229</v>
      </c>
      <c r="L145">
        <v>6</v>
      </c>
      <c r="M145">
        <v>0</v>
      </c>
      <c r="N145" t="s">
        <v>259</v>
      </c>
      <c r="O145" t="s">
        <v>1252</v>
      </c>
      <c r="P145">
        <v>12</v>
      </c>
      <c r="Q14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2B221141</v>
      </c>
      <c r="R145" t="s">
        <v>229</v>
      </c>
      <c r="S14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46" spans="1:19" x14ac:dyDescent="0.25">
      <c r="A146" t="s">
        <v>1251</v>
      </c>
      <c r="B146">
        <v>202005</v>
      </c>
      <c r="C146" t="s">
        <v>3</v>
      </c>
      <c r="D146" t="s">
        <v>58</v>
      </c>
      <c r="E146">
        <v>275</v>
      </c>
      <c r="F146">
        <v>0</v>
      </c>
      <c r="G146" s="2">
        <v>36</v>
      </c>
      <c r="H146">
        <v>0</v>
      </c>
      <c r="I146">
        <v>1570</v>
      </c>
      <c r="K146" t="s">
        <v>229</v>
      </c>
      <c r="L146">
        <v>7</v>
      </c>
      <c r="M146">
        <v>0</v>
      </c>
      <c r="N146" t="s">
        <v>259</v>
      </c>
      <c r="O146" t="s">
        <v>1252</v>
      </c>
      <c r="P146">
        <v>12</v>
      </c>
      <c r="Q14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2B221229</v>
      </c>
      <c r="R146" t="s">
        <v>229</v>
      </c>
      <c r="S14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47" spans="1:19" x14ac:dyDescent="0.25">
      <c r="A147" t="s">
        <v>1251</v>
      </c>
      <c r="B147">
        <v>202005</v>
      </c>
      <c r="C147" t="s">
        <v>5</v>
      </c>
      <c r="D147" t="s">
        <v>59</v>
      </c>
      <c r="E147">
        <v>8.56</v>
      </c>
      <c r="F147">
        <v>0</v>
      </c>
      <c r="G147" s="2">
        <v>16.8</v>
      </c>
      <c r="H147">
        <v>0</v>
      </c>
      <c r="I147">
        <v>1570</v>
      </c>
      <c r="K147" t="s">
        <v>229</v>
      </c>
      <c r="L147">
        <v>7</v>
      </c>
      <c r="M147">
        <v>0</v>
      </c>
      <c r="N147" t="s">
        <v>259</v>
      </c>
      <c r="O147" t="s">
        <v>1252</v>
      </c>
      <c r="P147">
        <v>12</v>
      </c>
      <c r="Q14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2B221231</v>
      </c>
      <c r="R147" t="s">
        <v>229</v>
      </c>
      <c r="S14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48" spans="1:19" x14ac:dyDescent="0.25">
      <c r="A148" t="s">
        <v>1251</v>
      </c>
      <c r="B148">
        <v>202005</v>
      </c>
      <c r="C148" t="s">
        <v>55</v>
      </c>
      <c r="D148" t="s">
        <v>61</v>
      </c>
      <c r="E148">
        <v>60</v>
      </c>
      <c r="F148">
        <v>0</v>
      </c>
      <c r="G148" s="2">
        <v>2.6</v>
      </c>
      <c r="H148">
        <v>0</v>
      </c>
      <c r="I148">
        <v>1570</v>
      </c>
      <c r="K148" t="s">
        <v>229</v>
      </c>
      <c r="L148">
        <v>7</v>
      </c>
      <c r="M148">
        <v>0</v>
      </c>
      <c r="N148" t="s">
        <v>259</v>
      </c>
      <c r="O148" t="s">
        <v>1252</v>
      </c>
      <c r="P148">
        <v>12</v>
      </c>
      <c r="Q14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2B221242</v>
      </c>
      <c r="R148" t="s">
        <v>229</v>
      </c>
      <c r="S14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49" spans="1:19" x14ac:dyDescent="0.25">
      <c r="A149" t="s">
        <v>1251</v>
      </c>
      <c r="B149">
        <v>202005</v>
      </c>
      <c r="C149" t="s">
        <v>6</v>
      </c>
      <c r="D149" t="s">
        <v>60</v>
      </c>
      <c r="E149">
        <v>50</v>
      </c>
      <c r="F149">
        <v>0</v>
      </c>
      <c r="G149" s="2">
        <v>18</v>
      </c>
      <c r="H149">
        <v>0</v>
      </c>
      <c r="I149">
        <v>1570</v>
      </c>
      <c r="K149" t="s">
        <v>229</v>
      </c>
      <c r="L149">
        <v>7</v>
      </c>
      <c r="M149">
        <v>0</v>
      </c>
      <c r="N149" t="s">
        <v>259</v>
      </c>
      <c r="O149" t="s">
        <v>1252</v>
      </c>
      <c r="P149">
        <v>12</v>
      </c>
      <c r="Q14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2B221245</v>
      </c>
      <c r="R149" t="s">
        <v>229</v>
      </c>
      <c r="S14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50" spans="1:19" x14ac:dyDescent="0.25">
      <c r="A150" t="s">
        <v>1251</v>
      </c>
      <c r="B150">
        <v>202005</v>
      </c>
      <c r="C150" t="s">
        <v>56</v>
      </c>
      <c r="D150" t="s">
        <v>246</v>
      </c>
      <c r="E150">
        <v>0</v>
      </c>
      <c r="F150">
        <v>0</v>
      </c>
      <c r="G150" s="2">
        <v>0</v>
      </c>
      <c r="H150">
        <v>0</v>
      </c>
      <c r="K150" t="s">
        <v>229</v>
      </c>
      <c r="L150">
        <v>8</v>
      </c>
      <c r="M150">
        <v>0</v>
      </c>
      <c r="O150" t="s">
        <v>1252</v>
      </c>
      <c r="P150">
        <v>12</v>
      </c>
      <c r="Q15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2B228999</v>
      </c>
      <c r="R150" t="s">
        <v>229</v>
      </c>
      <c r="S15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51" spans="1:19" x14ac:dyDescent="0.25">
      <c r="A151" t="s">
        <v>1255</v>
      </c>
      <c r="B151">
        <v>202005</v>
      </c>
      <c r="C151" t="s">
        <v>62</v>
      </c>
      <c r="D151" t="s">
        <v>63</v>
      </c>
      <c r="E151">
        <v>294.82855999999998</v>
      </c>
      <c r="F151">
        <v>0</v>
      </c>
      <c r="G151" s="2">
        <v>100</v>
      </c>
      <c r="H151">
        <v>0</v>
      </c>
      <c r="I151">
        <v>1570</v>
      </c>
      <c r="K151" t="s">
        <v>229</v>
      </c>
      <c r="L151">
        <v>1</v>
      </c>
      <c r="M151">
        <v>0</v>
      </c>
      <c r="N151" t="s">
        <v>259</v>
      </c>
      <c r="O151" t="s">
        <v>1256</v>
      </c>
      <c r="P151">
        <v>12</v>
      </c>
      <c r="Q15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2B231100</v>
      </c>
      <c r="R151" t="s">
        <v>229</v>
      </c>
      <c r="S15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52" spans="1:19" x14ac:dyDescent="0.25">
      <c r="A152" t="s">
        <v>1255</v>
      </c>
      <c r="B152">
        <v>202005</v>
      </c>
      <c r="C152" t="s">
        <v>68</v>
      </c>
      <c r="D152" t="s">
        <v>69</v>
      </c>
      <c r="E152">
        <v>426.89765</v>
      </c>
      <c r="F152">
        <v>0</v>
      </c>
      <c r="G152" s="2">
        <v>31.42</v>
      </c>
      <c r="H152">
        <v>77.775000000000006</v>
      </c>
      <c r="I152">
        <v>1570</v>
      </c>
      <c r="K152" t="s">
        <v>229</v>
      </c>
      <c r="L152">
        <v>6</v>
      </c>
      <c r="M152">
        <v>0</v>
      </c>
      <c r="N152" t="s">
        <v>259</v>
      </c>
      <c r="O152" t="s">
        <v>1256</v>
      </c>
      <c r="P152">
        <v>12</v>
      </c>
      <c r="Q15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2B231121</v>
      </c>
      <c r="R152" t="s">
        <v>229</v>
      </c>
      <c r="S15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53" spans="1:19" x14ac:dyDescent="0.25">
      <c r="A153" t="s">
        <v>1255</v>
      </c>
      <c r="B153">
        <v>202005</v>
      </c>
      <c r="C153" t="s">
        <v>70</v>
      </c>
      <c r="D153" t="s">
        <v>1257</v>
      </c>
      <c r="E153">
        <v>431.55</v>
      </c>
      <c r="F153">
        <v>0</v>
      </c>
      <c r="G153" s="2">
        <v>7.24</v>
      </c>
      <c r="H153">
        <v>22.225000000000001</v>
      </c>
      <c r="I153">
        <v>1570</v>
      </c>
      <c r="K153" t="s">
        <v>229</v>
      </c>
      <c r="L153">
        <v>7</v>
      </c>
      <c r="M153">
        <v>0</v>
      </c>
      <c r="N153" t="s">
        <v>259</v>
      </c>
      <c r="O153" t="s">
        <v>1256</v>
      </c>
      <c r="P153">
        <v>12</v>
      </c>
      <c r="Q15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2B231145</v>
      </c>
      <c r="R153" t="s">
        <v>229</v>
      </c>
      <c r="S15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54" spans="1:19" x14ac:dyDescent="0.25">
      <c r="A154" t="s">
        <v>1255</v>
      </c>
      <c r="B154">
        <v>202005</v>
      </c>
      <c r="C154" t="s">
        <v>3</v>
      </c>
      <c r="D154" t="s">
        <v>58</v>
      </c>
      <c r="E154">
        <v>275</v>
      </c>
      <c r="F154">
        <v>0</v>
      </c>
      <c r="G154" s="2">
        <v>26.15</v>
      </c>
      <c r="H154">
        <v>0</v>
      </c>
      <c r="I154">
        <v>1570</v>
      </c>
      <c r="K154" t="s">
        <v>229</v>
      </c>
      <c r="L154">
        <v>7</v>
      </c>
      <c r="M154">
        <v>0</v>
      </c>
      <c r="N154" t="s">
        <v>259</v>
      </c>
      <c r="O154" t="s">
        <v>1256</v>
      </c>
      <c r="P154">
        <v>12</v>
      </c>
      <c r="Q15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2B231229</v>
      </c>
      <c r="R154" t="s">
        <v>229</v>
      </c>
      <c r="S15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55" spans="1:19" x14ac:dyDescent="0.25">
      <c r="A155" t="s">
        <v>1255</v>
      </c>
      <c r="B155">
        <v>202005</v>
      </c>
      <c r="C155" t="s">
        <v>5</v>
      </c>
      <c r="D155" t="s">
        <v>59</v>
      </c>
      <c r="E155">
        <v>8.56</v>
      </c>
      <c r="F155">
        <v>0</v>
      </c>
      <c r="G155" s="2">
        <v>13.71</v>
      </c>
      <c r="H155">
        <v>0</v>
      </c>
      <c r="I155">
        <v>1570</v>
      </c>
      <c r="K155" t="s">
        <v>229</v>
      </c>
      <c r="L155">
        <v>7</v>
      </c>
      <c r="M155">
        <v>0</v>
      </c>
      <c r="N155" t="s">
        <v>259</v>
      </c>
      <c r="O155" t="s">
        <v>1256</v>
      </c>
      <c r="P155">
        <v>12</v>
      </c>
      <c r="Q15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2B231231</v>
      </c>
      <c r="R155" t="s">
        <v>229</v>
      </c>
      <c r="S15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56" spans="1:19" x14ac:dyDescent="0.25">
      <c r="A156" t="s">
        <v>1255</v>
      </c>
      <c r="B156">
        <v>202005</v>
      </c>
      <c r="C156" t="s">
        <v>6</v>
      </c>
      <c r="D156" t="s">
        <v>60</v>
      </c>
      <c r="E156">
        <v>50</v>
      </c>
      <c r="F156">
        <v>0</v>
      </c>
      <c r="G156" s="2">
        <v>20.98</v>
      </c>
      <c r="H156">
        <v>0</v>
      </c>
      <c r="I156">
        <v>1570</v>
      </c>
      <c r="K156" t="s">
        <v>229</v>
      </c>
      <c r="L156">
        <v>7</v>
      </c>
      <c r="M156">
        <v>0</v>
      </c>
      <c r="N156" t="s">
        <v>259</v>
      </c>
      <c r="O156" t="s">
        <v>1256</v>
      </c>
      <c r="P156">
        <v>12</v>
      </c>
      <c r="Q15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2B231245</v>
      </c>
      <c r="R156" t="s">
        <v>229</v>
      </c>
      <c r="S15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57" spans="1:19" x14ac:dyDescent="0.25">
      <c r="A157" t="s">
        <v>1255</v>
      </c>
      <c r="B157">
        <v>202005</v>
      </c>
      <c r="C157" t="s">
        <v>56</v>
      </c>
      <c r="D157" t="s">
        <v>246</v>
      </c>
      <c r="E157">
        <v>0</v>
      </c>
      <c r="F157">
        <v>0</v>
      </c>
      <c r="G157" s="2">
        <v>0.5</v>
      </c>
      <c r="H157">
        <v>0</v>
      </c>
      <c r="K157" t="s">
        <v>229</v>
      </c>
      <c r="L157">
        <v>8</v>
      </c>
      <c r="M157">
        <v>0</v>
      </c>
      <c r="O157" t="s">
        <v>1256</v>
      </c>
      <c r="P157">
        <v>12</v>
      </c>
      <c r="Q15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2B238999</v>
      </c>
      <c r="R157" t="s">
        <v>229</v>
      </c>
      <c r="S15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58" spans="1:19" x14ac:dyDescent="0.25">
      <c r="A158" t="s">
        <v>1258</v>
      </c>
      <c r="B158">
        <v>202005</v>
      </c>
      <c r="C158" t="s">
        <v>62</v>
      </c>
      <c r="D158" t="s">
        <v>63</v>
      </c>
      <c r="E158">
        <v>294.82855999999998</v>
      </c>
      <c r="F158">
        <v>0</v>
      </c>
      <c r="G158" s="2">
        <v>100</v>
      </c>
      <c r="H158">
        <v>0</v>
      </c>
      <c r="I158">
        <v>1570</v>
      </c>
      <c r="K158" t="s">
        <v>229</v>
      </c>
      <c r="L158">
        <v>1</v>
      </c>
      <c r="M158">
        <v>0</v>
      </c>
      <c r="N158" t="s">
        <v>259</v>
      </c>
      <c r="O158" t="s">
        <v>1259</v>
      </c>
      <c r="P158">
        <v>12</v>
      </c>
      <c r="Q15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2B241100</v>
      </c>
      <c r="R158" t="s">
        <v>229</v>
      </c>
      <c r="S15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59" spans="1:19" x14ac:dyDescent="0.25">
      <c r="A159" t="s">
        <v>1258</v>
      </c>
      <c r="B159">
        <v>202005</v>
      </c>
      <c r="C159" t="s">
        <v>1260</v>
      </c>
      <c r="D159" t="s">
        <v>1261</v>
      </c>
      <c r="E159">
        <v>536.37</v>
      </c>
      <c r="F159">
        <v>0</v>
      </c>
      <c r="G159" s="2">
        <v>32.200000000000003</v>
      </c>
      <c r="H159">
        <v>0</v>
      </c>
      <c r="I159">
        <v>1570</v>
      </c>
      <c r="K159" t="s">
        <v>229</v>
      </c>
      <c r="L159">
        <v>6</v>
      </c>
      <c r="M159">
        <v>0</v>
      </c>
      <c r="N159" t="s">
        <v>259</v>
      </c>
      <c r="O159" t="s">
        <v>1259</v>
      </c>
      <c r="P159">
        <v>12</v>
      </c>
      <c r="Q15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2B241146</v>
      </c>
      <c r="R159" t="s">
        <v>229</v>
      </c>
      <c r="S15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60" spans="1:19" x14ac:dyDescent="0.25">
      <c r="A160" t="s">
        <v>1258</v>
      </c>
      <c r="B160">
        <v>202005</v>
      </c>
      <c r="C160" t="s">
        <v>68</v>
      </c>
      <c r="D160" t="s">
        <v>69</v>
      </c>
      <c r="E160">
        <v>426.89765</v>
      </c>
      <c r="F160">
        <v>0</v>
      </c>
      <c r="G160" s="2">
        <v>19.100000000000001</v>
      </c>
      <c r="H160">
        <v>0</v>
      </c>
      <c r="I160">
        <v>1570</v>
      </c>
      <c r="K160" t="s">
        <v>229</v>
      </c>
      <c r="L160">
        <v>7</v>
      </c>
      <c r="M160">
        <v>0</v>
      </c>
      <c r="N160" t="s">
        <v>259</v>
      </c>
      <c r="O160" t="s">
        <v>1259</v>
      </c>
      <c r="P160">
        <v>12</v>
      </c>
      <c r="Q16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2B241121</v>
      </c>
      <c r="R160" t="s">
        <v>229</v>
      </c>
      <c r="S16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61" spans="1:19" x14ac:dyDescent="0.25">
      <c r="A161" t="s">
        <v>1258</v>
      </c>
      <c r="B161">
        <v>202005</v>
      </c>
      <c r="C161" t="s">
        <v>3</v>
      </c>
      <c r="D161" t="s">
        <v>58</v>
      </c>
      <c r="E161">
        <v>275</v>
      </c>
      <c r="F161">
        <v>0</v>
      </c>
      <c r="G161" s="2">
        <v>20</v>
      </c>
      <c r="H161">
        <v>0</v>
      </c>
      <c r="I161">
        <v>1570</v>
      </c>
      <c r="K161" t="s">
        <v>229</v>
      </c>
      <c r="L161">
        <v>7</v>
      </c>
      <c r="M161">
        <v>0</v>
      </c>
      <c r="N161" t="s">
        <v>259</v>
      </c>
      <c r="O161" t="s">
        <v>1259</v>
      </c>
      <c r="P161">
        <v>12</v>
      </c>
      <c r="Q16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2B241229</v>
      </c>
      <c r="R161" t="s">
        <v>229</v>
      </c>
      <c r="S16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62" spans="1:19" x14ac:dyDescent="0.25">
      <c r="A162" t="s">
        <v>1258</v>
      </c>
      <c r="B162">
        <v>202005</v>
      </c>
      <c r="C162" t="s">
        <v>5</v>
      </c>
      <c r="D162" t="s">
        <v>59</v>
      </c>
      <c r="E162">
        <v>8.56</v>
      </c>
      <c r="F162">
        <v>0</v>
      </c>
      <c r="G162" s="2">
        <v>16.8</v>
      </c>
      <c r="H162">
        <v>0</v>
      </c>
      <c r="I162">
        <v>1570</v>
      </c>
      <c r="K162" t="s">
        <v>229</v>
      </c>
      <c r="L162">
        <v>7</v>
      </c>
      <c r="M162">
        <v>0</v>
      </c>
      <c r="N162" t="s">
        <v>259</v>
      </c>
      <c r="O162" t="s">
        <v>1259</v>
      </c>
      <c r="P162">
        <v>12</v>
      </c>
      <c r="Q16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2B241231</v>
      </c>
      <c r="R162" t="s">
        <v>229</v>
      </c>
      <c r="S16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63" spans="1:19" x14ac:dyDescent="0.25">
      <c r="A163" t="s">
        <v>1258</v>
      </c>
      <c r="B163">
        <v>202005</v>
      </c>
      <c r="C163" t="s">
        <v>6</v>
      </c>
      <c r="D163" t="s">
        <v>60</v>
      </c>
      <c r="E163">
        <v>50</v>
      </c>
      <c r="F163">
        <v>0</v>
      </c>
      <c r="G163" s="2">
        <v>11.1</v>
      </c>
      <c r="H163">
        <v>0</v>
      </c>
      <c r="I163">
        <v>1570</v>
      </c>
      <c r="K163" t="s">
        <v>229</v>
      </c>
      <c r="L163">
        <v>7</v>
      </c>
      <c r="M163">
        <v>0</v>
      </c>
      <c r="N163" t="s">
        <v>259</v>
      </c>
      <c r="O163" t="s">
        <v>1259</v>
      </c>
      <c r="P163">
        <v>12</v>
      </c>
      <c r="Q16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2B241245</v>
      </c>
      <c r="R163" t="s">
        <v>229</v>
      </c>
      <c r="S16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64" spans="1:19" x14ac:dyDescent="0.25">
      <c r="A164" t="s">
        <v>1258</v>
      </c>
      <c r="B164">
        <v>202005</v>
      </c>
      <c r="C164" t="s">
        <v>56</v>
      </c>
      <c r="D164" t="s">
        <v>246</v>
      </c>
      <c r="E164">
        <v>0</v>
      </c>
      <c r="F164">
        <v>0</v>
      </c>
      <c r="G164" s="2">
        <v>0</v>
      </c>
      <c r="H164">
        <v>0</v>
      </c>
      <c r="K164" t="s">
        <v>229</v>
      </c>
      <c r="L164">
        <v>8</v>
      </c>
      <c r="M164">
        <v>0</v>
      </c>
      <c r="O164" t="s">
        <v>1259</v>
      </c>
      <c r="P164">
        <v>12</v>
      </c>
      <c r="Q16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2B248999</v>
      </c>
      <c r="R164" t="s">
        <v>229</v>
      </c>
      <c r="S16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65" spans="1:19" x14ac:dyDescent="0.25">
      <c r="A165" t="s">
        <v>1262</v>
      </c>
      <c r="B165">
        <v>202005</v>
      </c>
      <c r="C165" t="s">
        <v>62</v>
      </c>
      <c r="D165" t="s">
        <v>63</v>
      </c>
      <c r="E165">
        <v>294.82855999999998</v>
      </c>
      <c r="F165">
        <v>0</v>
      </c>
      <c r="G165" s="2">
        <v>100</v>
      </c>
      <c r="H165">
        <v>0</v>
      </c>
      <c r="I165">
        <v>1570</v>
      </c>
      <c r="K165" t="s">
        <v>229</v>
      </c>
      <c r="L165">
        <v>1</v>
      </c>
      <c r="M165">
        <v>0</v>
      </c>
      <c r="N165" t="s">
        <v>259</v>
      </c>
      <c r="O165" t="s">
        <v>1263</v>
      </c>
      <c r="P165">
        <v>12</v>
      </c>
      <c r="Q16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2B251100</v>
      </c>
      <c r="R165" t="s">
        <v>229</v>
      </c>
      <c r="S16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66" spans="1:19" x14ac:dyDescent="0.25">
      <c r="A166" t="s">
        <v>1262</v>
      </c>
      <c r="B166">
        <v>202005</v>
      </c>
      <c r="C166" t="s">
        <v>1264</v>
      </c>
      <c r="D166" t="s">
        <v>1265</v>
      </c>
      <c r="E166">
        <v>342.44</v>
      </c>
      <c r="F166">
        <v>0</v>
      </c>
      <c r="G166" s="2">
        <v>94.112799999999993</v>
      </c>
      <c r="H166">
        <v>0</v>
      </c>
      <c r="I166">
        <v>1570</v>
      </c>
      <c r="K166" t="s">
        <v>229</v>
      </c>
      <c r="L166">
        <v>6</v>
      </c>
      <c r="M166">
        <v>0</v>
      </c>
      <c r="N166" t="s">
        <v>259</v>
      </c>
      <c r="O166" t="s">
        <v>1263</v>
      </c>
      <c r="P166">
        <v>12</v>
      </c>
      <c r="Q16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2B251122N</v>
      </c>
      <c r="R166" t="s">
        <v>229</v>
      </c>
      <c r="S16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67" spans="1:19" x14ac:dyDescent="0.25">
      <c r="A167" t="s">
        <v>1262</v>
      </c>
      <c r="B167">
        <v>202005</v>
      </c>
      <c r="C167" t="s">
        <v>3</v>
      </c>
      <c r="D167" t="s">
        <v>58</v>
      </c>
      <c r="E167">
        <v>275</v>
      </c>
      <c r="F167">
        <v>0</v>
      </c>
      <c r="G167" s="2">
        <v>1.4067000000000001</v>
      </c>
      <c r="H167">
        <v>0</v>
      </c>
      <c r="I167">
        <v>1570</v>
      </c>
      <c r="K167" t="s">
        <v>229</v>
      </c>
      <c r="L167">
        <v>7</v>
      </c>
      <c r="M167">
        <v>0</v>
      </c>
      <c r="N167" t="s">
        <v>259</v>
      </c>
      <c r="O167" t="s">
        <v>1263</v>
      </c>
      <c r="P167">
        <v>12</v>
      </c>
      <c r="Q16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2B251229</v>
      </c>
      <c r="R167" t="s">
        <v>229</v>
      </c>
      <c r="S16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68" spans="1:19" x14ac:dyDescent="0.25">
      <c r="A168" t="s">
        <v>1262</v>
      </c>
      <c r="B168">
        <v>202005</v>
      </c>
      <c r="C168" t="s">
        <v>5</v>
      </c>
      <c r="D168" t="s">
        <v>59</v>
      </c>
      <c r="E168">
        <v>8.56</v>
      </c>
      <c r="F168">
        <v>0</v>
      </c>
      <c r="G168" s="2">
        <v>3.0405000000000002</v>
      </c>
      <c r="H168">
        <v>0</v>
      </c>
      <c r="I168">
        <v>1570</v>
      </c>
      <c r="K168" t="s">
        <v>229</v>
      </c>
      <c r="L168">
        <v>7</v>
      </c>
      <c r="M168">
        <v>0</v>
      </c>
      <c r="N168" t="s">
        <v>259</v>
      </c>
      <c r="O168" t="s">
        <v>1263</v>
      </c>
      <c r="P168">
        <v>12</v>
      </c>
      <c r="Q16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2B251231</v>
      </c>
      <c r="R168" t="s">
        <v>229</v>
      </c>
      <c r="S16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69" spans="1:19" x14ac:dyDescent="0.25">
      <c r="A169" t="s">
        <v>1262</v>
      </c>
      <c r="B169">
        <v>202005</v>
      </c>
      <c r="C169" t="s">
        <v>6</v>
      </c>
      <c r="D169" t="s">
        <v>60</v>
      </c>
      <c r="E169">
        <v>50</v>
      </c>
      <c r="F169">
        <v>0</v>
      </c>
      <c r="G169" s="2">
        <v>0.67</v>
      </c>
      <c r="H169">
        <v>0</v>
      </c>
      <c r="I169">
        <v>1570</v>
      </c>
      <c r="K169" t="s">
        <v>229</v>
      </c>
      <c r="L169">
        <v>7</v>
      </c>
      <c r="M169">
        <v>0</v>
      </c>
      <c r="N169" t="s">
        <v>259</v>
      </c>
      <c r="O169" t="s">
        <v>1263</v>
      </c>
      <c r="P169">
        <v>12</v>
      </c>
      <c r="Q16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2B251245</v>
      </c>
      <c r="R169" t="s">
        <v>229</v>
      </c>
      <c r="S16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70" spans="1:19" x14ac:dyDescent="0.25">
      <c r="A170" t="s">
        <v>1262</v>
      </c>
      <c r="B170">
        <v>202005</v>
      </c>
      <c r="C170" t="s">
        <v>56</v>
      </c>
      <c r="D170" t="s">
        <v>246</v>
      </c>
      <c r="E170">
        <v>0</v>
      </c>
      <c r="F170">
        <v>0</v>
      </c>
      <c r="G170" s="2">
        <v>0</v>
      </c>
      <c r="H170">
        <v>0</v>
      </c>
      <c r="K170" t="s">
        <v>229</v>
      </c>
      <c r="L170">
        <v>8</v>
      </c>
      <c r="M170">
        <v>0</v>
      </c>
      <c r="O170" t="s">
        <v>1263</v>
      </c>
      <c r="P170">
        <v>12</v>
      </c>
      <c r="Q17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2B258999</v>
      </c>
      <c r="R170" t="s">
        <v>229</v>
      </c>
      <c r="S17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71" spans="1:19" x14ac:dyDescent="0.25">
      <c r="A171" t="s">
        <v>1266</v>
      </c>
      <c r="B171">
        <v>202005</v>
      </c>
      <c r="C171" t="s">
        <v>62</v>
      </c>
      <c r="D171" t="s">
        <v>63</v>
      </c>
      <c r="E171">
        <v>294.82855999999998</v>
      </c>
      <c r="F171">
        <v>0</v>
      </c>
      <c r="G171" s="2">
        <v>100</v>
      </c>
      <c r="H171">
        <v>0</v>
      </c>
      <c r="I171">
        <v>1570</v>
      </c>
      <c r="K171" t="s">
        <v>229</v>
      </c>
      <c r="L171">
        <v>1</v>
      </c>
      <c r="M171">
        <v>0</v>
      </c>
      <c r="N171" t="s">
        <v>259</v>
      </c>
      <c r="O171" t="s">
        <v>1267</v>
      </c>
      <c r="P171">
        <v>12</v>
      </c>
      <c r="Q17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2B261100</v>
      </c>
      <c r="R171" t="s">
        <v>229</v>
      </c>
      <c r="S17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72" spans="1:19" x14ac:dyDescent="0.25">
      <c r="A172" t="s">
        <v>1266</v>
      </c>
      <c r="B172">
        <v>202005</v>
      </c>
      <c r="C172" t="s">
        <v>1268</v>
      </c>
      <c r="D172" t="s">
        <v>1269</v>
      </c>
      <c r="E172">
        <v>853.94344000000001</v>
      </c>
      <c r="F172">
        <v>0</v>
      </c>
      <c r="G172" s="2">
        <v>26.61</v>
      </c>
      <c r="H172">
        <v>0</v>
      </c>
      <c r="I172">
        <v>1570</v>
      </c>
      <c r="K172" t="s">
        <v>229</v>
      </c>
      <c r="L172">
        <v>6</v>
      </c>
      <c r="M172">
        <v>0</v>
      </c>
      <c r="N172" t="s">
        <v>259</v>
      </c>
      <c r="O172" t="s">
        <v>1267</v>
      </c>
      <c r="P172">
        <v>12</v>
      </c>
      <c r="Q17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2B261124A</v>
      </c>
      <c r="R172" t="s">
        <v>229</v>
      </c>
      <c r="S17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73" spans="1:19" x14ac:dyDescent="0.25">
      <c r="A173" t="s">
        <v>1266</v>
      </c>
      <c r="B173">
        <v>202005</v>
      </c>
      <c r="C173" t="s">
        <v>3</v>
      </c>
      <c r="D173" t="s">
        <v>58</v>
      </c>
      <c r="E173">
        <v>275</v>
      </c>
      <c r="F173">
        <v>0</v>
      </c>
      <c r="G173" s="2">
        <v>32.380000000000003</v>
      </c>
      <c r="H173">
        <v>0</v>
      </c>
      <c r="I173">
        <v>1570</v>
      </c>
      <c r="K173" t="s">
        <v>229</v>
      </c>
      <c r="L173">
        <v>7</v>
      </c>
      <c r="M173">
        <v>0</v>
      </c>
      <c r="N173" t="s">
        <v>259</v>
      </c>
      <c r="O173" t="s">
        <v>1267</v>
      </c>
      <c r="P173">
        <v>12</v>
      </c>
      <c r="Q17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2B261229</v>
      </c>
      <c r="R173" t="s">
        <v>229</v>
      </c>
      <c r="S17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74" spans="1:19" x14ac:dyDescent="0.25">
      <c r="A174" t="s">
        <v>1266</v>
      </c>
      <c r="B174">
        <v>202005</v>
      </c>
      <c r="C174" t="s">
        <v>5</v>
      </c>
      <c r="D174" t="s">
        <v>59</v>
      </c>
      <c r="E174">
        <v>8.56</v>
      </c>
      <c r="F174">
        <v>0</v>
      </c>
      <c r="G174" s="2">
        <v>26.25</v>
      </c>
      <c r="H174">
        <v>0</v>
      </c>
      <c r="I174">
        <v>1570</v>
      </c>
      <c r="K174" t="s">
        <v>229</v>
      </c>
      <c r="L174">
        <v>7</v>
      </c>
      <c r="M174">
        <v>0</v>
      </c>
      <c r="N174" t="s">
        <v>259</v>
      </c>
      <c r="O174" t="s">
        <v>1267</v>
      </c>
      <c r="P174">
        <v>12</v>
      </c>
      <c r="Q17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2B261231</v>
      </c>
      <c r="R174" t="s">
        <v>229</v>
      </c>
      <c r="S17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75" spans="1:19" x14ac:dyDescent="0.25">
      <c r="A175" t="s">
        <v>1266</v>
      </c>
      <c r="B175">
        <v>202005</v>
      </c>
      <c r="C175" t="s">
        <v>6</v>
      </c>
      <c r="D175" t="s">
        <v>60</v>
      </c>
      <c r="E175">
        <v>50</v>
      </c>
      <c r="F175">
        <v>0</v>
      </c>
      <c r="G175" s="2">
        <v>14.75</v>
      </c>
      <c r="H175">
        <v>0</v>
      </c>
      <c r="I175">
        <v>1570</v>
      </c>
      <c r="K175" t="s">
        <v>229</v>
      </c>
      <c r="L175">
        <v>7</v>
      </c>
      <c r="M175">
        <v>0</v>
      </c>
      <c r="N175" t="s">
        <v>259</v>
      </c>
      <c r="O175" t="s">
        <v>1267</v>
      </c>
      <c r="P175">
        <v>12</v>
      </c>
      <c r="Q17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2B261245</v>
      </c>
      <c r="R175" t="s">
        <v>229</v>
      </c>
      <c r="S17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76" spans="1:19" x14ac:dyDescent="0.25">
      <c r="A176" t="s">
        <v>1266</v>
      </c>
      <c r="B176">
        <v>202005</v>
      </c>
      <c r="C176" t="s">
        <v>56</v>
      </c>
      <c r="D176" t="s">
        <v>246</v>
      </c>
      <c r="E176">
        <v>0</v>
      </c>
      <c r="F176">
        <v>0</v>
      </c>
      <c r="G176" s="2">
        <v>0</v>
      </c>
      <c r="H176">
        <v>0</v>
      </c>
      <c r="K176" t="s">
        <v>229</v>
      </c>
      <c r="L176">
        <v>8</v>
      </c>
      <c r="M176">
        <v>0</v>
      </c>
      <c r="O176" t="s">
        <v>1267</v>
      </c>
      <c r="P176">
        <v>12</v>
      </c>
      <c r="Q17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2B268999</v>
      </c>
      <c r="R176" t="s">
        <v>229</v>
      </c>
      <c r="S17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77" spans="1:19" x14ac:dyDescent="0.25">
      <c r="A177" t="s">
        <v>77</v>
      </c>
      <c r="B177">
        <v>202005</v>
      </c>
      <c r="C177" t="s">
        <v>62</v>
      </c>
      <c r="D177" t="s">
        <v>63</v>
      </c>
      <c r="E177">
        <v>294.82855999999998</v>
      </c>
      <c r="F177">
        <v>0</v>
      </c>
      <c r="G177" s="2">
        <v>100</v>
      </c>
      <c r="H177">
        <v>0</v>
      </c>
      <c r="I177">
        <v>1570</v>
      </c>
      <c r="K177" t="s">
        <v>229</v>
      </c>
      <c r="L177">
        <v>1</v>
      </c>
      <c r="M177">
        <v>0</v>
      </c>
      <c r="N177" t="s">
        <v>259</v>
      </c>
      <c r="O177" t="s">
        <v>256</v>
      </c>
      <c r="P177">
        <v>12</v>
      </c>
      <c r="Q17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2B271100</v>
      </c>
      <c r="R177" t="s">
        <v>644</v>
      </c>
      <c r="S17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178" spans="1:19" x14ac:dyDescent="0.25">
      <c r="A178" t="s">
        <v>77</v>
      </c>
      <c r="B178">
        <v>202005</v>
      </c>
      <c r="C178" t="s">
        <v>78</v>
      </c>
      <c r="D178" t="s">
        <v>79</v>
      </c>
      <c r="E178">
        <v>522.97028</v>
      </c>
      <c r="F178">
        <v>0</v>
      </c>
      <c r="G178" s="2">
        <v>40.880000000000003</v>
      </c>
      <c r="H178">
        <v>0</v>
      </c>
      <c r="I178">
        <v>1570</v>
      </c>
      <c r="K178" t="s">
        <v>229</v>
      </c>
      <c r="L178">
        <v>6</v>
      </c>
      <c r="M178">
        <v>0</v>
      </c>
      <c r="N178" t="s">
        <v>259</v>
      </c>
      <c r="O178" t="s">
        <v>256</v>
      </c>
      <c r="P178">
        <v>12</v>
      </c>
      <c r="Q17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2B271124B</v>
      </c>
      <c r="R178" t="s">
        <v>644</v>
      </c>
      <c r="S17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</row>
    <row r="179" spans="1:19" x14ac:dyDescent="0.25">
      <c r="A179" t="s">
        <v>77</v>
      </c>
      <c r="B179">
        <v>202005</v>
      </c>
      <c r="C179" t="s">
        <v>55</v>
      </c>
      <c r="D179" t="s">
        <v>61</v>
      </c>
      <c r="E179">
        <v>60</v>
      </c>
      <c r="F179">
        <v>0</v>
      </c>
      <c r="G179" s="2">
        <v>1.46</v>
      </c>
      <c r="H179">
        <v>0</v>
      </c>
      <c r="I179">
        <v>1570</v>
      </c>
      <c r="K179" t="s">
        <v>229</v>
      </c>
      <c r="L179">
        <v>7</v>
      </c>
      <c r="M179">
        <v>0</v>
      </c>
      <c r="N179" t="s">
        <v>259</v>
      </c>
      <c r="O179" t="s">
        <v>256</v>
      </c>
      <c r="P179">
        <v>12</v>
      </c>
      <c r="Q17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2B271242</v>
      </c>
      <c r="R179" t="s">
        <v>644</v>
      </c>
      <c r="S17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80" spans="1:19" x14ac:dyDescent="0.25">
      <c r="A180" t="s">
        <v>77</v>
      </c>
      <c r="B180">
        <v>202005</v>
      </c>
      <c r="C180" t="s">
        <v>3</v>
      </c>
      <c r="D180" t="s">
        <v>58</v>
      </c>
      <c r="E180">
        <v>275</v>
      </c>
      <c r="F180">
        <v>0</v>
      </c>
      <c r="G180" s="2">
        <v>24.99</v>
      </c>
      <c r="H180">
        <v>0</v>
      </c>
      <c r="I180">
        <v>1570</v>
      </c>
      <c r="K180" t="s">
        <v>229</v>
      </c>
      <c r="L180">
        <v>7</v>
      </c>
      <c r="M180">
        <v>0</v>
      </c>
      <c r="N180" t="s">
        <v>259</v>
      </c>
      <c r="O180" t="s">
        <v>256</v>
      </c>
      <c r="P180">
        <v>12</v>
      </c>
      <c r="Q18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2B271229</v>
      </c>
      <c r="R180" t="s">
        <v>644</v>
      </c>
      <c r="S18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81" spans="1:19" x14ac:dyDescent="0.25">
      <c r="A181" t="s">
        <v>77</v>
      </c>
      <c r="B181">
        <v>202005</v>
      </c>
      <c r="C181" t="s">
        <v>5</v>
      </c>
      <c r="D181" t="s">
        <v>59</v>
      </c>
      <c r="E181">
        <v>8.56</v>
      </c>
      <c r="F181">
        <v>0</v>
      </c>
      <c r="G181" s="2">
        <v>11.68</v>
      </c>
      <c r="H181">
        <v>0</v>
      </c>
      <c r="I181">
        <v>1570</v>
      </c>
      <c r="K181" t="s">
        <v>229</v>
      </c>
      <c r="L181">
        <v>7</v>
      </c>
      <c r="M181">
        <v>0</v>
      </c>
      <c r="N181" t="s">
        <v>259</v>
      </c>
      <c r="O181" t="s">
        <v>256</v>
      </c>
      <c r="P181">
        <v>12</v>
      </c>
      <c r="Q18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2B271231</v>
      </c>
      <c r="R181" t="s">
        <v>644</v>
      </c>
      <c r="S18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82" spans="1:19" x14ac:dyDescent="0.25">
      <c r="A182" t="s">
        <v>77</v>
      </c>
      <c r="B182">
        <v>202005</v>
      </c>
      <c r="C182" t="s">
        <v>6</v>
      </c>
      <c r="D182" t="s">
        <v>60</v>
      </c>
      <c r="E182">
        <v>50</v>
      </c>
      <c r="F182">
        <v>0</v>
      </c>
      <c r="G182" s="2">
        <v>17.739999999999998</v>
      </c>
      <c r="H182">
        <v>0</v>
      </c>
      <c r="I182">
        <v>1570</v>
      </c>
      <c r="K182" t="s">
        <v>229</v>
      </c>
      <c r="L182">
        <v>7</v>
      </c>
      <c r="M182">
        <v>0</v>
      </c>
      <c r="N182" t="s">
        <v>259</v>
      </c>
      <c r="O182" t="s">
        <v>256</v>
      </c>
      <c r="P182">
        <v>12</v>
      </c>
      <c r="Q18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2B271245</v>
      </c>
      <c r="R182" t="s">
        <v>644</v>
      </c>
      <c r="S18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83" spans="1:19" x14ac:dyDescent="0.25">
      <c r="A183" t="s">
        <v>77</v>
      </c>
      <c r="B183">
        <v>202005</v>
      </c>
      <c r="C183" t="s">
        <v>260</v>
      </c>
      <c r="D183" t="s">
        <v>261</v>
      </c>
      <c r="E183">
        <v>50</v>
      </c>
      <c r="F183">
        <v>0</v>
      </c>
      <c r="G183" s="2">
        <v>3.14</v>
      </c>
      <c r="H183">
        <v>0</v>
      </c>
      <c r="I183">
        <v>1570</v>
      </c>
      <c r="K183" t="s">
        <v>229</v>
      </c>
      <c r="L183">
        <v>7</v>
      </c>
      <c r="M183">
        <v>0</v>
      </c>
      <c r="N183" t="s">
        <v>259</v>
      </c>
      <c r="O183" t="s">
        <v>256</v>
      </c>
      <c r="P183">
        <v>12</v>
      </c>
      <c r="Q18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2B271334</v>
      </c>
      <c r="R183" t="s">
        <v>644</v>
      </c>
      <c r="S18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84" spans="1:19" x14ac:dyDescent="0.25">
      <c r="A184" t="s">
        <v>77</v>
      </c>
      <c r="B184">
        <v>202005</v>
      </c>
      <c r="C184" t="s">
        <v>56</v>
      </c>
      <c r="D184" t="s">
        <v>246</v>
      </c>
      <c r="E184">
        <v>0</v>
      </c>
      <c r="F184">
        <v>0</v>
      </c>
      <c r="G184" s="2">
        <v>0.1</v>
      </c>
      <c r="H184">
        <v>0</v>
      </c>
      <c r="K184" t="s">
        <v>229</v>
      </c>
      <c r="L184">
        <v>8</v>
      </c>
      <c r="M184">
        <v>0</v>
      </c>
      <c r="O184" t="s">
        <v>256</v>
      </c>
      <c r="P184">
        <v>12</v>
      </c>
      <c r="Q18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2B278999</v>
      </c>
      <c r="R184" t="s">
        <v>644</v>
      </c>
      <c r="S18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185" spans="1:19" x14ac:dyDescent="0.25">
      <c r="A185" t="s">
        <v>547</v>
      </c>
      <c r="B185">
        <v>202005</v>
      </c>
      <c r="C185" t="s">
        <v>62</v>
      </c>
      <c r="D185" t="s">
        <v>63</v>
      </c>
      <c r="E185">
        <v>294.82855999999998</v>
      </c>
      <c r="F185">
        <v>0</v>
      </c>
      <c r="G185" s="2">
        <v>100</v>
      </c>
      <c r="H185">
        <v>0</v>
      </c>
      <c r="I185">
        <v>1570</v>
      </c>
      <c r="K185" t="s">
        <v>229</v>
      </c>
      <c r="L185">
        <v>1</v>
      </c>
      <c r="M185">
        <v>0</v>
      </c>
      <c r="N185" t="s">
        <v>259</v>
      </c>
      <c r="O185" t="s">
        <v>548</v>
      </c>
      <c r="P185">
        <v>12</v>
      </c>
      <c r="Q18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2B281100</v>
      </c>
      <c r="R185" t="s">
        <v>644</v>
      </c>
      <c r="S18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186" spans="1:19" x14ac:dyDescent="0.25">
      <c r="A186" t="s">
        <v>547</v>
      </c>
      <c r="B186">
        <v>202005</v>
      </c>
      <c r="C186" t="s">
        <v>257</v>
      </c>
      <c r="D186" t="s">
        <v>549</v>
      </c>
      <c r="E186">
        <v>476.31396999999998</v>
      </c>
      <c r="F186">
        <v>0</v>
      </c>
      <c r="G186" s="2">
        <v>44.66</v>
      </c>
      <c r="H186">
        <v>0</v>
      </c>
      <c r="I186">
        <v>1570</v>
      </c>
      <c r="K186" t="s">
        <v>229</v>
      </c>
      <c r="L186">
        <v>6</v>
      </c>
      <c r="M186">
        <v>0</v>
      </c>
      <c r="N186" t="s">
        <v>259</v>
      </c>
      <c r="O186" t="s">
        <v>548</v>
      </c>
      <c r="P186">
        <v>12</v>
      </c>
      <c r="Q18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2B281137B</v>
      </c>
      <c r="R186" t="s">
        <v>644</v>
      </c>
      <c r="S18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</row>
    <row r="187" spans="1:19" x14ac:dyDescent="0.25">
      <c r="A187" t="s">
        <v>547</v>
      </c>
      <c r="B187">
        <v>202005</v>
      </c>
      <c r="C187" t="s">
        <v>55</v>
      </c>
      <c r="D187" t="s">
        <v>61</v>
      </c>
      <c r="E187">
        <v>60</v>
      </c>
      <c r="F187">
        <v>0</v>
      </c>
      <c r="G187" s="2">
        <v>0.9</v>
      </c>
      <c r="H187">
        <v>0</v>
      </c>
      <c r="I187">
        <v>1570</v>
      </c>
      <c r="K187" t="s">
        <v>229</v>
      </c>
      <c r="L187">
        <v>7</v>
      </c>
      <c r="M187">
        <v>0</v>
      </c>
      <c r="N187" t="s">
        <v>259</v>
      </c>
      <c r="O187" t="s">
        <v>548</v>
      </c>
      <c r="P187">
        <v>12</v>
      </c>
      <c r="Q18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2B281242</v>
      </c>
      <c r="R187" t="s">
        <v>644</v>
      </c>
      <c r="S18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88" spans="1:19" x14ac:dyDescent="0.25">
      <c r="A188" t="s">
        <v>547</v>
      </c>
      <c r="B188">
        <v>202005</v>
      </c>
      <c r="C188" t="s">
        <v>3</v>
      </c>
      <c r="D188" t="s">
        <v>58</v>
      </c>
      <c r="E188">
        <v>275</v>
      </c>
      <c r="F188">
        <v>0</v>
      </c>
      <c r="G188" s="2">
        <v>26.61</v>
      </c>
      <c r="H188">
        <v>0</v>
      </c>
      <c r="I188">
        <v>1570</v>
      </c>
      <c r="K188" t="s">
        <v>229</v>
      </c>
      <c r="L188">
        <v>7</v>
      </c>
      <c r="M188">
        <v>0</v>
      </c>
      <c r="N188" t="s">
        <v>259</v>
      </c>
      <c r="O188" t="s">
        <v>548</v>
      </c>
      <c r="P188">
        <v>12</v>
      </c>
      <c r="Q18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2B281229</v>
      </c>
      <c r="R188" t="s">
        <v>644</v>
      </c>
      <c r="S18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89" spans="1:19" x14ac:dyDescent="0.25">
      <c r="A189" t="s">
        <v>547</v>
      </c>
      <c r="B189">
        <v>202005</v>
      </c>
      <c r="C189" t="s">
        <v>5</v>
      </c>
      <c r="D189" t="s">
        <v>59</v>
      </c>
      <c r="E189">
        <v>8.56</v>
      </c>
      <c r="F189">
        <v>0</v>
      </c>
      <c r="G189" s="2">
        <v>12.9</v>
      </c>
      <c r="H189">
        <v>0</v>
      </c>
      <c r="I189">
        <v>1570</v>
      </c>
      <c r="K189" t="s">
        <v>229</v>
      </c>
      <c r="L189">
        <v>7</v>
      </c>
      <c r="M189">
        <v>0</v>
      </c>
      <c r="N189" t="s">
        <v>259</v>
      </c>
      <c r="O189" t="s">
        <v>548</v>
      </c>
      <c r="P189">
        <v>12</v>
      </c>
      <c r="Q18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2B281231</v>
      </c>
      <c r="R189" t="s">
        <v>644</v>
      </c>
      <c r="S18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90" spans="1:19" x14ac:dyDescent="0.25">
      <c r="A190" t="s">
        <v>547</v>
      </c>
      <c r="B190">
        <v>202005</v>
      </c>
      <c r="C190" t="s">
        <v>6</v>
      </c>
      <c r="D190" t="s">
        <v>60</v>
      </c>
      <c r="E190">
        <v>50</v>
      </c>
      <c r="F190">
        <v>0</v>
      </c>
      <c r="G190" s="2">
        <v>11.21</v>
      </c>
      <c r="H190">
        <v>0</v>
      </c>
      <c r="I190">
        <v>1570</v>
      </c>
      <c r="K190" t="s">
        <v>229</v>
      </c>
      <c r="L190">
        <v>7</v>
      </c>
      <c r="M190">
        <v>0</v>
      </c>
      <c r="N190" t="s">
        <v>259</v>
      </c>
      <c r="O190" t="s">
        <v>548</v>
      </c>
      <c r="P190">
        <v>12</v>
      </c>
      <c r="Q19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2B281245</v>
      </c>
      <c r="R190" t="s">
        <v>644</v>
      </c>
      <c r="S19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91" spans="1:19" x14ac:dyDescent="0.25">
      <c r="A191" t="s">
        <v>547</v>
      </c>
      <c r="B191">
        <v>202005</v>
      </c>
      <c r="C191" t="s">
        <v>260</v>
      </c>
      <c r="D191" t="s">
        <v>261</v>
      </c>
      <c r="E191">
        <v>50</v>
      </c>
      <c r="F191">
        <v>0</v>
      </c>
      <c r="G191" s="2">
        <v>3.36</v>
      </c>
      <c r="H191">
        <v>0</v>
      </c>
      <c r="I191">
        <v>1570</v>
      </c>
      <c r="K191" t="s">
        <v>229</v>
      </c>
      <c r="L191">
        <v>7</v>
      </c>
      <c r="M191">
        <v>0</v>
      </c>
      <c r="N191" t="s">
        <v>259</v>
      </c>
      <c r="O191" t="s">
        <v>548</v>
      </c>
      <c r="P191">
        <v>12</v>
      </c>
      <c r="Q19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2B281334</v>
      </c>
      <c r="R191" t="s">
        <v>644</v>
      </c>
      <c r="S19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92" spans="1:19" x14ac:dyDescent="0.25">
      <c r="A192" t="s">
        <v>547</v>
      </c>
      <c r="B192">
        <v>202005</v>
      </c>
      <c r="C192" t="s">
        <v>56</v>
      </c>
      <c r="D192" t="s">
        <v>246</v>
      </c>
      <c r="E192">
        <v>0</v>
      </c>
      <c r="F192">
        <v>0</v>
      </c>
      <c r="G192" s="2">
        <v>0.37</v>
      </c>
      <c r="H192">
        <v>0</v>
      </c>
      <c r="K192" t="s">
        <v>229</v>
      </c>
      <c r="L192">
        <v>8</v>
      </c>
      <c r="M192">
        <v>0</v>
      </c>
      <c r="O192" t="s">
        <v>548</v>
      </c>
      <c r="P192">
        <v>12</v>
      </c>
      <c r="Q19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2B288999</v>
      </c>
      <c r="R192" t="s">
        <v>644</v>
      </c>
      <c r="S19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193" spans="1:19" x14ac:dyDescent="0.25">
      <c r="A193" t="s">
        <v>1270</v>
      </c>
      <c r="B193">
        <v>202005</v>
      </c>
      <c r="C193" t="s">
        <v>62</v>
      </c>
      <c r="D193" t="s">
        <v>63</v>
      </c>
      <c r="E193">
        <v>294.82855999999998</v>
      </c>
      <c r="F193">
        <v>0</v>
      </c>
      <c r="G193" s="2">
        <v>100</v>
      </c>
      <c r="H193">
        <v>0</v>
      </c>
      <c r="I193">
        <v>1570</v>
      </c>
      <c r="K193" t="s">
        <v>229</v>
      </c>
      <c r="L193">
        <v>1</v>
      </c>
      <c r="M193">
        <v>0</v>
      </c>
      <c r="N193" t="s">
        <v>259</v>
      </c>
      <c r="O193" t="s">
        <v>1271</v>
      </c>
      <c r="P193">
        <v>12</v>
      </c>
      <c r="Q19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2B291100</v>
      </c>
      <c r="R193" t="s">
        <v>644</v>
      </c>
      <c r="S19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194" spans="1:19" x14ac:dyDescent="0.25">
      <c r="A194" t="s">
        <v>1270</v>
      </c>
      <c r="B194">
        <v>202005</v>
      </c>
      <c r="C194" t="s">
        <v>68</v>
      </c>
      <c r="D194" t="s">
        <v>69</v>
      </c>
      <c r="E194">
        <v>426.89765</v>
      </c>
      <c r="F194">
        <v>0</v>
      </c>
      <c r="G194" s="2">
        <v>48.95</v>
      </c>
      <c r="H194">
        <v>0</v>
      </c>
      <c r="I194">
        <v>1570</v>
      </c>
      <c r="K194" t="s">
        <v>229</v>
      </c>
      <c r="L194">
        <v>6</v>
      </c>
      <c r="M194">
        <v>0</v>
      </c>
      <c r="N194" t="s">
        <v>259</v>
      </c>
      <c r="O194" t="s">
        <v>1271</v>
      </c>
      <c r="P194">
        <v>12</v>
      </c>
      <c r="Q19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2B291121</v>
      </c>
      <c r="R194" t="s">
        <v>644</v>
      </c>
      <c r="S19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</row>
    <row r="195" spans="1:19" x14ac:dyDescent="0.25">
      <c r="A195" t="s">
        <v>1270</v>
      </c>
      <c r="B195">
        <v>202005</v>
      </c>
      <c r="C195" t="s">
        <v>3</v>
      </c>
      <c r="D195" t="s">
        <v>58</v>
      </c>
      <c r="E195">
        <v>275</v>
      </c>
      <c r="F195">
        <v>0</v>
      </c>
      <c r="G195" s="2">
        <v>14.94</v>
      </c>
      <c r="H195">
        <v>0</v>
      </c>
      <c r="I195">
        <v>1570</v>
      </c>
      <c r="K195" t="s">
        <v>229</v>
      </c>
      <c r="L195">
        <v>7</v>
      </c>
      <c r="M195">
        <v>0</v>
      </c>
      <c r="N195" t="s">
        <v>259</v>
      </c>
      <c r="O195" t="s">
        <v>1271</v>
      </c>
      <c r="P195">
        <v>12</v>
      </c>
      <c r="Q19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2B291229</v>
      </c>
      <c r="R195" t="s">
        <v>644</v>
      </c>
      <c r="S19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96" spans="1:19" x14ac:dyDescent="0.25">
      <c r="A196" t="s">
        <v>1270</v>
      </c>
      <c r="B196">
        <v>202005</v>
      </c>
      <c r="C196" t="s">
        <v>5</v>
      </c>
      <c r="D196" t="s">
        <v>59</v>
      </c>
      <c r="E196">
        <v>8.56</v>
      </c>
      <c r="F196">
        <v>0</v>
      </c>
      <c r="G196" s="2">
        <v>7.17</v>
      </c>
      <c r="H196">
        <v>0</v>
      </c>
      <c r="I196">
        <v>1570</v>
      </c>
      <c r="K196" t="s">
        <v>229</v>
      </c>
      <c r="L196">
        <v>7</v>
      </c>
      <c r="M196">
        <v>0</v>
      </c>
      <c r="N196" t="s">
        <v>259</v>
      </c>
      <c r="O196" t="s">
        <v>1271</v>
      </c>
      <c r="P196">
        <v>12</v>
      </c>
      <c r="Q19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2B291231</v>
      </c>
      <c r="R196" t="s">
        <v>644</v>
      </c>
      <c r="S19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97" spans="1:19" x14ac:dyDescent="0.25">
      <c r="A197" t="s">
        <v>1270</v>
      </c>
      <c r="B197">
        <v>202005</v>
      </c>
      <c r="C197" t="s">
        <v>55</v>
      </c>
      <c r="D197" t="s">
        <v>61</v>
      </c>
      <c r="E197">
        <v>60</v>
      </c>
      <c r="F197">
        <v>0</v>
      </c>
      <c r="G197" s="2">
        <v>0.28000000000000003</v>
      </c>
      <c r="H197">
        <v>0</v>
      </c>
      <c r="I197">
        <v>1570</v>
      </c>
      <c r="K197" t="s">
        <v>229</v>
      </c>
      <c r="L197">
        <v>7</v>
      </c>
      <c r="M197">
        <v>0</v>
      </c>
      <c r="N197" t="s">
        <v>259</v>
      </c>
      <c r="O197" t="s">
        <v>1271</v>
      </c>
      <c r="P197">
        <v>12</v>
      </c>
      <c r="Q19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2B291242</v>
      </c>
      <c r="R197" t="s">
        <v>644</v>
      </c>
      <c r="S19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98" spans="1:19" x14ac:dyDescent="0.25">
      <c r="A198" t="s">
        <v>1270</v>
      </c>
      <c r="B198">
        <v>202005</v>
      </c>
      <c r="C198" t="s">
        <v>6</v>
      </c>
      <c r="D198" t="s">
        <v>60</v>
      </c>
      <c r="E198">
        <v>50</v>
      </c>
      <c r="F198">
        <v>0</v>
      </c>
      <c r="G198" s="2">
        <v>10.23</v>
      </c>
      <c r="H198">
        <v>0</v>
      </c>
      <c r="I198">
        <v>1570</v>
      </c>
      <c r="K198" t="s">
        <v>229</v>
      </c>
      <c r="L198">
        <v>7</v>
      </c>
      <c r="M198">
        <v>0</v>
      </c>
      <c r="N198" t="s">
        <v>259</v>
      </c>
      <c r="O198" t="s">
        <v>1271</v>
      </c>
      <c r="P198">
        <v>12</v>
      </c>
      <c r="Q19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2B291245</v>
      </c>
      <c r="R198" t="s">
        <v>644</v>
      </c>
      <c r="S19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99" spans="1:19" x14ac:dyDescent="0.25">
      <c r="A199" t="s">
        <v>1270</v>
      </c>
      <c r="B199">
        <v>202005</v>
      </c>
      <c r="C199" t="s">
        <v>260</v>
      </c>
      <c r="D199" t="s">
        <v>261</v>
      </c>
      <c r="E199">
        <v>50</v>
      </c>
      <c r="F199">
        <v>0</v>
      </c>
      <c r="G199" s="2">
        <v>9.75</v>
      </c>
      <c r="H199">
        <v>0</v>
      </c>
      <c r="I199">
        <v>1570</v>
      </c>
      <c r="K199" t="s">
        <v>229</v>
      </c>
      <c r="L199">
        <v>7</v>
      </c>
      <c r="M199">
        <v>0</v>
      </c>
      <c r="N199" t="s">
        <v>259</v>
      </c>
      <c r="O199" t="s">
        <v>1271</v>
      </c>
      <c r="P199">
        <v>12</v>
      </c>
      <c r="Q19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2B291334</v>
      </c>
      <c r="R199" t="s">
        <v>644</v>
      </c>
      <c r="S19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200" spans="1:19" x14ac:dyDescent="0.25">
      <c r="A200" t="s">
        <v>1270</v>
      </c>
      <c r="B200">
        <v>202005</v>
      </c>
      <c r="C200" t="s">
        <v>1272</v>
      </c>
      <c r="D200" t="s">
        <v>1273</v>
      </c>
      <c r="E200">
        <v>482.35</v>
      </c>
      <c r="F200">
        <v>0</v>
      </c>
      <c r="G200" s="2">
        <v>8.67</v>
      </c>
      <c r="H200">
        <v>0</v>
      </c>
      <c r="I200">
        <v>1570</v>
      </c>
      <c r="K200" t="s">
        <v>229</v>
      </c>
      <c r="L200">
        <v>7</v>
      </c>
      <c r="M200">
        <v>0</v>
      </c>
      <c r="N200" t="s">
        <v>259</v>
      </c>
      <c r="O200" t="s">
        <v>1271</v>
      </c>
      <c r="P200">
        <v>12</v>
      </c>
      <c r="Q20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2B291341</v>
      </c>
      <c r="R200" t="s">
        <v>644</v>
      </c>
      <c r="S20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201" spans="1:19" x14ac:dyDescent="0.25">
      <c r="A201" t="s">
        <v>1270</v>
      </c>
      <c r="B201">
        <v>202005</v>
      </c>
      <c r="C201" t="s">
        <v>56</v>
      </c>
      <c r="D201" t="s">
        <v>246</v>
      </c>
      <c r="E201">
        <v>0</v>
      </c>
      <c r="F201">
        <v>0</v>
      </c>
      <c r="G201" s="2">
        <v>0</v>
      </c>
      <c r="H201">
        <v>0</v>
      </c>
      <c r="K201" t="s">
        <v>229</v>
      </c>
      <c r="L201">
        <v>8</v>
      </c>
      <c r="M201">
        <v>0</v>
      </c>
      <c r="O201" t="s">
        <v>1271</v>
      </c>
      <c r="P201">
        <v>12</v>
      </c>
      <c r="Q20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2B298999</v>
      </c>
      <c r="R201" t="s">
        <v>644</v>
      </c>
      <c r="S20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202" spans="1:19" x14ac:dyDescent="0.25">
      <c r="A202" t="s">
        <v>1274</v>
      </c>
      <c r="B202">
        <v>202005</v>
      </c>
      <c r="C202" t="s">
        <v>62</v>
      </c>
      <c r="D202" t="s">
        <v>63</v>
      </c>
      <c r="E202">
        <v>294.82855999999998</v>
      </c>
      <c r="F202">
        <v>0</v>
      </c>
      <c r="G202" s="2">
        <v>100</v>
      </c>
      <c r="H202">
        <v>0</v>
      </c>
      <c r="I202">
        <v>1570</v>
      </c>
      <c r="K202" t="s">
        <v>229</v>
      </c>
      <c r="L202">
        <v>1</v>
      </c>
      <c r="M202">
        <v>0</v>
      </c>
      <c r="N202" t="s">
        <v>259</v>
      </c>
      <c r="O202" t="s">
        <v>1275</v>
      </c>
      <c r="P202">
        <v>12</v>
      </c>
      <c r="Q20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2B301100</v>
      </c>
      <c r="R202" t="s">
        <v>644</v>
      </c>
      <c r="S20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203" spans="1:19" x14ac:dyDescent="0.25">
      <c r="A203" t="s">
        <v>1274</v>
      </c>
      <c r="B203">
        <v>202005</v>
      </c>
      <c r="C203" t="s">
        <v>81</v>
      </c>
      <c r="D203" t="s">
        <v>546</v>
      </c>
      <c r="E203">
        <v>554.16430000000003</v>
      </c>
      <c r="F203">
        <v>0</v>
      </c>
      <c r="G203" s="2">
        <v>14.91</v>
      </c>
      <c r="H203">
        <v>0</v>
      </c>
      <c r="I203">
        <v>1570</v>
      </c>
      <c r="K203" t="s">
        <v>229</v>
      </c>
      <c r="L203">
        <v>6</v>
      </c>
      <c r="M203">
        <v>0</v>
      </c>
      <c r="N203" t="s">
        <v>259</v>
      </c>
      <c r="O203" t="s">
        <v>1275</v>
      </c>
      <c r="P203">
        <v>12</v>
      </c>
      <c r="Q20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2B301125</v>
      </c>
      <c r="R203" t="s">
        <v>644</v>
      </c>
      <c r="S20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</row>
    <row r="204" spans="1:19" x14ac:dyDescent="0.25">
      <c r="A204" t="s">
        <v>1274</v>
      </c>
      <c r="B204">
        <v>202005</v>
      </c>
      <c r="C204" t="s">
        <v>55</v>
      </c>
      <c r="D204" t="s">
        <v>61</v>
      </c>
      <c r="E204">
        <v>60</v>
      </c>
      <c r="F204">
        <v>0</v>
      </c>
      <c r="G204" s="2">
        <v>0.56000000000000005</v>
      </c>
      <c r="H204">
        <v>0</v>
      </c>
      <c r="I204">
        <v>1570</v>
      </c>
      <c r="K204" t="s">
        <v>229</v>
      </c>
      <c r="L204">
        <v>7</v>
      </c>
      <c r="M204">
        <v>0</v>
      </c>
      <c r="N204" t="s">
        <v>259</v>
      </c>
      <c r="O204" t="s">
        <v>1275</v>
      </c>
      <c r="P204">
        <v>12</v>
      </c>
      <c r="Q20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2B301242</v>
      </c>
      <c r="R204" t="s">
        <v>644</v>
      </c>
      <c r="S20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205" spans="1:19" x14ac:dyDescent="0.25">
      <c r="A205" t="s">
        <v>1274</v>
      </c>
      <c r="B205">
        <v>202005</v>
      </c>
      <c r="C205" t="s">
        <v>3</v>
      </c>
      <c r="D205" t="s">
        <v>58</v>
      </c>
      <c r="E205">
        <v>275</v>
      </c>
      <c r="F205">
        <v>0</v>
      </c>
      <c r="G205" s="2">
        <v>46.34</v>
      </c>
      <c r="H205">
        <v>0</v>
      </c>
      <c r="I205">
        <v>1570</v>
      </c>
      <c r="K205" t="s">
        <v>229</v>
      </c>
      <c r="L205">
        <v>7</v>
      </c>
      <c r="M205">
        <v>0</v>
      </c>
      <c r="N205" t="s">
        <v>259</v>
      </c>
      <c r="O205" t="s">
        <v>1275</v>
      </c>
      <c r="P205">
        <v>12</v>
      </c>
      <c r="Q20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2B301229</v>
      </c>
      <c r="R205" t="s">
        <v>644</v>
      </c>
      <c r="S20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206" spans="1:19" x14ac:dyDescent="0.25">
      <c r="A206" t="s">
        <v>1274</v>
      </c>
      <c r="B206">
        <v>202005</v>
      </c>
      <c r="C206" t="s">
        <v>5</v>
      </c>
      <c r="D206" t="s">
        <v>59</v>
      </c>
      <c r="E206">
        <v>8.56</v>
      </c>
      <c r="F206">
        <v>0</v>
      </c>
      <c r="G206" s="2">
        <v>6.99</v>
      </c>
      <c r="H206">
        <v>0</v>
      </c>
      <c r="I206">
        <v>1570</v>
      </c>
      <c r="K206" t="s">
        <v>229</v>
      </c>
      <c r="L206">
        <v>7</v>
      </c>
      <c r="M206">
        <v>0</v>
      </c>
      <c r="N206" t="s">
        <v>259</v>
      </c>
      <c r="O206" t="s">
        <v>1275</v>
      </c>
      <c r="P206">
        <v>12</v>
      </c>
      <c r="Q20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2B301231</v>
      </c>
      <c r="R206" t="s">
        <v>644</v>
      </c>
      <c r="S20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207" spans="1:19" x14ac:dyDescent="0.25">
      <c r="A207" t="s">
        <v>1274</v>
      </c>
      <c r="B207">
        <v>202005</v>
      </c>
      <c r="C207" t="s">
        <v>6</v>
      </c>
      <c r="D207" t="s">
        <v>60</v>
      </c>
      <c r="E207">
        <v>50</v>
      </c>
      <c r="F207">
        <v>0</v>
      </c>
      <c r="G207" s="2">
        <v>11.47</v>
      </c>
      <c r="H207">
        <v>0</v>
      </c>
      <c r="I207">
        <v>1570</v>
      </c>
      <c r="K207" t="s">
        <v>229</v>
      </c>
      <c r="L207">
        <v>7</v>
      </c>
      <c r="M207">
        <v>0</v>
      </c>
      <c r="N207" t="s">
        <v>259</v>
      </c>
      <c r="O207" t="s">
        <v>1275</v>
      </c>
      <c r="P207">
        <v>12</v>
      </c>
      <c r="Q20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2B301245</v>
      </c>
      <c r="R207" t="s">
        <v>644</v>
      </c>
      <c r="S20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208" spans="1:19" x14ac:dyDescent="0.25">
      <c r="A208" t="s">
        <v>1274</v>
      </c>
      <c r="B208">
        <v>202005</v>
      </c>
      <c r="C208" t="s">
        <v>260</v>
      </c>
      <c r="D208" t="s">
        <v>261</v>
      </c>
      <c r="E208">
        <v>50</v>
      </c>
      <c r="F208">
        <v>0</v>
      </c>
      <c r="G208" s="2">
        <v>11.05</v>
      </c>
      <c r="H208">
        <v>0</v>
      </c>
      <c r="I208">
        <v>1570</v>
      </c>
      <c r="K208" t="s">
        <v>229</v>
      </c>
      <c r="L208">
        <v>7</v>
      </c>
      <c r="M208">
        <v>0</v>
      </c>
      <c r="N208" t="s">
        <v>259</v>
      </c>
      <c r="O208" t="s">
        <v>1275</v>
      </c>
      <c r="P208">
        <v>12</v>
      </c>
      <c r="Q20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2B301334</v>
      </c>
      <c r="R208" t="s">
        <v>644</v>
      </c>
      <c r="S20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209" spans="1:19" x14ac:dyDescent="0.25">
      <c r="A209" t="s">
        <v>1274</v>
      </c>
      <c r="B209">
        <v>202005</v>
      </c>
      <c r="C209" t="s">
        <v>1272</v>
      </c>
      <c r="D209" t="s">
        <v>1273</v>
      </c>
      <c r="E209">
        <v>482.35</v>
      </c>
      <c r="F209">
        <v>0</v>
      </c>
      <c r="G209" s="2">
        <v>8.67</v>
      </c>
      <c r="H209">
        <v>0</v>
      </c>
      <c r="I209">
        <v>1570</v>
      </c>
      <c r="K209" t="s">
        <v>229</v>
      </c>
      <c r="L209">
        <v>7</v>
      </c>
      <c r="M209">
        <v>0</v>
      </c>
      <c r="N209" t="s">
        <v>259</v>
      </c>
      <c r="O209" t="s">
        <v>1275</v>
      </c>
      <c r="P209">
        <v>12</v>
      </c>
      <c r="Q20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2B301341</v>
      </c>
      <c r="R209" t="s">
        <v>644</v>
      </c>
      <c r="S20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210" spans="1:19" x14ac:dyDescent="0.25">
      <c r="A210" t="s">
        <v>1274</v>
      </c>
      <c r="B210">
        <v>202005</v>
      </c>
      <c r="C210" t="s">
        <v>56</v>
      </c>
      <c r="D210" t="s">
        <v>246</v>
      </c>
      <c r="E210">
        <v>0</v>
      </c>
      <c r="F210">
        <v>0</v>
      </c>
      <c r="G210" s="2">
        <v>0</v>
      </c>
      <c r="H210">
        <v>0</v>
      </c>
      <c r="K210" t="s">
        <v>229</v>
      </c>
      <c r="L210">
        <v>8</v>
      </c>
      <c r="M210">
        <v>0</v>
      </c>
      <c r="O210" t="s">
        <v>1275</v>
      </c>
      <c r="P210">
        <v>12</v>
      </c>
      <c r="Q21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2B308999</v>
      </c>
      <c r="R210" t="s">
        <v>644</v>
      </c>
      <c r="S21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211" spans="1:19" x14ac:dyDescent="0.25">
      <c r="A211" t="s">
        <v>550</v>
      </c>
      <c r="B211">
        <v>202005</v>
      </c>
      <c r="C211" t="s">
        <v>62</v>
      </c>
      <c r="D211" t="s">
        <v>63</v>
      </c>
      <c r="E211">
        <v>294.82855999999998</v>
      </c>
      <c r="F211">
        <v>0</v>
      </c>
      <c r="G211" s="2">
        <v>100</v>
      </c>
      <c r="H211">
        <v>0</v>
      </c>
      <c r="I211">
        <v>1570</v>
      </c>
      <c r="K211" t="s">
        <v>229</v>
      </c>
      <c r="L211">
        <v>1</v>
      </c>
      <c r="M211">
        <v>0</v>
      </c>
      <c r="N211" t="s">
        <v>259</v>
      </c>
      <c r="O211" t="s">
        <v>551</v>
      </c>
      <c r="P211">
        <v>12</v>
      </c>
      <c r="Q21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2B311100</v>
      </c>
      <c r="R211" t="s">
        <v>644</v>
      </c>
      <c r="S21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212" spans="1:19" x14ac:dyDescent="0.25">
      <c r="A212" t="s">
        <v>550</v>
      </c>
      <c r="B212">
        <v>202005</v>
      </c>
      <c r="C212" t="s">
        <v>95</v>
      </c>
      <c r="D212" t="s">
        <v>96</v>
      </c>
      <c r="E212">
        <v>495.48491999999999</v>
      </c>
      <c r="F212">
        <v>0</v>
      </c>
      <c r="G212" s="2">
        <v>40.020000000000003</v>
      </c>
      <c r="H212">
        <v>0</v>
      </c>
      <c r="I212">
        <v>1570</v>
      </c>
      <c r="K212" t="s">
        <v>229</v>
      </c>
      <c r="L212">
        <v>6</v>
      </c>
      <c r="M212">
        <v>0</v>
      </c>
      <c r="N212" t="s">
        <v>259</v>
      </c>
      <c r="O212" t="s">
        <v>551</v>
      </c>
      <c r="P212">
        <v>12</v>
      </c>
      <c r="Q21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2B311131</v>
      </c>
      <c r="R212" t="s">
        <v>644</v>
      </c>
      <c r="S21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</row>
    <row r="213" spans="1:19" x14ac:dyDescent="0.25">
      <c r="A213" t="s">
        <v>550</v>
      </c>
      <c r="B213">
        <v>202005</v>
      </c>
      <c r="C213" t="s">
        <v>3</v>
      </c>
      <c r="D213" t="s">
        <v>58</v>
      </c>
      <c r="E213">
        <v>275</v>
      </c>
      <c r="F213">
        <v>0</v>
      </c>
      <c r="G213" s="2">
        <v>22.14</v>
      </c>
      <c r="H213">
        <v>0</v>
      </c>
      <c r="I213">
        <v>1570</v>
      </c>
      <c r="K213" t="s">
        <v>229</v>
      </c>
      <c r="L213">
        <v>7</v>
      </c>
      <c r="M213">
        <v>0</v>
      </c>
      <c r="N213" t="s">
        <v>259</v>
      </c>
      <c r="O213" t="s">
        <v>551</v>
      </c>
      <c r="P213">
        <v>12</v>
      </c>
      <c r="Q21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2B311229</v>
      </c>
      <c r="R213" t="s">
        <v>644</v>
      </c>
      <c r="S21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214" spans="1:19" x14ac:dyDescent="0.25">
      <c r="A214" t="s">
        <v>550</v>
      </c>
      <c r="B214">
        <v>202005</v>
      </c>
      <c r="C214" t="s">
        <v>5</v>
      </c>
      <c r="D214" t="s">
        <v>59</v>
      </c>
      <c r="E214">
        <v>8.56</v>
      </c>
      <c r="F214">
        <v>0</v>
      </c>
      <c r="G214" s="2">
        <v>8.8000000000000007</v>
      </c>
      <c r="H214">
        <v>0</v>
      </c>
      <c r="I214">
        <v>1570</v>
      </c>
      <c r="K214" t="s">
        <v>229</v>
      </c>
      <c r="L214">
        <v>7</v>
      </c>
      <c r="M214">
        <v>0</v>
      </c>
      <c r="N214" t="s">
        <v>259</v>
      </c>
      <c r="O214" t="s">
        <v>551</v>
      </c>
      <c r="P214">
        <v>12</v>
      </c>
      <c r="Q21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2B311231</v>
      </c>
      <c r="R214" t="s">
        <v>644</v>
      </c>
      <c r="S21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215" spans="1:19" x14ac:dyDescent="0.25">
      <c r="A215" t="s">
        <v>550</v>
      </c>
      <c r="B215">
        <v>202005</v>
      </c>
      <c r="C215" t="s">
        <v>6</v>
      </c>
      <c r="D215" t="s">
        <v>60</v>
      </c>
      <c r="E215">
        <v>50</v>
      </c>
      <c r="F215">
        <v>0</v>
      </c>
      <c r="G215" s="2">
        <v>18.03</v>
      </c>
      <c r="H215">
        <v>0</v>
      </c>
      <c r="I215">
        <v>1570</v>
      </c>
      <c r="K215" t="s">
        <v>229</v>
      </c>
      <c r="L215">
        <v>7</v>
      </c>
      <c r="M215">
        <v>0</v>
      </c>
      <c r="N215" t="s">
        <v>259</v>
      </c>
      <c r="O215" t="s">
        <v>551</v>
      </c>
      <c r="P215">
        <v>12</v>
      </c>
      <c r="Q21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2B311245</v>
      </c>
      <c r="R215" t="s">
        <v>644</v>
      </c>
      <c r="S21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216" spans="1:19" x14ac:dyDescent="0.25">
      <c r="A216" t="s">
        <v>550</v>
      </c>
      <c r="B216">
        <v>202005</v>
      </c>
      <c r="C216" t="s">
        <v>260</v>
      </c>
      <c r="D216" t="s">
        <v>261</v>
      </c>
      <c r="E216">
        <v>50</v>
      </c>
      <c r="F216">
        <v>0</v>
      </c>
      <c r="G216" s="2">
        <v>11</v>
      </c>
      <c r="H216">
        <v>0</v>
      </c>
      <c r="I216">
        <v>1570</v>
      </c>
      <c r="K216" t="s">
        <v>229</v>
      </c>
      <c r="L216">
        <v>7</v>
      </c>
      <c r="M216">
        <v>0</v>
      </c>
      <c r="N216" t="s">
        <v>259</v>
      </c>
      <c r="O216" t="s">
        <v>551</v>
      </c>
      <c r="P216">
        <v>12</v>
      </c>
      <c r="Q21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2B311334</v>
      </c>
      <c r="R216" t="s">
        <v>644</v>
      </c>
      <c r="S21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217" spans="1:19" x14ac:dyDescent="0.25">
      <c r="A217" t="s">
        <v>550</v>
      </c>
      <c r="B217">
        <v>202005</v>
      </c>
      <c r="C217" t="s">
        <v>56</v>
      </c>
      <c r="D217" t="s">
        <v>246</v>
      </c>
      <c r="E217">
        <v>0</v>
      </c>
      <c r="F217">
        <v>0</v>
      </c>
      <c r="G217" s="2">
        <v>0</v>
      </c>
      <c r="H217">
        <v>0</v>
      </c>
      <c r="K217" t="s">
        <v>229</v>
      </c>
      <c r="L217">
        <v>8</v>
      </c>
      <c r="M217">
        <v>0</v>
      </c>
      <c r="O217" t="s">
        <v>551</v>
      </c>
      <c r="P217">
        <v>12</v>
      </c>
      <c r="Q21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2B318999</v>
      </c>
      <c r="R217" t="s">
        <v>644</v>
      </c>
      <c r="S21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218" spans="1:19" x14ac:dyDescent="0.25">
      <c r="A218" t="s">
        <v>1276</v>
      </c>
      <c r="B218">
        <v>202005</v>
      </c>
      <c r="C218" t="s">
        <v>62</v>
      </c>
      <c r="D218" t="s">
        <v>63</v>
      </c>
      <c r="E218">
        <v>294.82855999999998</v>
      </c>
      <c r="F218">
        <v>0</v>
      </c>
      <c r="G218" s="2">
        <v>100</v>
      </c>
      <c r="H218">
        <v>0</v>
      </c>
      <c r="I218">
        <v>1570</v>
      </c>
      <c r="K218" t="s">
        <v>229</v>
      </c>
      <c r="L218">
        <v>1</v>
      </c>
      <c r="M218">
        <v>0</v>
      </c>
      <c r="N218" t="s">
        <v>259</v>
      </c>
      <c r="O218" t="s">
        <v>1277</v>
      </c>
      <c r="P218">
        <v>12</v>
      </c>
      <c r="Q21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2B321100</v>
      </c>
      <c r="R218" t="s">
        <v>644</v>
      </c>
      <c r="S21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219" spans="1:19" x14ac:dyDescent="0.25">
      <c r="A219" t="s">
        <v>1276</v>
      </c>
      <c r="B219">
        <v>202005</v>
      </c>
      <c r="C219" t="s">
        <v>1278</v>
      </c>
      <c r="D219" t="s">
        <v>1279</v>
      </c>
      <c r="E219">
        <v>290.58999999999997</v>
      </c>
      <c r="F219">
        <v>0</v>
      </c>
      <c r="G219" s="2">
        <v>9.4</v>
      </c>
      <c r="H219">
        <v>0</v>
      </c>
      <c r="K219" t="s">
        <v>229</v>
      </c>
      <c r="L219">
        <v>6</v>
      </c>
      <c r="M219">
        <v>0</v>
      </c>
      <c r="N219" t="s">
        <v>259</v>
      </c>
      <c r="O219" t="s">
        <v>1277</v>
      </c>
      <c r="P219">
        <v>12</v>
      </c>
      <c r="Q21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2B321150</v>
      </c>
      <c r="R219" t="s">
        <v>644</v>
      </c>
      <c r="S21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</row>
    <row r="220" spans="1:19" x14ac:dyDescent="0.25">
      <c r="A220" t="s">
        <v>1276</v>
      </c>
      <c r="B220">
        <v>202005</v>
      </c>
      <c r="C220" t="s">
        <v>95</v>
      </c>
      <c r="D220" t="s">
        <v>96</v>
      </c>
      <c r="E220">
        <v>495.48491999999999</v>
      </c>
      <c r="F220">
        <v>0</v>
      </c>
      <c r="G220" s="2">
        <v>41.6</v>
      </c>
      <c r="H220">
        <v>0</v>
      </c>
      <c r="K220" t="s">
        <v>229</v>
      </c>
      <c r="L220">
        <v>7</v>
      </c>
      <c r="M220">
        <v>0</v>
      </c>
      <c r="N220" t="s">
        <v>259</v>
      </c>
      <c r="O220" t="s">
        <v>1277</v>
      </c>
      <c r="P220">
        <v>12</v>
      </c>
      <c r="Q22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2B321131</v>
      </c>
      <c r="R220" t="s">
        <v>644</v>
      </c>
      <c r="S22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221" spans="1:19" x14ac:dyDescent="0.25">
      <c r="A221" t="s">
        <v>1276</v>
      </c>
      <c r="B221">
        <v>202005</v>
      </c>
      <c r="C221" t="s">
        <v>3</v>
      </c>
      <c r="D221" t="s">
        <v>58</v>
      </c>
      <c r="E221">
        <v>275</v>
      </c>
      <c r="F221">
        <v>0</v>
      </c>
      <c r="G221" s="2">
        <v>23.7</v>
      </c>
      <c r="H221">
        <v>0</v>
      </c>
      <c r="K221" t="s">
        <v>229</v>
      </c>
      <c r="L221">
        <v>7</v>
      </c>
      <c r="M221">
        <v>0</v>
      </c>
      <c r="N221" t="s">
        <v>259</v>
      </c>
      <c r="O221" t="s">
        <v>1277</v>
      </c>
      <c r="P221">
        <v>12</v>
      </c>
      <c r="Q22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2B321229</v>
      </c>
      <c r="R221" t="s">
        <v>644</v>
      </c>
      <c r="S22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222" spans="1:19" x14ac:dyDescent="0.25">
      <c r="A222" t="s">
        <v>1276</v>
      </c>
      <c r="B222">
        <v>202005</v>
      </c>
      <c r="C222" t="s">
        <v>5</v>
      </c>
      <c r="D222" t="s">
        <v>59</v>
      </c>
      <c r="E222">
        <v>8.56</v>
      </c>
      <c r="F222">
        <v>0</v>
      </c>
      <c r="G222" s="2">
        <v>10.7</v>
      </c>
      <c r="H222">
        <v>0</v>
      </c>
      <c r="K222" t="s">
        <v>229</v>
      </c>
      <c r="L222">
        <v>7</v>
      </c>
      <c r="M222">
        <v>0</v>
      </c>
      <c r="N222" t="s">
        <v>259</v>
      </c>
      <c r="O222" t="s">
        <v>1277</v>
      </c>
      <c r="P222">
        <v>12</v>
      </c>
      <c r="Q22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2B321231</v>
      </c>
      <c r="R222" t="s">
        <v>644</v>
      </c>
      <c r="S22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223" spans="1:19" x14ac:dyDescent="0.25">
      <c r="A223" t="s">
        <v>1276</v>
      </c>
      <c r="B223">
        <v>202005</v>
      </c>
      <c r="C223" t="s">
        <v>6</v>
      </c>
      <c r="D223" t="s">
        <v>60</v>
      </c>
      <c r="E223" s="1020">
        <v>50</v>
      </c>
      <c r="F223">
        <v>0</v>
      </c>
      <c r="G223" s="2">
        <v>9.4</v>
      </c>
      <c r="H223">
        <v>0</v>
      </c>
      <c r="K223" t="s">
        <v>229</v>
      </c>
      <c r="L223">
        <v>7</v>
      </c>
      <c r="M223">
        <v>0</v>
      </c>
      <c r="N223" t="s">
        <v>259</v>
      </c>
      <c r="O223" t="s">
        <v>1277</v>
      </c>
      <c r="P223">
        <v>12</v>
      </c>
      <c r="Q22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2B321245</v>
      </c>
      <c r="R223" t="s">
        <v>644</v>
      </c>
      <c r="S22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224" spans="1:19" x14ac:dyDescent="0.25">
      <c r="A224" t="s">
        <v>1276</v>
      </c>
      <c r="B224">
        <v>202005</v>
      </c>
      <c r="C224" t="s">
        <v>260</v>
      </c>
      <c r="D224" t="s">
        <v>261</v>
      </c>
      <c r="E224">
        <v>50</v>
      </c>
      <c r="F224">
        <v>0</v>
      </c>
      <c r="G224" s="2">
        <v>5.0999999999999996</v>
      </c>
      <c r="H224">
        <v>0</v>
      </c>
      <c r="I224">
        <v>1570</v>
      </c>
      <c r="K224" t="s">
        <v>229</v>
      </c>
      <c r="L224">
        <v>7</v>
      </c>
      <c r="M224">
        <v>0</v>
      </c>
      <c r="N224" t="s">
        <v>259</v>
      </c>
      <c r="O224" t="s">
        <v>1277</v>
      </c>
      <c r="P224">
        <v>12</v>
      </c>
      <c r="Q22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2B321334</v>
      </c>
      <c r="R224" t="s">
        <v>644</v>
      </c>
      <c r="S22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225" spans="1:19" x14ac:dyDescent="0.25">
      <c r="A225" t="s">
        <v>1276</v>
      </c>
      <c r="B225">
        <v>202005</v>
      </c>
      <c r="C225" t="s">
        <v>56</v>
      </c>
      <c r="D225" t="s">
        <v>246</v>
      </c>
      <c r="E225">
        <v>0</v>
      </c>
      <c r="F225">
        <v>0</v>
      </c>
      <c r="G225" s="2">
        <v>0.1</v>
      </c>
      <c r="H225">
        <v>0</v>
      </c>
      <c r="K225" t="s">
        <v>229</v>
      </c>
      <c r="L225">
        <v>8</v>
      </c>
      <c r="M225">
        <v>0</v>
      </c>
      <c r="O225" t="s">
        <v>1277</v>
      </c>
      <c r="P225">
        <v>12</v>
      </c>
      <c r="Q22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2B328999</v>
      </c>
      <c r="R225" t="s">
        <v>644</v>
      </c>
      <c r="S22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226" spans="1:19" x14ac:dyDescent="0.25">
      <c r="A226" t="s">
        <v>1280</v>
      </c>
      <c r="B226">
        <v>202005</v>
      </c>
      <c r="C226" t="s">
        <v>62</v>
      </c>
      <c r="D226" t="s">
        <v>63</v>
      </c>
      <c r="E226">
        <v>294.82855999999998</v>
      </c>
      <c r="F226">
        <v>0</v>
      </c>
      <c r="G226" s="2">
        <v>100</v>
      </c>
      <c r="H226">
        <v>0</v>
      </c>
      <c r="I226">
        <v>1570</v>
      </c>
      <c r="K226" t="s">
        <v>229</v>
      </c>
      <c r="L226">
        <v>1</v>
      </c>
      <c r="M226">
        <v>0</v>
      </c>
      <c r="N226" t="s">
        <v>259</v>
      </c>
      <c r="O226" t="s">
        <v>1281</v>
      </c>
      <c r="P226">
        <v>12</v>
      </c>
      <c r="Q22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2B331100</v>
      </c>
      <c r="R226" t="s">
        <v>644</v>
      </c>
      <c r="S22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227" spans="1:19" x14ac:dyDescent="0.25">
      <c r="A227" t="s">
        <v>1280</v>
      </c>
      <c r="B227">
        <v>202005</v>
      </c>
      <c r="C227" t="s">
        <v>1282</v>
      </c>
      <c r="D227" t="s">
        <v>1283</v>
      </c>
      <c r="E227">
        <v>588.04999999999995</v>
      </c>
      <c r="F227">
        <v>0</v>
      </c>
      <c r="G227" s="2">
        <v>6.9</v>
      </c>
      <c r="H227">
        <v>0</v>
      </c>
      <c r="K227" t="s">
        <v>229</v>
      </c>
      <c r="L227">
        <v>6</v>
      </c>
      <c r="M227">
        <v>0</v>
      </c>
      <c r="N227" t="s">
        <v>259</v>
      </c>
      <c r="O227" t="s">
        <v>1281</v>
      </c>
      <c r="P227">
        <v>12</v>
      </c>
      <c r="Q22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2B331347</v>
      </c>
      <c r="R227" t="s">
        <v>644</v>
      </c>
      <c r="S22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</row>
    <row r="228" spans="1:19" x14ac:dyDescent="0.25">
      <c r="A228" t="s">
        <v>1280</v>
      </c>
      <c r="B228">
        <v>202005</v>
      </c>
      <c r="C228" t="s">
        <v>95</v>
      </c>
      <c r="D228" t="s">
        <v>96</v>
      </c>
      <c r="E228">
        <v>495.48491999999999</v>
      </c>
      <c r="F228">
        <v>0</v>
      </c>
      <c r="G228" s="2">
        <v>35.700000000000003</v>
      </c>
      <c r="H228">
        <v>0</v>
      </c>
      <c r="K228" t="s">
        <v>229</v>
      </c>
      <c r="L228">
        <v>7</v>
      </c>
      <c r="M228">
        <v>0</v>
      </c>
      <c r="N228" t="s">
        <v>259</v>
      </c>
      <c r="O228" t="s">
        <v>1281</v>
      </c>
      <c r="P228">
        <v>12</v>
      </c>
      <c r="Q22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2B331131</v>
      </c>
      <c r="R228" t="s">
        <v>644</v>
      </c>
      <c r="S22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229" spans="1:19" x14ac:dyDescent="0.25">
      <c r="A229" t="s">
        <v>1280</v>
      </c>
      <c r="B229">
        <v>202005</v>
      </c>
      <c r="C229" t="s">
        <v>3</v>
      </c>
      <c r="D229" t="s">
        <v>58</v>
      </c>
      <c r="E229">
        <v>275</v>
      </c>
      <c r="F229">
        <v>0</v>
      </c>
      <c r="G229" s="2">
        <v>29.5</v>
      </c>
      <c r="H229">
        <v>0</v>
      </c>
      <c r="K229" t="s">
        <v>229</v>
      </c>
      <c r="L229">
        <v>7</v>
      </c>
      <c r="M229">
        <v>0</v>
      </c>
      <c r="N229" t="s">
        <v>259</v>
      </c>
      <c r="O229" t="s">
        <v>1281</v>
      </c>
      <c r="P229">
        <v>12</v>
      </c>
      <c r="Q22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2B331229</v>
      </c>
      <c r="R229" t="s">
        <v>644</v>
      </c>
      <c r="S22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230" spans="1:19" x14ac:dyDescent="0.25">
      <c r="A230" t="s">
        <v>1280</v>
      </c>
      <c r="B230">
        <v>202005</v>
      </c>
      <c r="C230" t="s">
        <v>5</v>
      </c>
      <c r="D230" t="s">
        <v>59</v>
      </c>
      <c r="E230">
        <v>8.56</v>
      </c>
      <c r="F230">
        <v>0</v>
      </c>
      <c r="G230" s="2">
        <v>12.6</v>
      </c>
      <c r="H230">
        <v>0</v>
      </c>
      <c r="K230" t="s">
        <v>229</v>
      </c>
      <c r="L230">
        <v>7</v>
      </c>
      <c r="M230">
        <v>0</v>
      </c>
      <c r="N230" t="s">
        <v>259</v>
      </c>
      <c r="O230" t="s">
        <v>1281</v>
      </c>
      <c r="P230">
        <v>12</v>
      </c>
      <c r="Q23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2B331231</v>
      </c>
      <c r="R230" t="s">
        <v>644</v>
      </c>
      <c r="S23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231" spans="1:19" x14ac:dyDescent="0.25">
      <c r="A231" t="s">
        <v>1280</v>
      </c>
      <c r="B231">
        <v>202005</v>
      </c>
      <c r="C231" t="s">
        <v>55</v>
      </c>
      <c r="D231" t="s">
        <v>61</v>
      </c>
      <c r="E231">
        <v>60</v>
      </c>
      <c r="F231">
        <v>0</v>
      </c>
      <c r="G231" s="2">
        <v>0.5</v>
      </c>
      <c r="H231">
        <v>0</v>
      </c>
      <c r="K231" t="s">
        <v>229</v>
      </c>
      <c r="L231">
        <v>7</v>
      </c>
      <c r="M231">
        <v>0</v>
      </c>
      <c r="N231" t="s">
        <v>259</v>
      </c>
      <c r="O231" t="s">
        <v>1281</v>
      </c>
      <c r="P231">
        <v>12</v>
      </c>
      <c r="Q23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2B331242</v>
      </c>
      <c r="R231" t="s">
        <v>644</v>
      </c>
      <c r="S23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232" spans="1:19" x14ac:dyDescent="0.25">
      <c r="A232" t="s">
        <v>1280</v>
      </c>
      <c r="B232">
        <v>202005</v>
      </c>
      <c r="C232" t="s">
        <v>6</v>
      </c>
      <c r="D232" t="s">
        <v>60</v>
      </c>
      <c r="E232">
        <v>50</v>
      </c>
      <c r="F232">
        <v>0</v>
      </c>
      <c r="G232" s="2">
        <v>11.7</v>
      </c>
      <c r="H232">
        <v>0</v>
      </c>
      <c r="K232" t="s">
        <v>229</v>
      </c>
      <c r="L232">
        <v>7</v>
      </c>
      <c r="M232">
        <v>0</v>
      </c>
      <c r="N232" t="s">
        <v>259</v>
      </c>
      <c r="O232" t="s">
        <v>1281</v>
      </c>
      <c r="P232">
        <v>12</v>
      </c>
      <c r="Q23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2B331245</v>
      </c>
      <c r="R232" t="s">
        <v>644</v>
      </c>
      <c r="S23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233" spans="1:19" x14ac:dyDescent="0.25">
      <c r="A233" t="s">
        <v>1280</v>
      </c>
      <c r="B233">
        <v>202005</v>
      </c>
      <c r="C233" t="s">
        <v>260</v>
      </c>
      <c r="D233" t="s">
        <v>261</v>
      </c>
      <c r="E233">
        <v>50</v>
      </c>
      <c r="F233">
        <v>0</v>
      </c>
      <c r="G233" s="2">
        <v>3.09</v>
      </c>
      <c r="H233">
        <v>0</v>
      </c>
      <c r="I233">
        <v>1570</v>
      </c>
      <c r="K233" t="s">
        <v>229</v>
      </c>
      <c r="L233">
        <v>7</v>
      </c>
      <c r="M233">
        <v>0</v>
      </c>
      <c r="N233" t="s">
        <v>259</v>
      </c>
      <c r="O233" t="s">
        <v>1281</v>
      </c>
      <c r="P233">
        <v>12</v>
      </c>
      <c r="Q23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2B331334</v>
      </c>
      <c r="R233" t="s">
        <v>644</v>
      </c>
      <c r="S23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234" spans="1:19" x14ac:dyDescent="0.25">
      <c r="A234" t="s">
        <v>1280</v>
      </c>
      <c r="B234">
        <v>202005</v>
      </c>
      <c r="C234" t="s">
        <v>56</v>
      </c>
      <c r="D234" t="s">
        <v>246</v>
      </c>
      <c r="E234">
        <v>0</v>
      </c>
      <c r="F234">
        <v>0</v>
      </c>
      <c r="G234" s="2">
        <v>0.01</v>
      </c>
      <c r="H234">
        <v>0</v>
      </c>
      <c r="K234" t="s">
        <v>229</v>
      </c>
      <c r="L234">
        <v>8</v>
      </c>
      <c r="M234">
        <v>0</v>
      </c>
      <c r="O234" t="s">
        <v>1281</v>
      </c>
      <c r="P234">
        <v>12</v>
      </c>
      <c r="Q23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2B338999</v>
      </c>
      <c r="R234" t="s">
        <v>644</v>
      </c>
      <c r="S23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235" spans="1:19" x14ac:dyDescent="0.25">
      <c r="A235" t="s">
        <v>1284</v>
      </c>
      <c r="B235">
        <v>202005</v>
      </c>
      <c r="C235" t="s">
        <v>1285</v>
      </c>
      <c r="D235" t="s">
        <v>1286</v>
      </c>
      <c r="E235">
        <v>282.69</v>
      </c>
      <c r="F235">
        <v>0</v>
      </c>
      <c r="G235" s="2">
        <v>100</v>
      </c>
      <c r="H235">
        <v>0</v>
      </c>
      <c r="I235">
        <v>1570</v>
      </c>
      <c r="K235" t="s">
        <v>229</v>
      </c>
      <c r="L235">
        <v>1</v>
      </c>
      <c r="M235">
        <v>0</v>
      </c>
      <c r="N235" t="s">
        <v>259</v>
      </c>
      <c r="O235" t="s">
        <v>1287</v>
      </c>
      <c r="P235">
        <v>12</v>
      </c>
      <c r="Q23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2B761156</v>
      </c>
      <c r="R235" t="s">
        <v>229</v>
      </c>
      <c r="S23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236" spans="1:19" x14ac:dyDescent="0.25">
      <c r="A236" t="s">
        <v>1284</v>
      </c>
      <c r="B236">
        <v>202005</v>
      </c>
      <c r="C236" t="s">
        <v>1288</v>
      </c>
      <c r="D236" t="s">
        <v>1289</v>
      </c>
      <c r="E236" s="1020">
        <v>1292.1099999999999</v>
      </c>
      <c r="F236">
        <v>0</v>
      </c>
      <c r="G236" s="2">
        <v>11.7</v>
      </c>
      <c r="H236">
        <v>0</v>
      </c>
      <c r="K236" t="s">
        <v>229</v>
      </c>
      <c r="L236">
        <v>6</v>
      </c>
      <c r="M236">
        <v>0</v>
      </c>
      <c r="N236" t="s">
        <v>259</v>
      </c>
      <c r="O236" t="s">
        <v>1287</v>
      </c>
      <c r="P236">
        <v>12</v>
      </c>
      <c r="Q23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2B761309</v>
      </c>
      <c r="R236" t="s">
        <v>229</v>
      </c>
      <c r="S23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237" spans="1:19" x14ac:dyDescent="0.25">
      <c r="A237" t="s">
        <v>1284</v>
      </c>
      <c r="B237">
        <v>202005</v>
      </c>
      <c r="C237" t="s">
        <v>5</v>
      </c>
      <c r="D237" t="s">
        <v>59</v>
      </c>
      <c r="E237">
        <v>8.56</v>
      </c>
      <c r="F237">
        <v>0</v>
      </c>
      <c r="G237" s="2">
        <v>14.2</v>
      </c>
      <c r="H237">
        <v>0</v>
      </c>
      <c r="K237" t="s">
        <v>229</v>
      </c>
      <c r="L237">
        <v>7</v>
      </c>
      <c r="M237">
        <v>0</v>
      </c>
      <c r="N237" t="s">
        <v>259</v>
      </c>
      <c r="O237" t="s">
        <v>1287</v>
      </c>
      <c r="P237">
        <v>12</v>
      </c>
      <c r="Q23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2B761231</v>
      </c>
      <c r="R237" t="s">
        <v>229</v>
      </c>
      <c r="S23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238" spans="1:19" x14ac:dyDescent="0.25">
      <c r="A238" t="s">
        <v>1284</v>
      </c>
      <c r="B238">
        <v>202005</v>
      </c>
      <c r="C238" t="s">
        <v>1290</v>
      </c>
      <c r="D238" t="s">
        <v>1291</v>
      </c>
      <c r="E238">
        <v>190</v>
      </c>
      <c r="F238">
        <v>0</v>
      </c>
      <c r="G238" s="2">
        <v>55.5</v>
      </c>
      <c r="H238">
        <v>0</v>
      </c>
      <c r="K238" t="s">
        <v>229</v>
      </c>
      <c r="L238">
        <v>7</v>
      </c>
      <c r="M238">
        <v>0</v>
      </c>
      <c r="N238" t="s">
        <v>259</v>
      </c>
      <c r="O238" t="s">
        <v>1287</v>
      </c>
      <c r="P238">
        <v>12</v>
      </c>
      <c r="Q23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2B761306</v>
      </c>
      <c r="R238" t="s">
        <v>229</v>
      </c>
      <c r="S23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239" spans="1:19" x14ac:dyDescent="0.25">
      <c r="A239" t="s">
        <v>1284</v>
      </c>
      <c r="B239">
        <v>202005</v>
      </c>
      <c r="C239" t="s">
        <v>1292</v>
      </c>
      <c r="D239" t="s">
        <v>1293</v>
      </c>
      <c r="E239">
        <v>31.25</v>
      </c>
      <c r="F239">
        <v>0</v>
      </c>
      <c r="G239" s="2">
        <v>17.899999999999999</v>
      </c>
      <c r="H239">
        <v>0</v>
      </c>
      <c r="I239">
        <v>1570</v>
      </c>
      <c r="K239" t="s">
        <v>229</v>
      </c>
      <c r="L239">
        <v>7</v>
      </c>
      <c r="M239">
        <v>0</v>
      </c>
      <c r="N239" t="s">
        <v>259</v>
      </c>
      <c r="O239" t="s">
        <v>1287</v>
      </c>
      <c r="P239">
        <v>12</v>
      </c>
      <c r="Q23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2B761311</v>
      </c>
      <c r="R239" t="s">
        <v>229</v>
      </c>
      <c r="S23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240" spans="1:19" x14ac:dyDescent="0.25">
      <c r="A240" t="s">
        <v>1284</v>
      </c>
      <c r="B240">
        <v>202005</v>
      </c>
      <c r="C240" t="s">
        <v>56</v>
      </c>
      <c r="D240" t="s">
        <v>246</v>
      </c>
      <c r="E240">
        <v>0</v>
      </c>
      <c r="F240">
        <v>0</v>
      </c>
      <c r="G240" s="2">
        <v>0.7</v>
      </c>
      <c r="H240">
        <v>0</v>
      </c>
      <c r="K240" t="s">
        <v>229</v>
      </c>
      <c r="L240">
        <v>8</v>
      </c>
      <c r="M240">
        <v>0</v>
      </c>
      <c r="O240" t="s">
        <v>1287</v>
      </c>
      <c r="P240">
        <v>12</v>
      </c>
      <c r="Q24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2B768999</v>
      </c>
      <c r="R240" t="s">
        <v>229</v>
      </c>
      <c r="S24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241" spans="1:19" x14ac:dyDescent="0.25">
      <c r="A241" t="s">
        <v>1294</v>
      </c>
      <c r="B241">
        <v>202005</v>
      </c>
      <c r="C241" t="s">
        <v>1285</v>
      </c>
      <c r="D241" t="s">
        <v>1286</v>
      </c>
      <c r="E241">
        <v>282.69</v>
      </c>
      <c r="F241">
        <v>0</v>
      </c>
      <c r="G241" s="2">
        <v>100</v>
      </c>
      <c r="H241">
        <v>0</v>
      </c>
      <c r="I241">
        <v>1570</v>
      </c>
      <c r="K241" t="s">
        <v>229</v>
      </c>
      <c r="L241">
        <v>1</v>
      </c>
      <c r="M241">
        <v>0</v>
      </c>
      <c r="N241" t="s">
        <v>259</v>
      </c>
      <c r="O241" t="s">
        <v>1295</v>
      </c>
      <c r="P241">
        <v>12</v>
      </c>
      <c r="Q24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2B791156</v>
      </c>
      <c r="R241" t="s">
        <v>229</v>
      </c>
      <c r="S24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242" spans="1:19" x14ac:dyDescent="0.25">
      <c r="A242" t="s">
        <v>1294</v>
      </c>
      <c r="B242">
        <v>202005</v>
      </c>
      <c r="C242" t="s">
        <v>1296</v>
      </c>
      <c r="D242" t="s">
        <v>1297</v>
      </c>
      <c r="E242">
        <v>372.2</v>
      </c>
      <c r="F242">
        <v>0</v>
      </c>
      <c r="G242" s="2">
        <v>65.87</v>
      </c>
      <c r="H242">
        <v>0</v>
      </c>
      <c r="K242" t="s">
        <v>229</v>
      </c>
      <c r="L242">
        <v>6</v>
      </c>
      <c r="M242">
        <v>0</v>
      </c>
      <c r="N242" t="s">
        <v>259</v>
      </c>
      <c r="O242" t="s">
        <v>1295</v>
      </c>
      <c r="P242">
        <v>12</v>
      </c>
      <c r="Q24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2B791310</v>
      </c>
      <c r="R242" t="s">
        <v>229</v>
      </c>
      <c r="S24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243" spans="1:19" x14ac:dyDescent="0.25">
      <c r="A243" t="s">
        <v>1294</v>
      </c>
      <c r="B243">
        <v>202005</v>
      </c>
      <c r="C243" t="s">
        <v>5</v>
      </c>
      <c r="D243" t="s">
        <v>59</v>
      </c>
      <c r="E243">
        <v>8.56</v>
      </c>
      <c r="F243">
        <v>0</v>
      </c>
      <c r="G243" s="2">
        <v>11.27</v>
      </c>
      <c r="H243">
        <v>0</v>
      </c>
      <c r="K243" t="s">
        <v>229</v>
      </c>
      <c r="L243">
        <v>7</v>
      </c>
      <c r="M243">
        <v>0</v>
      </c>
      <c r="N243" t="s">
        <v>259</v>
      </c>
      <c r="O243" t="s">
        <v>1295</v>
      </c>
      <c r="P243">
        <v>12</v>
      </c>
      <c r="Q24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2B791231</v>
      </c>
      <c r="R243" t="s">
        <v>229</v>
      </c>
      <c r="S24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244" spans="1:19" x14ac:dyDescent="0.25">
      <c r="A244" t="s">
        <v>1294</v>
      </c>
      <c r="B244">
        <v>202005</v>
      </c>
      <c r="C244" t="s">
        <v>1298</v>
      </c>
      <c r="D244" t="s">
        <v>1299</v>
      </c>
      <c r="E244">
        <v>0.01</v>
      </c>
      <c r="F244">
        <v>0</v>
      </c>
      <c r="G244" s="2">
        <v>1</v>
      </c>
      <c r="H244">
        <v>0</v>
      </c>
      <c r="K244" t="s">
        <v>229</v>
      </c>
      <c r="L244">
        <v>7</v>
      </c>
      <c r="M244">
        <v>0</v>
      </c>
      <c r="N244" t="s">
        <v>259</v>
      </c>
      <c r="O244" t="s">
        <v>1295</v>
      </c>
      <c r="P244">
        <v>12</v>
      </c>
      <c r="Q24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2B791303</v>
      </c>
      <c r="R244" t="s">
        <v>229</v>
      </c>
      <c r="S24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245" spans="1:19" x14ac:dyDescent="0.25">
      <c r="A245" t="s">
        <v>1294</v>
      </c>
      <c r="B245">
        <v>202005</v>
      </c>
      <c r="C245" t="s">
        <v>1290</v>
      </c>
      <c r="D245" t="s">
        <v>1291</v>
      </c>
      <c r="E245">
        <v>190</v>
      </c>
      <c r="F245">
        <v>0</v>
      </c>
      <c r="G245" s="2">
        <v>15.31</v>
      </c>
      <c r="H245">
        <v>0</v>
      </c>
      <c r="K245" t="s">
        <v>229</v>
      </c>
      <c r="L245">
        <v>7</v>
      </c>
      <c r="M245">
        <v>0</v>
      </c>
      <c r="N245" t="s">
        <v>259</v>
      </c>
      <c r="O245" t="s">
        <v>1295</v>
      </c>
      <c r="P245">
        <v>12</v>
      </c>
      <c r="Q24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2B791306</v>
      </c>
      <c r="R245" t="s">
        <v>229</v>
      </c>
      <c r="S24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246" spans="1:19" x14ac:dyDescent="0.25">
      <c r="A246" t="s">
        <v>1294</v>
      </c>
      <c r="B246">
        <v>202005</v>
      </c>
      <c r="C246" t="s">
        <v>1292</v>
      </c>
      <c r="D246" t="s">
        <v>1293</v>
      </c>
      <c r="E246">
        <v>31.25</v>
      </c>
      <c r="F246">
        <v>0</v>
      </c>
      <c r="G246" s="2">
        <v>6.45</v>
      </c>
      <c r="H246">
        <v>0</v>
      </c>
      <c r="I246">
        <v>1570</v>
      </c>
      <c r="K246" t="s">
        <v>229</v>
      </c>
      <c r="L246">
        <v>7</v>
      </c>
      <c r="M246">
        <v>0</v>
      </c>
      <c r="N246" t="s">
        <v>259</v>
      </c>
      <c r="O246" t="s">
        <v>1295</v>
      </c>
      <c r="P246">
        <v>12</v>
      </c>
      <c r="Q24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2B791311</v>
      </c>
      <c r="R246" t="s">
        <v>229</v>
      </c>
      <c r="S24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247" spans="1:19" x14ac:dyDescent="0.25">
      <c r="A247" t="s">
        <v>1294</v>
      </c>
      <c r="B247">
        <v>202005</v>
      </c>
      <c r="C247" t="s">
        <v>56</v>
      </c>
      <c r="D247" t="s">
        <v>246</v>
      </c>
      <c r="E247">
        <v>0</v>
      </c>
      <c r="F247">
        <v>0</v>
      </c>
      <c r="G247" s="2">
        <v>0.1</v>
      </c>
      <c r="H247">
        <v>0</v>
      </c>
      <c r="K247" t="s">
        <v>229</v>
      </c>
      <c r="L247">
        <v>8</v>
      </c>
      <c r="M247">
        <v>0</v>
      </c>
      <c r="O247" t="s">
        <v>1295</v>
      </c>
      <c r="P247">
        <v>12</v>
      </c>
      <c r="Q24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2B798999</v>
      </c>
      <c r="R247" t="s">
        <v>229</v>
      </c>
      <c r="S24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248" spans="1:19" x14ac:dyDescent="0.25">
      <c r="A248" t="s">
        <v>1300</v>
      </c>
      <c r="B248">
        <v>202005</v>
      </c>
      <c r="C248" t="s">
        <v>1285</v>
      </c>
      <c r="D248" t="s">
        <v>1286</v>
      </c>
      <c r="E248">
        <v>282.69</v>
      </c>
      <c r="F248">
        <v>0</v>
      </c>
      <c r="G248" s="2">
        <v>100</v>
      </c>
      <c r="H248">
        <v>0</v>
      </c>
      <c r="I248">
        <v>1570</v>
      </c>
      <c r="K248" t="s">
        <v>229</v>
      </c>
      <c r="L248">
        <v>1</v>
      </c>
      <c r="M248">
        <v>0</v>
      </c>
      <c r="N248" t="s">
        <v>259</v>
      </c>
      <c r="O248" t="s">
        <v>1301</v>
      </c>
      <c r="P248">
        <v>15</v>
      </c>
      <c r="Q24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2B801156</v>
      </c>
      <c r="R248" t="s">
        <v>229</v>
      </c>
      <c r="S24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249" spans="1:19" x14ac:dyDescent="0.25">
      <c r="A249" t="s">
        <v>1300</v>
      </c>
      <c r="B249">
        <v>202005</v>
      </c>
      <c r="C249" t="s">
        <v>1302</v>
      </c>
      <c r="D249" t="s">
        <v>1303</v>
      </c>
      <c r="E249">
        <v>630</v>
      </c>
      <c r="F249">
        <v>0</v>
      </c>
      <c r="G249" s="2">
        <v>30</v>
      </c>
      <c r="H249">
        <v>0</v>
      </c>
      <c r="K249" t="s">
        <v>229</v>
      </c>
      <c r="L249">
        <v>6</v>
      </c>
      <c r="M249">
        <v>0</v>
      </c>
      <c r="N249" t="s">
        <v>259</v>
      </c>
      <c r="O249" t="s">
        <v>1301</v>
      </c>
      <c r="P249">
        <v>15</v>
      </c>
      <c r="Q24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2B801140</v>
      </c>
      <c r="R249" t="s">
        <v>229</v>
      </c>
      <c r="S24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250" spans="1:19" x14ac:dyDescent="0.25">
      <c r="A250" t="s">
        <v>1300</v>
      </c>
      <c r="B250">
        <v>202005</v>
      </c>
      <c r="C250" t="s">
        <v>5</v>
      </c>
      <c r="D250" t="s">
        <v>59</v>
      </c>
      <c r="E250">
        <v>8.56</v>
      </c>
      <c r="F250">
        <v>0</v>
      </c>
      <c r="G250" s="2">
        <v>15</v>
      </c>
      <c r="H250">
        <v>0</v>
      </c>
      <c r="K250" t="s">
        <v>229</v>
      </c>
      <c r="L250">
        <v>7</v>
      </c>
      <c r="M250">
        <v>0</v>
      </c>
      <c r="N250" t="s">
        <v>259</v>
      </c>
      <c r="O250" t="s">
        <v>1301</v>
      </c>
      <c r="P250">
        <v>15</v>
      </c>
      <c r="Q25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2B801231</v>
      </c>
      <c r="R250" t="s">
        <v>229</v>
      </c>
      <c r="S25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251" spans="1:19" x14ac:dyDescent="0.25">
      <c r="A251" t="s">
        <v>1300</v>
      </c>
      <c r="B251">
        <v>202005</v>
      </c>
      <c r="C251" t="s">
        <v>1290</v>
      </c>
      <c r="D251" t="s">
        <v>1291</v>
      </c>
      <c r="E251">
        <v>190</v>
      </c>
      <c r="F251">
        <v>0</v>
      </c>
      <c r="G251" s="2">
        <v>38.5</v>
      </c>
      <c r="H251">
        <v>0</v>
      </c>
      <c r="K251" t="s">
        <v>229</v>
      </c>
      <c r="L251">
        <v>7</v>
      </c>
      <c r="M251">
        <v>0</v>
      </c>
      <c r="N251" t="s">
        <v>259</v>
      </c>
      <c r="O251" t="s">
        <v>1301</v>
      </c>
      <c r="P251">
        <v>15</v>
      </c>
      <c r="Q25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2B801306</v>
      </c>
      <c r="R251" t="s">
        <v>229</v>
      </c>
      <c r="S25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252" spans="1:19" x14ac:dyDescent="0.25">
      <c r="A252" t="s">
        <v>1300</v>
      </c>
      <c r="B252">
        <v>202005</v>
      </c>
      <c r="C252" t="s">
        <v>1292</v>
      </c>
      <c r="D252" t="s">
        <v>1293</v>
      </c>
      <c r="E252">
        <v>31.25</v>
      </c>
      <c r="F252">
        <v>0</v>
      </c>
      <c r="G252" s="2">
        <v>15.1</v>
      </c>
      <c r="H252">
        <v>0</v>
      </c>
      <c r="I252">
        <v>1570</v>
      </c>
      <c r="K252" t="s">
        <v>229</v>
      </c>
      <c r="L252">
        <v>7</v>
      </c>
      <c r="M252">
        <v>0</v>
      </c>
      <c r="N252" t="s">
        <v>259</v>
      </c>
      <c r="O252" t="s">
        <v>1301</v>
      </c>
      <c r="P252">
        <v>15</v>
      </c>
      <c r="Q25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2B801311</v>
      </c>
      <c r="R252" t="s">
        <v>229</v>
      </c>
      <c r="S25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253" spans="1:19" x14ac:dyDescent="0.25">
      <c r="A253" t="s">
        <v>1300</v>
      </c>
      <c r="B253">
        <v>202005</v>
      </c>
      <c r="C253" t="s">
        <v>56</v>
      </c>
      <c r="D253" t="s">
        <v>246</v>
      </c>
      <c r="E253">
        <v>0</v>
      </c>
      <c r="F253">
        <v>0</v>
      </c>
      <c r="G253" s="2">
        <v>1.4</v>
      </c>
      <c r="H253">
        <v>0</v>
      </c>
      <c r="K253" t="s">
        <v>229</v>
      </c>
      <c r="L253">
        <v>8</v>
      </c>
      <c r="M253">
        <v>0</v>
      </c>
      <c r="O253" t="s">
        <v>1301</v>
      </c>
      <c r="P253">
        <v>15</v>
      </c>
      <c r="Q25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2B808999</v>
      </c>
      <c r="R253" t="s">
        <v>229</v>
      </c>
      <c r="S25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254" spans="1:19" x14ac:dyDescent="0.25">
      <c r="A254" t="s">
        <v>1304</v>
      </c>
      <c r="B254">
        <v>202005</v>
      </c>
      <c r="C254" t="s">
        <v>1285</v>
      </c>
      <c r="D254" t="s">
        <v>1286</v>
      </c>
      <c r="E254">
        <v>282.69</v>
      </c>
      <c r="F254">
        <v>0</v>
      </c>
      <c r="G254" s="2">
        <v>100</v>
      </c>
      <c r="H254">
        <v>0</v>
      </c>
      <c r="I254">
        <v>1570</v>
      </c>
      <c r="K254" t="s">
        <v>229</v>
      </c>
      <c r="L254">
        <v>1</v>
      </c>
      <c r="M254">
        <v>0</v>
      </c>
      <c r="N254" t="s">
        <v>259</v>
      </c>
      <c r="O254" t="s">
        <v>1305</v>
      </c>
      <c r="P254">
        <v>15</v>
      </c>
      <c r="Q25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2B811156</v>
      </c>
      <c r="R254" t="s">
        <v>229</v>
      </c>
      <c r="S25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255" spans="1:19" x14ac:dyDescent="0.25">
      <c r="A255" t="s">
        <v>1304</v>
      </c>
      <c r="B255">
        <v>202005</v>
      </c>
      <c r="C255" t="s">
        <v>1306</v>
      </c>
      <c r="D255" t="s">
        <v>1307</v>
      </c>
      <c r="E255">
        <v>459.83</v>
      </c>
      <c r="F255">
        <v>0</v>
      </c>
      <c r="G255" s="2">
        <v>51.5</v>
      </c>
      <c r="H255">
        <v>0</v>
      </c>
      <c r="K255" t="s">
        <v>229</v>
      </c>
      <c r="L255">
        <v>6</v>
      </c>
      <c r="M255">
        <v>0</v>
      </c>
      <c r="N255" t="s">
        <v>259</v>
      </c>
      <c r="O255" t="s">
        <v>1305</v>
      </c>
      <c r="P255">
        <v>15</v>
      </c>
      <c r="Q25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2B811142</v>
      </c>
      <c r="R255" t="s">
        <v>229</v>
      </c>
      <c r="S25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256" spans="1:19" x14ac:dyDescent="0.25">
      <c r="A256" t="s">
        <v>1304</v>
      </c>
      <c r="B256">
        <v>202005</v>
      </c>
      <c r="C256" t="s">
        <v>5</v>
      </c>
      <c r="D256" t="s">
        <v>59</v>
      </c>
      <c r="E256">
        <v>8.56</v>
      </c>
      <c r="F256">
        <v>0</v>
      </c>
      <c r="G256" s="2">
        <v>13.7</v>
      </c>
      <c r="H256">
        <v>0</v>
      </c>
      <c r="K256" t="s">
        <v>229</v>
      </c>
      <c r="L256">
        <v>7</v>
      </c>
      <c r="M256">
        <v>0</v>
      </c>
      <c r="N256" t="s">
        <v>259</v>
      </c>
      <c r="O256" t="s">
        <v>1305</v>
      </c>
      <c r="P256">
        <v>15</v>
      </c>
      <c r="Q25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2B811231</v>
      </c>
      <c r="R256" t="s">
        <v>229</v>
      </c>
      <c r="S25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257" spans="1:19" x14ac:dyDescent="0.25">
      <c r="A257" t="s">
        <v>1304</v>
      </c>
      <c r="B257">
        <v>202005</v>
      </c>
      <c r="C257" t="s">
        <v>1298</v>
      </c>
      <c r="D257" t="s">
        <v>1299</v>
      </c>
      <c r="E257">
        <v>0.01</v>
      </c>
      <c r="F257">
        <v>0</v>
      </c>
      <c r="G257" s="2">
        <v>0.6</v>
      </c>
      <c r="H257">
        <v>0</v>
      </c>
      <c r="K257" t="s">
        <v>229</v>
      </c>
      <c r="L257">
        <v>7</v>
      </c>
      <c r="M257">
        <v>0</v>
      </c>
      <c r="N257" t="s">
        <v>259</v>
      </c>
      <c r="O257" t="s">
        <v>1305</v>
      </c>
      <c r="P257">
        <v>15</v>
      </c>
      <c r="Q25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2B811303</v>
      </c>
      <c r="R257" t="s">
        <v>229</v>
      </c>
      <c r="S25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258" spans="1:19" x14ac:dyDescent="0.25">
      <c r="A258" t="s">
        <v>1304</v>
      </c>
      <c r="B258">
        <v>202005</v>
      </c>
      <c r="C258" t="s">
        <v>1290</v>
      </c>
      <c r="D258" t="s">
        <v>1291</v>
      </c>
      <c r="E258">
        <v>190</v>
      </c>
      <c r="F258">
        <v>0</v>
      </c>
      <c r="G258" s="2">
        <v>17.5</v>
      </c>
      <c r="H258">
        <v>0</v>
      </c>
      <c r="K258" t="s">
        <v>229</v>
      </c>
      <c r="L258">
        <v>7</v>
      </c>
      <c r="M258">
        <v>0</v>
      </c>
      <c r="N258" t="s">
        <v>259</v>
      </c>
      <c r="O258" t="s">
        <v>1305</v>
      </c>
      <c r="P258">
        <v>15</v>
      </c>
      <c r="Q25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2B811306</v>
      </c>
      <c r="R258" t="s">
        <v>229</v>
      </c>
      <c r="S25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259" spans="1:19" x14ac:dyDescent="0.25">
      <c r="A259" t="s">
        <v>1304</v>
      </c>
      <c r="B259">
        <v>202005</v>
      </c>
      <c r="C259" t="s">
        <v>1292</v>
      </c>
      <c r="D259" t="s">
        <v>1293</v>
      </c>
      <c r="E259">
        <v>31.25</v>
      </c>
      <c r="F259">
        <v>0</v>
      </c>
      <c r="G259" s="2">
        <v>15</v>
      </c>
      <c r="H259">
        <v>0</v>
      </c>
      <c r="I259">
        <v>1570</v>
      </c>
      <c r="K259" t="s">
        <v>229</v>
      </c>
      <c r="L259">
        <v>7</v>
      </c>
      <c r="M259">
        <v>0</v>
      </c>
      <c r="N259" t="s">
        <v>259</v>
      </c>
      <c r="O259" t="s">
        <v>1305</v>
      </c>
      <c r="P259">
        <v>15</v>
      </c>
      <c r="Q25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2B811311</v>
      </c>
      <c r="R259" t="s">
        <v>229</v>
      </c>
      <c r="S25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260" spans="1:19" x14ac:dyDescent="0.25">
      <c r="A260" t="s">
        <v>1304</v>
      </c>
      <c r="B260">
        <v>202005</v>
      </c>
      <c r="C260" t="s">
        <v>56</v>
      </c>
      <c r="D260" t="s">
        <v>246</v>
      </c>
      <c r="E260">
        <v>0</v>
      </c>
      <c r="F260">
        <v>0</v>
      </c>
      <c r="G260" s="2">
        <v>1.7</v>
      </c>
      <c r="H260">
        <v>0</v>
      </c>
      <c r="K260" t="s">
        <v>229</v>
      </c>
      <c r="L260">
        <v>8</v>
      </c>
      <c r="M260">
        <v>0</v>
      </c>
      <c r="O260" t="s">
        <v>1305</v>
      </c>
      <c r="P260">
        <v>15</v>
      </c>
      <c r="Q26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2B818999</v>
      </c>
      <c r="R260" t="s">
        <v>229</v>
      </c>
      <c r="S26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261" spans="1:19" x14ac:dyDescent="0.25">
      <c r="A261" t="s">
        <v>1308</v>
      </c>
      <c r="B261">
        <v>202005</v>
      </c>
      <c r="C261" t="s">
        <v>1285</v>
      </c>
      <c r="D261" t="s">
        <v>1286</v>
      </c>
      <c r="E261">
        <v>282.69</v>
      </c>
      <c r="F261">
        <v>0</v>
      </c>
      <c r="G261" s="2">
        <v>100</v>
      </c>
      <c r="H261">
        <v>0</v>
      </c>
      <c r="I261">
        <v>1570</v>
      </c>
      <c r="K261" t="s">
        <v>229</v>
      </c>
      <c r="L261">
        <v>1</v>
      </c>
      <c r="M261">
        <v>0</v>
      </c>
      <c r="N261" t="s">
        <v>259</v>
      </c>
      <c r="O261" t="s">
        <v>1309</v>
      </c>
      <c r="P261">
        <v>15</v>
      </c>
      <c r="Q26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2B821156</v>
      </c>
      <c r="R261" t="s">
        <v>229</v>
      </c>
      <c r="S26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262" spans="1:19" x14ac:dyDescent="0.25">
      <c r="A262" t="s">
        <v>1308</v>
      </c>
      <c r="B262">
        <v>202005</v>
      </c>
      <c r="C262" t="s">
        <v>1310</v>
      </c>
      <c r="D262" t="s">
        <v>1311</v>
      </c>
      <c r="E262">
        <v>797</v>
      </c>
      <c r="F262">
        <v>0</v>
      </c>
      <c r="G262" s="2">
        <v>21.5</v>
      </c>
      <c r="H262">
        <v>0</v>
      </c>
      <c r="K262" t="s">
        <v>229</v>
      </c>
      <c r="L262">
        <v>6</v>
      </c>
      <c r="M262">
        <v>0</v>
      </c>
      <c r="N262" t="s">
        <v>259</v>
      </c>
      <c r="O262" t="s">
        <v>1309</v>
      </c>
      <c r="P262">
        <v>15</v>
      </c>
      <c r="Q26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2B821143</v>
      </c>
      <c r="R262" t="s">
        <v>229</v>
      </c>
      <c r="S26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263" spans="1:19" x14ac:dyDescent="0.25">
      <c r="A263" t="s">
        <v>1308</v>
      </c>
      <c r="B263">
        <v>202005</v>
      </c>
      <c r="C263" t="s">
        <v>5</v>
      </c>
      <c r="D263" t="s">
        <v>59</v>
      </c>
      <c r="E263">
        <v>8.56</v>
      </c>
      <c r="F263">
        <v>0</v>
      </c>
      <c r="G263" s="2">
        <v>10.5</v>
      </c>
      <c r="H263">
        <v>0</v>
      </c>
      <c r="K263" t="s">
        <v>229</v>
      </c>
      <c r="L263">
        <v>7</v>
      </c>
      <c r="M263">
        <v>0</v>
      </c>
      <c r="N263" t="s">
        <v>259</v>
      </c>
      <c r="O263" t="s">
        <v>1309</v>
      </c>
      <c r="P263">
        <v>15</v>
      </c>
      <c r="Q26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2B821231</v>
      </c>
      <c r="R263" t="s">
        <v>229</v>
      </c>
      <c r="S26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264" spans="1:19" x14ac:dyDescent="0.25">
      <c r="A264" t="s">
        <v>1308</v>
      </c>
      <c r="B264">
        <v>202005</v>
      </c>
      <c r="C264" t="s">
        <v>1298</v>
      </c>
      <c r="D264" t="s">
        <v>1299</v>
      </c>
      <c r="E264">
        <v>0.01</v>
      </c>
      <c r="F264">
        <v>0</v>
      </c>
      <c r="G264" s="2">
        <v>1.1000000000000001</v>
      </c>
      <c r="H264">
        <v>0</v>
      </c>
      <c r="K264" t="s">
        <v>229</v>
      </c>
      <c r="L264">
        <v>7</v>
      </c>
      <c r="M264">
        <v>0</v>
      </c>
      <c r="N264" t="s">
        <v>259</v>
      </c>
      <c r="O264" t="s">
        <v>1309</v>
      </c>
      <c r="P264">
        <v>15</v>
      </c>
      <c r="Q26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2B821303</v>
      </c>
      <c r="R264" t="s">
        <v>229</v>
      </c>
      <c r="S26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265" spans="1:19" x14ac:dyDescent="0.25">
      <c r="A265" t="s">
        <v>1308</v>
      </c>
      <c r="B265">
        <v>202005</v>
      </c>
      <c r="C265" t="s">
        <v>1290</v>
      </c>
      <c r="D265" t="s">
        <v>1291</v>
      </c>
      <c r="E265" s="1020">
        <v>190</v>
      </c>
      <c r="F265">
        <v>0</v>
      </c>
      <c r="G265" s="2">
        <v>49.4</v>
      </c>
      <c r="H265">
        <v>0</v>
      </c>
      <c r="K265" t="s">
        <v>229</v>
      </c>
      <c r="L265">
        <v>7</v>
      </c>
      <c r="M265">
        <v>0</v>
      </c>
      <c r="N265" t="s">
        <v>259</v>
      </c>
      <c r="O265" t="s">
        <v>1309</v>
      </c>
      <c r="P265">
        <v>15</v>
      </c>
      <c r="Q26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2B821306</v>
      </c>
      <c r="R265" t="s">
        <v>229</v>
      </c>
      <c r="S26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266" spans="1:19" x14ac:dyDescent="0.25">
      <c r="A266" t="s">
        <v>1308</v>
      </c>
      <c r="B266">
        <v>202005</v>
      </c>
      <c r="C266" t="s">
        <v>1292</v>
      </c>
      <c r="D266" t="s">
        <v>1293</v>
      </c>
      <c r="E266">
        <v>31.25</v>
      </c>
      <c r="F266">
        <v>0</v>
      </c>
      <c r="G266" s="2">
        <v>15.2</v>
      </c>
      <c r="H266">
        <v>0</v>
      </c>
      <c r="I266">
        <v>1570</v>
      </c>
      <c r="K266" t="s">
        <v>229</v>
      </c>
      <c r="L266">
        <v>7</v>
      </c>
      <c r="M266">
        <v>0</v>
      </c>
      <c r="N266" t="s">
        <v>259</v>
      </c>
      <c r="O266" t="s">
        <v>1309</v>
      </c>
      <c r="P266">
        <v>15</v>
      </c>
      <c r="Q26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2B821311</v>
      </c>
      <c r="R266" t="s">
        <v>229</v>
      </c>
      <c r="S26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267" spans="1:19" x14ac:dyDescent="0.25">
      <c r="A267" t="s">
        <v>1308</v>
      </c>
      <c r="B267">
        <v>202005</v>
      </c>
      <c r="C267" t="s">
        <v>56</v>
      </c>
      <c r="D267" t="s">
        <v>246</v>
      </c>
      <c r="E267">
        <v>0</v>
      </c>
      <c r="F267">
        <v>0</v>
      </c>
      <c r="G267" s="2">
        <v>2.2999999999999998</v>
      </c>
      <c r="H267">
        <v>0</v>
      </c>
      <c r="K267" t="s">
        <v>229</v>
      </c>
      <c r="L267">
        <v>8</v>
      </c>
      <c r="M267">
        <v>0</v>
      </c>
      <c r="O267" t="s">
        <v>1309</v>
      </c>
      <c r="P267">
        <v>15</v>
      </c>
      <c r="Q26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2B828999</v>
      </c>
      <c r="R267" t="s">
        <v>229</v>
      </c>
      <c r="S26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268" spans="1:19" x14ac:dyDescent="0.25">
      <c r="A268" t="s">
        <v>1312</v>
      </c>
      <c r="B268">
        <v>202005</v>
      </c>
      <c r="C268" t="s">
        <v>1285</v>
      </c>
      <c r="D268" t="s">
        <v>1286</v>
      </c>
      <c r="E268">
        <v>282.69</v>
      </c>
      <c r="F268">
        <v>0</v>
      </c>
      <c r="G268" s="2">
        <v>100</v>
      </c>
      <c r="H268">
        <v>0</v>
      </c>
      <c r="I268">
        <v>1570</v>
      </c>
      <c r="K268" t="s">
        <v>229</v>
      </c>
      <c r="L268">
        <v>1</v>
      </c>
      <c r="M268">
        <v>0</v>
      </c>
      <c r="N268" t="s">
        <v>259</v>
      </c>
      <c r="O268" t="s">
        <v>1313</v>
      </c>
      <c r="P268">
        <v>12</v>
      </c>
      <c r="Q26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2B831156</v>
      </c>
      <c r="R268" t="s">
        <v>229</v>
      </c>
      <c r="S26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269" spans="1:19" x14ac:dyDescent="0.25">
      <c r="A269" t="s">
        <v>1312</v>
      </c>
      <c r="B269">
        <v>202005</v>
      </c>
      <c r="C269" t="s">
        <v>1314</v>
      </c>
      <c r="D269" t="s">
        <v>1315</v>
      </c>
      <c r="E269">
        <v>752.11</v>
      </c>
      <c r="F269">
        <v>0</v>
      </c>
      <c r="G269" s="2">
        <v>25.04</v>
      </c>
      <c r="H269">
        <v>0</v>
      </c>
      <c r="K269" t="s">
        <v>229</v>
      </c>
      <c r="L269">
        <v>6</v>
      </c>
      <c r="M269">
        <v>0</v>
      </c>
      <c r="N269" t="s">
        <v>259</v>
      </c>
      <c r="O269" t="s">
        <v>1313</v>
      </c>
      <c r="P269">
        <v>12</v>
      </c>
      <c r="Q26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2B831316</v>
      </c>
      <c r="R269" t="s">
        <v>229</v>
      </c>
      <c r="S26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270" spans="1:19" x14ac:dyDescent="0.25">
      <c r="A270" t="s">
        <v>1312</v>
      </c>
      <c r="B270">
        <v>202005</v>
      </c>
      <c r="C270" t="s">
        <v>5</v>
      </c>
      <c r="D270" t="s">
        <v>59</v>
      </c>
      <c r="E270">
        <v>8.56</v>
      </c>
      <c r="F270">
        <v>0</v>
      </c>
      <c r="G270" s="2">
        <v>14.69</v>
      </c>
      <c r="H270">
        <v>0</v>
      </c>
      <c r="K270" t="s">
        <v>229</v>
      </c>
      <c r="L270">
        <v>7</v>
      </c>
      <c r="M270">
        <v>0</v>
      </c>
      <c r="N270" t="s">
        <v>259</v>
      </c>
      <c r="O270" t="s">
        <v>1313</v>
      </c>
      <c r="P270">
        <v>12</v>
      </c>
      <c r="Q27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2B831231</v>
      </c>
      <c r="R270" t="s">
        <v>229</v>
      </c>
      <c r="S27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271" spans="1:19" x14ac:dyDescent="0.25">
      <c r="A271" t="s">
        <v>1312</v>
      </c>
      <c r="B271">
        <v>202005</v>
      </c>
      <c r="C271" t="s">
        <v>1290</v>
      </c>
      <c r="D271" t="s">
        <v>1291</v>
      </c>
      <c r="E271">
        <v>190</v>
      </c>
      <c r="F271">
        <v>0</v>
      </c>
      <c r="G271" s="2">
        <v>40.17</v>
      </c>
      <c r="H271">
        <v>0</v>
      </c>
      <c r="K271" t="s">
        <v>229</v>
      </c>
      <c r="L271">
        <v>7</v>
      </c>
      <c r="M271">
        <v>0</v>
      </c>
      <c r="N271" t="s">
        <v>259</v>
      </c>
      <c r="O271" t="s">
        <v>1313</v>
      </c>
      <c r="P271">
        <v>12</v>
      </c>
      <c r="Q27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2B831306</v>
      </c>
      <c r="R271" t="s">
        <v>229</v>
      </c>
      <c r="S27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272" spans="1:19" x14ac:dyDescent="0.25">
      <c r="A272" t="s">
        <v>1312</v>
      </c>
      <c r="B272">
        <v>202005</v>
      </c>
      <c r="C272" t="s">
        <v>1292</v>
      </c>
      <c r="D272" t="s">
        <v>1293</v>
      </c>
      <c r="E272">
        <v>31.25</v>
      </c>
      <c r="F272">
        <v>0</v>
      </c>
      <c r="G272" s="2">
        <v>18.010000000000002</v>
      </c>
      <c r="H272">
        <v>0</v>
      </c>
      <c r="I272">
        <v>1570</v>
      </c>
      <c r="K272" t="s">
        <v>229</v>
      </c>
      <c r="L272">
        <v>7</v>
      </c>
      <c r="M272">
        <v>0</v>
      </c>
      <c r="N272" t="s">
        <v>259</v>
      </c>
      <c r="O272" t="s">
        <v>1313</v>
      </c>
      <c r="P272">
        <v>12</v>
      </c>
      <c r="Q27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2B831311</v>
      </c>
      <c r="R272" t="s">
        <v>229</v>
      </c>
      <c r="S27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273" spans="1:20" x14ac:dyDescent="0.25">
      <c r="A273" t="s">
        <v>1312</v>
      </c>
      <c r="B273">
        <v>202005</v>
      </c>
      <c r="C273" t="s">
        <v>56</v>
      </c>
      <c r="D273" t="s">
        <v>246</v>
      </c>
      <c r="E273">
        <v>0</v>
      </c>
      <c r="F273">
        <v>0</v>
      </c>
      <c r="G273" s="2">
        <v>2.09</v>
      </c>
      <c r="H273">
        <v>0</v>
      </c>
      <c r="K273" t="s">
        <v>229</v>
      </c>
      <c r="L273">
        <v>8</v>
      </c>
      <c r="M273">
        <v>0</v>
      </c>
      <c r="O273" t="s">
        <v>1313</v>
      </c>
      <c r="P273">
        <v>12</v>
      </c>
      <c r="Q27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2B838999</v>
      </c>
      <c r="R273" t="s">
        <v>229</v>
      </c>
      <c r="S27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274" spans="1:20" x14ac:dyDescent="0.25">
      <c r="A274" t="s">
        <v>1316</v>
      </c>
      <c r="B274">
        <v>202005</v>
      </c>
      <c r="C274" t="s">
        <v>141</v>
      </c>
      <c r="D274" t="s">
        <v>262</v>
      </c>
      <c r="E274">
        <v>433.66277000000002</v>
      </c>
      <c r="F274">
        <v>0</v>
      </c>
      <c r="G274" s="2">
        <v>100</v>
      </c>
      <c r="H274">
        <v>0</v>
      </c>
      <c r="I274">
        <v>1570</v>
      </c>
      <c r="K274" t="s">
        <v>229</v>
      </c>
      <c r="L274">
        <v>1</v>
      </c>
      <c r="M274">
        <v>0</v>
      </c>
      <c r="N274" t="s">
        <v>259</v>
      </c>
      <c r="O274" t="s">
        <v>1317</v>
      </c>
      <c r="P274">
        <v>12</v>
      </c>
      <c r="Q27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2C011102</v>
      </c>
      <c r="R274" t="s">
        <v>229</v>
      </c>
      <c r="S27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275" spans="1:20" x14ac:dyDescent="0.25">
      <c r="A275" t="s">
        <v>1316</v>
      </c>
      <c r="B275">
        <v>202005</v>
      </c>
      <c r="C275" t="s">
        <v>1318</v>
      </c>
      <c r="D275" t="s">
        <v>1319</v>
      </c>
      <c r="E275">
        <v>644.39</v>
      </c>
      <c r="F275">
        <v>0</v>
      </c>
      <c r="G275" s="2">
        <v>38</v>
      </c>
      <c r="H275">
        <v>0</v>
      </c>
      <c r="I275">
        <v>1570</v>
      </c>
      <c r="K275" t="s">
        <v>229</v>
      </c>
      <c r="L275">
        <v>6</v>
      </c>
      <c r="M275">
        <v>0</v>
      </c>
      <c r="N275" t="s">
        <v>259</v>
      </c>
      <c r="O275" t="s">
        <v>1317</v>
      </c>
      <c r="P275">
        <v>12</v>
      </c>
      <c r="Q27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2C011192</v>
      </c>
      <c r="R275" t="s">
        <v>229</v>
      </c>
      <c r="S27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  <c r="T275" t="s">
        <v>144</v>
      </c>
    </row>
    <row r="276" spans="1:20" x14ac:dyDescent="0.25">
      <c r="A276" t="s">
        <v>1316</v>
      </c>
      <c r="B276">
        <v>202005</v>
      </c>
      <c r="C276" t="s">
        <v>142</v>
      </c>
      <c r="D276" t="s">
        <v>263</v>
      </c>
      <c r="E276">
        <v>330</v>
      </c>
      <c r="F276">
        <v>0</v>
      </c>
      <c r="G276" s="2">
        <v>8.75</v>
      </c>
      <c r="H276">
        <v>0</v>
      </c>
      <c r="I276">
        <v>1570</v>
      </c>
      <c r="K276" t="s">
        <v>229</v>
      </c>
      <c r="L276">
        <v>7</v>
      </c>
      <c r="M276">
        <v>0</v>
      </c>
      <c r="N276" t="s">
        <v>259</v>
      </c>
      <c r="O276" t="s">
        <v>1317</v>
      </c>
      <c r="P276">
        <v>12</v>
      </c>
      <c r="Q27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2C011194</v>
      </c>
      <c r="R276" t="s">
        <v>229</v>
      </c>
      <c r="S27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277" spans="1:20" x14ac:dyDescent="0.25">
      <c r="A277" t="s">
        <v>1316</v>
      </c>
      <c r="B277">
        <v>202005</v>
      </c>
      <c r="C277" t="s">
        <v>143</v>
      </c>
      <c r="D277" t="s">
        <v>264</v>
      </c>
      <c r="E277">
        <v>210</v>
      </c>
      <c r="F277">
        <v>0</v>
      </c>
      <c r="G277" s="2">
        <v>7.25</v>
      </c>
      <c r="H277">
        <v>0</v>
      </c>
      <c r="I277">
        <v>1570</v>
      </c>
      <c r="K277" t="s">
        <v>229</v>
      </c>
      <c r="L277">
        <v>7</v>
      </c>
      <c r="M277">
        <v>0</v>
      </c>
      <c r="N277" t="s">
        <v>259</v>
      </c>
      <c r="O277" t="s">
        <v>1317</v>
      </c>
      <c r="P277">
        <v>12</v>
      </c>
      <c r="Q27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2C011195</v>
      </c>
      <c r="R277" t="s">
        <v>229</v>
      </c>
      <c r="S27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278" spans="1:20" x14ac:dyDescent="0.25">
      <c r="A278" t="s">
        <v>1316</v>
      </c>
      <c r="B278">
        <v>202005</v>
      </c>
      <c r="C278" t="s">
        <v>144</v>
      </c>
      <c r="D278" t="s">
        <v>211</v>
      </c>
      <c r="E278">
        <v>350</v>
      </c>
      <c r="F278">
        <v>0</v>
      </c>
      <c r="G278" s="2">
        <v>14.75</v>
      </c>
      <c r="H278">
        <v>0</v>
      </c>
      <c r="I278">
        <v>1570</v>
      </c>
      <c r="K278" t="s">
        <v>229</v>
      </c>
      <c r="L278">
        <v>7</v>
      </c>
      <c r="M278">
        <v>0</v>
      </c>
      <c r="N278" t="s">
        <v>259</v>
      </c>
      <c r="O278" t="s">
        <v>1317</v>
      </c>
      <c r="P278">
        <v>12</v>
      </c>
      <c r="Q27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2C011225</v>
      </c>
      <c r="R278" t="s">
        <v>229</v>
      </c>
      <c r="S27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279" spans="1:20" x14ac:dyDescent="0.25">
      <c r="A279" t="s">
        <v>1316</v>
      </c>
      <c r="B279">
        <v>202005</v>
      </c>
      <c r="C279" t="s">
        <v>3</v>
      </c>
      <c r="D279" t="s">
        <v>58</v>
      </c>
      <c r="E279">
        <v>275</v>
      </c>
      <c r="F279">
        <v>0</v>
      </c>
      <c r="G279" s="2">
        <v>1.75</v>
      </c>
      <c r="H279">
        <v>0</v>
      </c>
      <c r="I279">
        <v>1570</v>
      </c>
      <c r="K279" t="s">
        <v>229</v>
      </c>
      <c r="L279">
        <v>7</v>
      </c>
      <c r="M279">
        <v>0</v>
      </c>
      <c r="N279" t="s">
        <v>259</v>
      </c>
      <c r="O279" t="s">
        <v>1317</v>
      </c>
      <c r="P279">
        <v>12</v>
      </c>
      <c r="Q27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2C011229</v>
      </c>
      <c r="R279" t="s">
        <v>229</v>
      </c>
      <c r="S27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280" spans="1:20" x14ac:dyDescent="0.25">
      <c r="A280" t="s">
        <v>1316</v>
      </c>
      <c r="B280">
        <v>202005</v>
      </c>
      <c r="C280" t="s">
        <v>4</v>
      </c>
      <c r="D280" t="s">
        <v>265</v>
      </c>
      <c r="E280">
        <v>115</v>
      </c>
      <c r="F280">
        <v>0</v>
      </c>
      <c r="G280" s="2">
        <v>9.5</v>
      </c>
      <c r="H280">
        <v>0</v>
      </c>
      <c r="I280">
        <v>1570</v>
      </c>
      <c r="K280" t="s">
        <v>229</v>
      </c>
      <c r="L280">
        <v>7</v>
      </c>
      <c r="M280">
        <v>0</v>
      </c>
      <c r="N280" t="s">
        <v>259</v>
      </c>
      <c r="O280" t="s">
        <v>1317</v>
      </c>
      <c r="P280">
        <v>12</v>
      </c>
      <c r="Q28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2C011230</v>
      </c>
      <c r="R280" t="s">
        <v>229</v>
      </c>
      <c r="S28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281" spans="1:20" x14ac:dyDescent="0.25">
      <c r="A281" t="s">
        <v>1316</v>
      </c>
      <c r="B281">
        <v>202005</v>
      </c>
      <c r="C281" t="s">
        <v>5</v>
      </c>
      <c r="D281" t="s">
        <v>59</v>
      </c>
      <c r="E281">
        <v>8.56</v>
      </c>
      <c r="F281">
        <v>0</v>
      </c>
      <c r="G281" s="2">
        <v>5.74</v>
      </c>
      <c r="H281">
        <v>0</v>
      </c>
      <c r="I281">
        <v>1570</v>
      </c>
      <c r="K281" t="s">
        <v>229</v>
      </c>
      <c r="L281">
        <v>7</v>
      </c>
      <c r="M281">
        <v>0</v>
      </c>
      <c r="N281" t="s">
        <v>259</v>
      </c>
      <c r="O281" t="s">
        <v>1317</v>
      </c>
      <c r="P281">
        <v>12</v>
      </c>
      <c r="Q28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2C011231</v>
      </c>
      <c r="R281" t="s">
        <v>229</v>
      </c>
      <c r="S28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282" spans="1:20" x14ac:dyDescent="0.25">
      <c r="A282" t="s">
        <v>1316</v>
      </c>
      <c r="B282">
        <v>202005</v>
      </c>
      <c r="C282" t="s">
        <v>6</v>
      </c>
      <c r="D282" t="s">
        <v>60</v>
      </c>
      <c r="E282">
        <v>50</v>
      </c>
      <c r="F282">
        <v>0</v>
      </c>
      <c r="G282" s="2">
        <v>14.25</v>
      </c>
      <c r="H282">
        <v>0</v>
      </c>
      <c r="I282">
        <v>1570</v>
      </c>
      <c r="K282" t="s">
        <v>229</v>
      </c>
      <c r="L282">
        <v>7</v>
      </c>
      <c r="M282">
        <v>0</v>
      </c>
      <c r="N282" t="s">
        <v>259</v>
      </c>
      <c r="O282" t="s">
        <v>1317</v>
      </c>
      <c r="P282">
        <v>12</v>
      </c>
      <c r="Q28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2C011245</v>
      </c>
      <c r="R282" t="s">
        <v>229</v>
      </c>
      <c r="S28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283" spans="1:20" x14ac:dyDescent="0.25">
      <c r="A283" t="s">
        <v>1316</v>
      </c>
      <c r="B283">
        <v>202005</v>
      </c>
      <c r="C283" t="s">
        <v>56</v>
      </c>
      <c r="D283" t="s">
        <v>246</v>
      </c>
      <c r="E283">
        <v>0</v>
      </c>
      <c r="F283">
        <v>0</v>
      </c>
      <c r="G283" s="2">
        <v>0</v>
      </c>
      <c r="H283">
        <v>0</v>
      </c>
      <c r="K283" t="s">
        <v>229</v>
      </c>
      <c r="L283">
        <v>8</v>
      </c>
      <c r="M283">
        <v>0</v>
      </c>
      <c r="O283" t="s">
        <v>1317</v>
      </c>
      <c r="P283">
        <v>12</v>
      </c>
      <c r="Q28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2C018999</v>
      </c>
      <c r="R283" t="s">
        <v>229</v>
      </c>
      <c r="S28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284" spans="1:20" x14ac:dyDescent="0.25">
      <c r="A284" t="s">
        <v>128</v>
      </c>
      <c r="B284">
        <v>202005</v>
      </c>
      <c r="C284" t="s">
        <v>141</v>
      </c>
      <c r="D284" t="s">
        <v>262</v>
      </c>
      <c r="E284" s="1020">
        <v>433.66277000000002</v>
      </c>
      <c r="F284">
        <v>0</v>
      </c>
      <c r="G284" s="2">
        <v>100</v>
      </c>
      <c r="H284">
        <v>0</v>
      </c>
      <c r="I284">
        <v>1570</v>
      </c>
      <c r="K284" t="s">
        <v>229</v>
      </c>
      <c r="L284">
        <v>1</v>
      </c>
      <c r="M284">
        <v>0</v>
      </c>
      <c r="N284" t="s">
        <v>259</v>
      </c>
      <c r="O284" t="s">
        <v>266</v>
      </c>
      <c r="P284">
        <v>12</v>
      </c>
      <c r="Q28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2C021102</v>
      </c>
      <c r="R284" t="s">
        <v>644</v>
      </c>
      <c r="S28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285" spans="1:20" x14ac:dyDescent="0.25">
      <c r="A285" t="s">
        <v>128</v>
      </c>
      <c r="B285">
        <v>202005</v>
      </c>
      <c r="C285" t="s">
        <v>129</v>
      </c>
      <c r="D285" t="s">
        <v>267</v>
      </c>
      <c r="E285">
        <v>830.39238</v>
      </c>
      <c r="F285">
        <v>0</v>
      </c>
      <c r="G285" s="2">
        <v>33.200000000000003</v>
      </c>
      <c r="H285">
        <v>0</v>
      </c>
      <c r="I285">
        <v>1570</v>
      </c>
      <c r="K285" t="s">
        <v>229</v>
      </c>
      <c r="L285">
        <v>6</v>
      </c>
      <c r="M285">
        <v>0</v>
      </c>
      <c r="N285" t="s">
        <v>259</v>
      </c>
      <c r="O285" t="s">
        <v>266</v>
      </c>
      <c r="P285">
        <v>12</v>
      </c>
      <c r="Q28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2C021198</v>
      </c>
      <c r="R285" t="s">
        <v>644</v>
      </c>
      <c r="S28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  <c r="T285" t="s">
        <v>144</v>
      </c>
    </row>
    <row r="286" spans="1:20" x14ac:dyDescent="0.25">
      <c r="A286" t="s">
        <v>128</v>
      </c>
      <c r="B286">
        <v>202005</v>
      </c>
      <c r="C286" t="s">
        <v>143</v>
      </c>
      <c r="D286" t="s">
        <v>264</v>
      </c>
      <c r="E286">
        <v>210</v>
      </c>
      <c r="F286">
        <v>0</v>
      </c>
      <c r="G286" s="2">
        <v>6.46</v>
      </c>
      <c r="H286">
        <v>0</v>
      </c>
      <c r="I286">
        <v>1570</v>
      </c>
      <c r="K286" t="s">
        <v>229</v>
      </c>
      <c r="L286">
        <v>7</v>
      </c>
      <c r="M286">
        <v>0</v>
      </c>
      <c r="N286" t="s">
        <v>259</v>
      </c>
      <c r="O286" t="s">
        <v>266</v>
      </c>
      <c r="P286">
        <v>12</v>
      </c>
      <c r="Q28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2C021195</v>
      </c>
      <c r="R286" t="s">
        <v>644</v>
      </c>
      <c r="S28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287" spans="1:20" x14ac:dyDescent="0.25">
      <c r="A287" t="s">
        <v>128</v>
      </c>
      <c r="B287">
        <v>202005</v>
      </c>
      <c r="C287" t="s">
        <v>142</v>
      </c>
      <c r="D287" t="s">
        <v>263</v>
      </c>
      <c r="E287">
        <v>330</v>
      </c>
      <c r="F287">
        <v>0</v>
      </c>
      <c r="G287" s="2">
        <v>9.98</v>
      </c>
      <c r="H287">
        <v>0</v>
      </c>
      <c r="I287">
        <v>1570</v>
      </c>
      <c r="K287" t="s">
        <v>229</v>
      </c>
      <c r="L287">
        <v>7</v>
      </c>
      <c r="M287">
        <v>0</v>
      </c>
      <c r="N287" t="s">
        <v>259</v>
      </c>
      <c r="O287" t="s">
        <v>266</v>
      </c>
      <c r="P287">
        <v>12</v>
      </c>
      <c r="Q28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2C021194</v>
      </c>
      <c r="R287" t="s">
        <v>644</v>
      </c>
      <c r="S28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288" spans="1:20" x14ac:dyDescent="0.25">
      <c r="A288" t="s">
        <v>128</v>
      </c>
      <c r="B288">
        <v>202005</v>
      </c>
      <c r="C288" t="s">
        <v>144</v>
      </c>
      <c r="D288" t="s">
        <v>211</v>
      </c>
      <c r="E288">
        <v>350</v>
      </c>
      <c r="F288">
        <v>0</v>
      </c>
      <c r="G288" s="2">
        <v>25.2</v>
      </c>
      <c r="H288">
        <v>0</v>
      </c>
      <c r="I288">
        <v>1570</v>
      </c>
      <c r="K288" t="s">
        <v>229</v>
      </c>
      <c r="L288">
        <v>7</v>
      </c>
      <c r="M288">
        <v>0</v>
      </c>
      <c r="N288" t="s">
        <v>259</v>
      </c>
      <c r="O288" t="s">
        <v>266</v>
      </c>
      <c r="P288">
        <v>12</v>
      </c>
      <c r="Q28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2C021225</v>
      </c>
      <c r="R288" t="s">
        <v>644</v>
      </c>
      <c r="S28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289" spans="1:20" x14ac:dyDescent="0.25">
      <c r="A289" t="s">
        <v>128</v>
      </c>
      <c r="B289">
        <v>202005</v>
      </c>
      <c r="C289" t="s">
        <v>3</v>
      </c>
      <c r="D289" t="s">
        <v>58</v>
      </c>
      <c r="E289">
        <v>275</v>
      </c>
      <c r="F289">
        <v>0</v>
      </c>
      <c r="G289" s="2">
        <v>3.04</v>
      </c>
      <c r="H289">
        <v>0</v>
      </c>
      <c r="I289">
        <v>1570</v>
      </c>
      <c r="K289" t="s">
        <v>229</v>
      </c>
      <c r="L289">
        <v>7</v>
      </c>
      <c r="M289">
        <v>0</v>
      </c>
      <c r="N289" t="s">
        <v>259</v>
      </c>
      <c r="O289" t="s">
        <v>266</v>
      </c>
      <c r="P289">
        <v>12</v>
      </c>
      <c r="Q28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2C021229</v>
      </c>
      <c r="R289" t="s">
        <v>644</v>
      </c>
      <c r="S28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290" spans="1:20" x14ac:dyDescent="0.25">
      <c r="A290" t="s">
        <v>128</v>
      </c>
      <c r="B290">
        <v>202005</v>
      </c>
      <c r="C290" t="s">
        <v>4</v>
      </c>
      <c r="D290" t="s">
        <v>265</v>
      </c>
      <c r="E290">
        <v>115</v>
      </c>
      <c r="F290">
        <v>0</v>
      </c>
      <c r="G290" s="2">
        <v>5.95</v>
      </c>
      <c r="H290">
        <v>0</v>
      </c>
      <c r="I290">
        <v>1570</v>
      </c>
      <c r="K290" t="s">
        <v>229</v>
      </c>
      <c r="L290">
        <v>7</v>
      </c>
      <c r="M290">
        <v>0</v>
      </c>
      <c r="N290" t="s">
        <v>259</v>
      </c>
      <c r="O290" t="s">
        <v>266</v>
      </c>
      <c r="P290">
        <v>12</v>
      </c>
      <c r="Q29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2C021230</v>
      </c>
      <c r="R290" t="s">
        <v>644</v>
      </c>
      <c r="S29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291" spans="1:20" x14ac:dyDescent="0.25">
      <c r="A291" t="s">
        <v>128</v>
      </c>
      <c r="B291">
        <v>202005</v>
      </c>
      <c r="C291" t="s">
        <v>6</v>
      </c>
      <c r="D291" t="s">
        <v>60</v>
      </c>
      <c r="E291">
        <v>50</v>
      </c>
      <c r="F291">
        <v>0</v>
      </c>
      <c r="G291" s="2">
        <v>8.89</v>
      </c>
      <c r="H291">
        <v>0</v>
      </c>
      <c r="I291">
        <v>1570</v>
      </c>
      <c r="K291" t="s">
        <v>229</v>
      </c>
      <c r="L291">
        <v>7</v>
      </c>
      <c r="M291">
        <v>0</v>
      </c>
      <c r="N291" t="s">
        <v>259</v>
      </c>
      <c r="O291" t="s">
        <v>266</v>
      </c>
      <c r="P291">
        <v>12</v>
      </c>
      <c r="Q29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2C021245</v>
      </c>
      <c r="R291" t="s">
        <v>644</v>
      </c>
      <c r="S29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292" spans="1:20" x14ac:dyDescent="0.25">
      <c r="A292" t="s">
        <v>128</v>
      </c>
      <c r="B292">
        <v>202005</v>
      </c>
      <c r="C292" t="s">
        <v>260</v>
      </c>
      <c r="D292" t="s">
        <v>261</v>
      </c>
      <c r="E292">
        <v>50</v>
      </c>
      <c r="F292">
        <v>0</v>
      </c>
      <c r="G292" s="2">
        <v>7.25</v>
      </c>
      <c r="H292">
        <v>0</v>
      </c>
      <c r="I292">
        <v>1570</v>
      </c>
      <c r="K292" t="s">
        <v>229</v>
      </c>
      <c r="L292">
        <v>7</v>
      </c>
      <c r="M292">
        <v>0</v>
      </c>
      <c r="N292" t="s">
        <v>259</v>
      </c>
      <c r="O292" t="s">
        <v>266</v>
      </c>
      <c r="P292">
        <v>12</v>
      </c>
      <c r="Q29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2C021334</v>
      </c>
      <c r="R292" t="s">
        <v>644</v>
      </c>
      <c r="S29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293" spans="1:20" x14ac:dyDescent="0.25">
      <c r="A293" t="s">
        <v>128</v>
      </c>
      <c r="B293">
        <v>202005</v>
      </c>
      <c r="C293" t="s">
        <v>56</v>
      </c>
      <c r="D293" t="s">
        <v>246</v>
      </c>
      <c r="E293">
        <v>0</v>
      </c>
      <c r="F293">
        <v>0</v>
      </c>
      <c r="G293" s="2">
        <v>0.03</v>
      </c>
      <c r="H293">
        <v>0</v>
      </c>
      <c r="K293" t="s">
        <v>229</v>
      </c>
      <c r="L293">
        <v>8</v>
      </c>
      <c r="M293">
        <v>0</v>
      </c>
      <c r="O293" t="s">
        <v>266</v>
      </c>
      <c r="P293">
        <v>12</v>
      </c>
      <c r="Q29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2C028999</v>
      </c>
      <c r="R293" t="s">
        <v>644</v>
      </c>
      <c r="S29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294" spans="1:20" x14ac:dyDescent="0.25">
      <c r="A294" t="s">
        <v>137</v>
      </c>
      <c r="B294">
        <v>202005</v>
      </c>
      <c r="C294" t="s">
        <v>141</v>
      </c>
      <c r="D294" t="s">
        <v>262</v>
      </c>
      <c r="E294" s="1020">
        <v>433.66277000000002</v>
      </c>
      <c r="F294">
        <v>0</v>
      </c>
      <c r="G294" s="2">
        <v>100</v>
      </c>
      <c r="H294">
        <v>0</v>
      </c>
      <c r="I294">
        <v>1570</v>
      </c>
      <c r="K294" t="s">
        <v>229</v>
      </c>
      <c r="L294">
        <v>1</v>
      </c>
      <c r="M294">
        <v>0</v>
      </c>
      <c r="N294" t="s">
        <v>259</v>
      </c>
      <c r="O294" t="s">
        <v>268</v>
      </c>
      <c r="P294">
        <v>12</v>
      </c>
      <c r="Q29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2C031102</v>
      </c>
      <c r="R294" t="s">
        <v>644</v>
      </c>
      <c r="S29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295" spans="1:20" x14ac:dyDescent="0.25">
      <c r="A295" t="s">
        <v>137</v>
      </c>
      <c r="B295">
        <v>202005</v>
      </c>
      <c r="C295" t="s">
        <v>138</v>
      </c>
      <c r="D295" t="s">
        <v>269</v>
      </c>
      <c r="E295">
        <v>603.71</v>
      </c>
      <c r="F295">
        <v>0</v>
      </c>
      <c r="G295" s="2">
        <v>53.36</v>
      </c>
      <c r="H295">
        <v>0</v>
      </c>
      <c r="I295">
        <v>1570</v>
      </c>
      <c r="K295" t="s">
        <v>229</v>
      </c>
      <c r="L295">
        <v>6</v>
      </c>
      <c r="M295">
        <v>0</v>
      </c>
      <c r="N295" t="s">
        <v>259</v>
      </c>
      <c r="O295" t="s">
        <v>268</v>
      </c>
      <c r="P295">
        <v>12</v>
      </c>
      <c r="Q29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2C031204</v>
      </c>
      <c r="R295" t="s">
        <v>644</v>
      </c>
      <c r="S29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  <c r="T295" t="s">
        <v>144</v>
      </c>
    </row>
    <row r="296" spans="1:20" x14ac:dyDescent="0.25">
      <c r="A296" t="s">
        <v>137</v>
      </c>
      <c r="B296">
        <v>202005</v>
      </c>
      <c r="C296" t="s">
        <v>260</v>
      </c>
      <c r="D296" t="s">
        <v>261</v>
      </c>
      <c r="E296">
        <v>50</v>
      </c>
      <c r="F296">
        <v>0</v>
      </c>
      <c r="G296" s="2">
        <v>8.66</v>
      </c>
      <c r="H296">
        <v>0</v>
      </c>
      <c r="I296">
        <v>1570</v>
      </c>
      <c r="K296" t="s">
        <v>229</v>
      </c>
      <c r="L296">
        <v>7</v>
      </c>
      <c r="M296">
        <v>0</v>
      </c>
      <c r="N296" t="s">
        <v>259</v>
      </c>
      <c r="O296" t="s">
        <v>268</v>
      </c>
      <c r="P296">
        <v>12</v>
      </c>
      <c r="Q29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2C031334</v>
      </c>
      <c r="R296" t="s">
        <v>644</v>
      </c>
      <c r="S29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297" spans="1:20" x14ac:dyDescent="0.25">
      <c r="A297" t="s">
        <v>137</v>
      </c>
      <c r="B297">
        <v>202005</v>
      </c>
      <c r="C297" t="s">
        <v>142</v>
      </c>
      <c r="D297" t="s">
        <v>263</v>
      </c>
      <c r="E297">
        <v>330</v>
      </c>
      <c r="F297">
        <v>0</v>
      </c>
      <c r="G297" s="2">
        <v>6.02</v>
      </c>
      <c r="H297">
        <v>0</v>
      </c>
      <c r="I297">
        <v>1570</v>
      </c>
      <c r="K297" t="s">
        <v>229</v>
      </c>
      <c r="L297">
        <v>7</v>
      </c>
      <c r="M297">
        <v>0</v>
      </c>
      <c r="N297" t="s">
        <v>259</v>
      </c>
      <c r="O297" t="s">
        <v>268</v>
      </c>
      <c r="P297">
        <v>12</v>
      </c>
      <c r="Q29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2C031194</v>
      </c>
      <c r="R297" t="s">
        <v>644</v>
      </c>
      <c r="S29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298" spans="1:20" x14ac:dyDescent="0.25">
      <c r="A298" t="s">
        <v>137</v>
      </c>
      <c r="B298">
        <v>202005</v>
      </c>
      <c r="C298" t="s">
        <v>144</v>
      </c>
      <c r="D298" t="s">
        <v>211</v>
      </c>
      <c r="E298">
        <v>350</v>
      </c>
      <c r="F298">
        <v>0</v>
      </c>
      <c r="G298" s="2">
        <v>19.100000000000001</v>
      </c>
      <c r="H298">
        <v>0</v>
      </c>
      <c r="I298">
        <v>1570</v>
      </c>
      <c r="K298" t="s">
        <v>229</v>
      </c>
      <c r="L298">
        <v>7</v>
      </c>
      <c r="M298">
        <v>0</v>
      </c>
      <c r="N298" t="s">
        <v>259</v>
      </c>
      <c r="O298" t="s">
        <v>268</v>
      </c>
      <c r="P298">
        <v>12</v>
      </c>
      <c r="Q29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2C031225</v>
      </c>
      <c r="R298" t="s">
        <v>644</v>
      </c>
      <c r="S29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299" spans="1:20" x14ac:dyDescent="0.25">
      <c r="A299" t="s">
        <v>137</v>
      </c>
      <c r="B299">
        <v>202005</v>
      </c>
      <c r="C299" t="s">
        <v>3</v>
      </c>
      <c r="D299" t="s">
        <v>58</v>
      </c>
      <c r="E299">
        <v>275</v>
      </c>
      <c r="F299">
        <v>0</v>
      </c>
      <c r="G299" s="2">
        <v>2.12</v>
      </c>
      <c r="H299">
        <v>0</v>
      </c>
      <c r="I299">
        <v>1570</v>
      </c>
      <c r="K299" t="s">
        <v>229</v>
      </c>
      <c r="L299">
        <v>7</v>
      </c>
      <c r="M299">
        <v>0</v>
      </c>
      <c r="N299" t="s">
        <v>259</v>
      </c>
      <c r="O299" t="s">
        <v>268</v>
      </c>
      <c r="P299">
        <v>12</v>
      </c>
      <c r="Q29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2C031229</v>
      </c>
      <c r="R299" t="s">
        <v>644</v>
      </c>
      <c r="S29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00" spans="1:20" x14ac:dyDescent="0.25">
      <c r="A300" t="s">
        <v>137</v>
      </c>
      <c r="B300">
        <v>202005</v>
      </c>
      <c r="C300" t="s">
        <v>4</v>
      </c>
      <c r="D300" t="s">
        <v>265</v>
      </c>
      <c r="E300">
        <v>115</v>
      </c>
      <c r="F300">
        <v>0</v>
      </c>
      <c r="G300" s="2">
        <v>3.96</v>
      </c>
      <c r="H300">
        <v>0</v>
      </c>
      <c r="I300">
        <v>1570</v>
      </c>
      <c r="K300" t="s">
        <v>229</v>
      </c>
      <c r="L300">
        <v>7</v>
      </c>
      <c r="M300">
        <v>0</v>
      </c>
      <c r="N300" t="s">
        <v>259</v>
      </c>
      <c r="O300" t="s">
        <v>268</v>
      </c>
      <c r="P300">
        <v>12</v>
      </c>
      <c r="Q30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2C031230</v>
      </c>
      <c r="R300" t="s">
        <v>644</v>
      </c>
      <c r="S30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01" spans="1:20" x14ac:dyDescent="0.25">
      <c r="A301" t="s">
        <v>137</v>
      </c>
      <c r="B301">
        <v>202005</v>
      </c>
      <c r="C301" t="s">
        <v>6</v>
      </c>
      <c r="D301" t="s">
        <v>60</v>
      </c>
      <c r="E301">
        <v>50</v>
      </c>
      <c r="F301">
        <v>0</v>
      </c>
      <c r="G301" s="2">
        <v>6.31</v>
      </c>
      <c r="H301">
        <v>0</v>
      </c>
      <c r="I301">
        <v>1570</v>
      </c>
      <c r="K301" t="s">
        <v>229</v>
      </c>
      <c r="L301">
        <v>7</v>
      </c>
      <c r="M301">
        <v>0</v>
      </c>
      <c r="N301" t="s">
        <v>259</v>
      </c>
      <c r="O301" t="s">
        <v>268</v>
      </c>
      <c r="P301">
        <v>12</v>
      </c>
      <c r="Q30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2C031245</v>
      </c>
      <c r="R301" t="s">
        <v>644</v>
      </c>
      <c r="S30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02" spans="1:20" x14ac:dyDescent="0.25">
      <c r="A302" t="s">
        <v>137</v>
      </c>
      <c r="B302">
        <v>202005</v>
      </c>
      <c r="C302" t="s">
        <v>56</v>
      </c>
      <c r="D302" t="s">
        <v>246</v>
      </c>
      <c r="E302">
        <v>0</v>
      </c>
      <c r="F302">
        <v>0</v>
      </c>
      <c r="G302" s="2">
        <v>0.47</v>
      </c>
      <c r="H302">
        <v>0</v>
      </c>
      <c r="K302" t="s">
        <v>229</v>
      </c>
      <c r="L302">
        <v>8</v>
      </c>
      <c r="M302">
        <v>0</v>
      </c>
      <c r="O302" t="s">
        <v>268</v>
      </c>
      <c r="P302">
        <v>12</v>
      </c>
      <c r="Q30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2C038999</v>
      </c>
      <c r="R302" t="s">
        <v>644</v>
      </c>
      <c r="S30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303" spans="1:20" x14ac:dyDescent="0.25">
      <c r="A303" t="s">
        <v>131</v>
      </c>
      <c r="B303">
        <v>202005</v>
      </c>
      <c r="C303" t="s">
        <v>141</v>
      </c>
      <c r="D303" t="s">
        <v>262</v>
      </c>
      <c r="E303">
        <v>433.66277000000002</v>
      </c>
      <c r="F303">
        <v>0</v>
      </c>
      <c r="G303" s="2">
        <v>100</v>
      </c>
      <c r="H303">
        <v>0</v>
      </c>
      <c r="I303">
        <v>1570</v>
      </c>
      <c r="K303" t="s">
        <v>229</v>
      </c>
      <c r="L303">
        <v>1</v>
      </c>
      <c r="M303">
        <v>0</v>
      </c>
      <c r="N303" t="s">
        <v>259</v>
      </c>
      <c r="O303" t="s">
        <v>270</v>
      </c>
      <c r="P303">
        <v>12</v>
      </c>
      <c r="Q30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2C041102</v>
      </c>
      <c r="R303" t="s">
        <v>644</v>
      </c>
      <c r="S30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304" spans="1:20" x14ac:dyDescent="0.25">
      <c r="A304" t="s">
        <v>131</v>
      </c>
      <c r="B304">
        <v>202005</v>
      </c>
      <c r="C304" t="s">
        <v>132</v>
      </c>
      <c r="D304" t="s">
        <v>234</v>
      </c>
      <c r="E304" s="1020">
        <v>981.68124</v>
      </c>
      <c r="F304">
        <v>0</v>
      </c>
      <c r="G304" s="2">
        <v>28.15</v>
      </c>
      <c r="H304">
        <v>0</v>
      </c>
      <c r="I304">
        <v>1570</v>
      </c>
      <c r="K304" t="s">
        <v>229</v>
      </c>
      <c r="L304">
        <v>6</v>
      </c>
      <c r="M304">
        <v>0</v>
      </c>
      <c r="N304" t="s">
        <v>259</v>
      </c>
      <c r="O304" t="s">
        <v>270</v>
      </c>
      <c r="P304">
        <v>12</v>
      </c>
      <c r="Q30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2C041199</v>
      </c>
      <c r="R304" t="s">
        <v>644</v>
      </c>
      <c r="S30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  <c r="T304" t="s">
        <v>151</v>
      </c>
    </row>
    <row r="305" spans="1:20" x14ac:dyDescent="0.25">
      <c r="A305" t="s">
        <v>131</v>
      </c>
      <c r="B305">
        <v>202005</v>
      </c>
      <c r="C305" t="s">
        <v>142</v>
      </c>
      <c r="D305" t="s">
        <v>263</v>
      </c>
      <c r="E305">
        <v>330</v>
      </c>
      <c r="F305">
        <v>0</v>
      </c>
      <c r="G305" s="2">
        <v>9.4</v>
      </c>
      <c r="H305">
        <v>0</v>
      </c>
      <c r="I305">
        <v>1570</v>
      </c>
      <c r="K305" t="s">
        <v>229</v>
      </c>
      <c r="L305">
        <v>7</v>
      </c>
      <c r="M305">
        <v>0</v>
      </c>
      <c r="N305" t="s">
        <v>259</v>
      </c>
      <c r="O305" t="s">
        <v>270</v>
      </c>
      <c r="P305">
        <v>12</v>
      </c>
      <c r="Q30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2C041194</v>
      </c>
      <c r="R305" t="s">
        <v>644</v>
      </c>
      <c r="S30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06" spans="1:20" x14ac:dyDescent="0.25">
      <c r="A306" t="s">
        <v>131</v>
      </c>
      <c r="B306">
        <v>202005</v>
      </c>
      <c r="C306" t="s">
        <v>143</v>
      </c>
      <c r="D306" t="s">
        <v>264</v>
      </c>
      <c r="E306">
        <v>210</v>
      </c>
      <c r="F306">
        <v>0</v>
      </c>
      <c r="G306" s="2">
        <v>8.7899999999999991</v>
      </c>
      <c r="H306">
        <v>0</v>
      </c>
      <c r="I306">
        <v>1570</v>
      </c>
      <c r="K306" t="s">
        <v>229</v>
      </c>
      <c r="L306">
        <v>7</v>
      </c>
      <c r="M306">
        <v>0</v>
      </c>
      <c r="N306" t="s">
        <v>259</v>
      </c>
      <c r="O306" t="s">
        <v>270</v>
      </c>
      <c r="P306">
        <v>12</v>
      </c>
      <c r="Q30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2C041195</v>
      </c>
      <c r="R306" t="s">
        <v>644</v>
      </c>
      <c r="S30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07" spans="1:20" x14ac:dyDescent="0.25">
      <c r="A307" t="s">
        <v>131</v>
      </c>
      <c r="B307">
        <v>202005</v>
      </c>
      <c r="C307" t="s">
        <v>151</v>
      </c>
      <c r="D307" t="s">
        <v>209</v>
      </c>
      <c r="E307">
        <v>350</v>
      </c>
      <c r="F307">
        <v>0</v>
      </c>
      <c r="G307" s="2">
        <v>24.51</v>
      </c>
      <c r="H307">
        <v>0</v>
      </c>
      <c r="I307">
        <v>1570</v>
      </c>
      <c r="K307" t="s">
        <v>229</v>
      </c>
      <c r="L307">
        <v>7</v>
      </c>
      <c r="M307">
        <v>0</v>
      </c>
      <c r="N307" t="s">
        <v>259</v>
      </c>
      <c r="O307" t="s">
        <v>270</v>
      </c>
      <c r="P307">
        <v>12</v>
      </c>
      <c r="Q30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2C041224</v>
      </c>
      <c r="R307" t="s">
        <v>644</v>
      </c>
      <c r="S30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08" spans="1:20" x14ac:dyDescent="0.25">
      <c r="A308" t="s">
        <v>131</v>
      </c>
      <c r="B308">
        <v>202005</v>
      </c>
      <c r="C308" t="s">
        <v>3</v>
      </c>
      <c r="D308" t="s">
        <v>58</v>
      </c>
      <c r="E308">
        <v>275</v>
      </c>
      <c r="F308">
        <v>0</v>
      </c>
      <c r="G308" s="2">
        <v>1.49</v>
      </c>
      <c r="H308">
        <v>0</v>
      </c>
      <c r="I308">
        <v>1570</v>
      </c>
      <c r="K308" t="s">
        <v>229</v>
      </c>
      <c r="L308">
        <v>7</v>
      </c>
      <c r="M308">
        <v>0</v>
      </c>
      <c r="N308" t="s">
        <v>259</v>
      </c>
      <c r="O308" t="s">
        <v>270</v>
      </c>
      <c r="P308">
        <v>12</v>
      </c>
      <c r="Q30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2C041229</v>
      </c>
      <c r="R308" t="s">
        <v>644</v>
      </c>
      <c r="S30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09" spans="1:20" x14ac:dyDescent="0.25">
      <c r="A309" t="s">
        <v>131</v>
      </c>
      <c r="B309">
        <v>202005</v>
      </c>
      <c r="C309" t="s">
        <v>4</v>
      </c>
      <c r="D309" t="s">
        <v>265</v>
      </c>
      <c r="E309">
        <v>115</v>
      </c>
      <c r="F309">
        <v>0</v>
      </c>
      <c r="G309" s="2">
        <v>6.42</v>
      </c>
      <c r="H309">
        <v>0</v>
      </c>
      <c r="I309">
        <v>1570</v>
      </c>
      <c r="K309" t="s">
        <v>229</v>
      </c>
      <c r="L309">
        <v>7</v>
      </c>
      <c r="M309">
        <v>0</v>
      </c>
      <c r="N309" t="s">
        <v>259</v>
      </c>
      <c r="O309" t="s">
        <v>270</v>
      </c>
      <c r="P309">
        <v>12</v>
      </c>
      <c r="Q30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2C041230</v>
      </c>
      <c r="R309" t="s">
        <v>644</v>
      </c>
      <c r="S30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10" spans="1:20" x14ac:dyDescent="0.25">
      <c r="A310" t="s">
        <v>131</v>
      </c>
      <c r="B310">
        <v>202005</v>
      </c>
      <c r="C310" t="s">
        <v>6</v>
      </c>
      <c r="D310" t="s">
        <v>60</v>
      </c>
      <c r="E310">
        <v>50</v>
      </c>
      <c r="F310">
        <v>0</v>
      </c>
      <c r="G310" s="2">
        <v>13.59</v>
      </c>
      <c r="H310">
        <v>0</v>
      </c>
      <c r="I310">
        <v>1570</v>
      </c>
      <c r="K310" t="s">
        <v>229</v>
      </c>
      <c r="L310">
        <v>7</v>
      </c>
      <c r="M310">
        <v>0</v>
      </c>
      <c r="N310" t="s">
        <v>259</v>
      </c>
      <c r="O310" t="s">
        <v>270</v>
      </c>
      <c r="P310">
        <v>12</v>
      </c>
      <c r="Q31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2C041245</v>
      </c>
      <c r="R310" t="s">
        <v>644</v>
      </c>
      <c r="S31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11" spans="1:20" x14ac:dyDescent="0.25">
      <c r="A311" t="s">
        <v>131</v>
      </c>
      <c r="B311">
        <v>202005</v>
      </c>
      <c r="C311" t="s">
        <v>260</v>
      </c>
      <c r="D311" t="s">
        <v>261</v>
      </c>
      <c r="E311" s="1020">
        <v>50</v>
      </c>
      <c r="F311">
        <v>0</v>
      </c>
      <c r="G311" s="2">
        <v>7.56</v>
      </c>
      <c r="H311">
        <v>0</v>
      </c>
      <c r="I311">
        <v>1570</v>
      </c>
      <c r="K311" t="s">
        <v>229</v>
      </c>
      <c r="L311">
        <v>7</v>
      </c>
      <c r="M311">
        <v>0</v>
      </c>
      <c r="N311" t="s">
        <v>259</v>
      </c>
      <c r="O311" t="s">
        <v>270</v>
      </c>
      <c r="P311">
        <v>12</v>
      </c>
      <c r="Q31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2C041334</v>
      </c>
      <c r="R311" t="s">
        <v>644</v>
      </c>
      <c r="S31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12" spans="1:20" x14ac:dyDescent="0.25">
      <c r="A312" t="s">
        <v>131</v>
      </c>
      <c r="B312">
        <v>202005</v>
      </c>
      <c r="C312" t="s">
        <v>56</v>
      </c>
      <c r="D312" t="s">
        <v>246</v>
      </c>
      <c r="E312">
        <v>0</v>
      </c>
      <c r="F312">
        <v>0</v>
      </c>
      <c r="G312" s="2">
        <v>0.1</v>
      </c>
      <c r="H312">
        <v>0</v>
      </c>
      <c r="K312" t="s">
        <v>229</v>
      </c>
      <c r="L312">
        <v>8</v>
      </c>
      <c r="M312">
        <v>0</v>
      </c>
      <c r="O312" t="s">
        <v>270</v>
      </c>
      <c r="P312">
        <v>12</v>
      </c>
      <c r="Q31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2C048999</v>
      </c>
      <c r="R312" t="s">
        <v>644</v>
      </c>
      <c r="S31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313" spans="1:20" x14ac:dyDescent="0.25">
      <c r="A313" t="s">
        <v>123</v>
      </c>
      <c r="B313">
        <v>202005</v>
      </c>
      <c r="C313" t="s">
        <v>141</v>
      </c>
      <c r="D313" t="s">
        <v>262</v>
      </c>
      <c r="E313" s="1020">
        <v>433.66277000000002</v>
      </c>
      <c r="F313">
        <v>0</v>
      </c>
      <c r="G313" s="2">
        <v>100</v>
      </c>
      <c r="H313">
        <v>0</v>
      </c>
      <c r="I313">
        <v>1570</v>
      </c>
      <c r="K313" t="s">
        <v>229</v>
      </c>
      <c r="L313">
        <v>1</v>
      </c>
      <c r="M313">
        <v>0</v>
      </c>
      <c r="N313" t="s">
        <v>259</v>
      </c>
      <c r="O313" t="s">
        <v>271</v>
      </c>
      <c r="P313">
        <v>12</v>
      </c>
      <c r="Q31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2C051102</v>
      </c>
      <c r="R313" t="s">
        <v>644</v>
      </c>
      <c r="S31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314" spans="1:20" x14ac:dyDescent="0.25">
      <c r="A314" t="s">
        <v>123</v>
      </c>
      <c r="B314">
        <v>202005</v>
      </c>
      <c r="C314" t="s">
        <v>124</v>
      </c>
      <c r="D314" t="s">
        <v>272</v>
      </c>
      <c r="E314">
        <v>806.2</v>
      </c>
      <c r="F314">
        <v>0</v>
      </c>
      <c r="G314" s="2">
        <v>36.9</v>
      </c>
      <c r="H314">
        <v>0</v>
      </c>
      <c r="I314">
        <v>1570</v>
      </c>
      <c r="K314" t="s">
        <v>229</v>
      </c>
      <c r="L314">
        <v>6</v>
      </c>
      <c r="M314">
        <v>0</v>
      </c>
      <c r="N314" t="s">
        <v>259</v>
      </c>
      <c r="O314" t="s">
        <v>271</v>
      </c>
      <c r="P314">
        <v>12</v>
      </c>
      <c r="Q31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2C051197</v>
      </c>
      <c r="R314" t="s">
        <v>644</v>
      </c>
      <c r="S31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  <c r="T314" t="s">
        <v>144</v>
      </c>
    </row>
    <row r="315" spans="1:20" x14ac:dyDescent="0.25">
      <c r="A315" t="s">
        <v>123</v>
      </c>
      <c r="B315">
        <v>202005</v>
      </c>
      <c r="C315" t="s">
        <v>142</v>
      </c>
      <c r="D315" t="s">
        <v>263</v>
      </c>
      <c r="E315">
        <v>330</v>
      </c>
      <c r="F315">
        <v>0</v>
      </c>
      <c r="G315" s="2">
        <v>9.7200000000000006</v>
      </c>
      <c r="H315">
        <v>0</v>
      </c>
      <c r="I315">
        <v>1570</v>
      </c>
      <c r="K315" t="s">
        <v>229</v>
      </c>
      <c r="L315">
        <v>7</v>
      </c>
      <c r="M315">
        <v>0</v>
      </c>
      <c r="N315" t="s">
        <v>259</v>
      </c>
      <c r="O315" t="s">
        <v>271</v>
      </c>
      <c r="P315">
        <v>12</v>
      </c>
      <c r="Q31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2C051194</v>
      </c>
      <c r="R315" t="s">
        <v>644</v>
      </c>
      <c r="S31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16" spans="1:20" x14ac:dyDescent="0.25">
      <c r="A316" t="s">
        <v>123</v>
      </c>
      <c r="B316">
        <v>202005</v>
      </c>
      <c r="C316" t="s">
        <v>144</v>
      </c>
      <c r="D316" t="s">
        <v>211</v>
      </c>
      <c r="E316">
        <v>350</v>
      </c>
      <c r="F316">
        <v>0</v>
      </c>
      <c r="G316" s="2">
        <v>21.71</v>
      </c>
      <c r="H316">
        <v>0</v>
      </c>
      <c r="I316">
        <v>1570</v>
      </c>
      <c r="K316" t="s">
        <v>229</v>
      </c>
      <c r="L316">
        <v>7</v>
      </c>
      <c r="M316">
        <v>0</v>
      </c>
      <c r="N316" t="s">
        <v>259</v>
      </c>
      <c r="O316" t="s">
        <v>271</v>
      </c>
      <c r="P316">
        <v>12</v>
      </c>
      <c r="Q31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2C051225</v>
      </c>
      <c r="R316" t="s">
        <v>644</v>
      </c>
      <c r="S31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17" spans="1:20" x14ac:dyDescent="0.25">
      <c r="A317" t="s">
        <v>123</v>
      </c>
      <c r="B317">
        <v>202005</v>
      </c>
      <c r="C317" t="s">
        <v>3</v>
      </c>
      <c r="D317" t="s">
        <v>58</v>
      </c>
      <c r="E317">
        <v>275</v>
      </c>
      <c r="F317">
        <v>0</v>
      </c>
      <c r="G317" s="2">
        <v>1.4</v>
      </c>
      <c r="H317">
        <v>0</v>
      </c>
      <c r="I317">
        <v>1570</v>
      </c>
      <c r="K317" t="s">
        <v>229</v>
      </c>
      <c r="L317">
        <v>7</v>
      </c>
      <c r="M317">
        <v>0</v>
      </c>
      <c r="N317" t="s">
        <v>259</v>
      </c>
      <c r="O317" t="s">
        <v>271</v>
      </c>
      <c r="P317">
        <v>12</v>
      </c>
      <c r="Q31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2C051229</v>
      </c>
      <c r="R317" t="s">
        <v>644</v>
      </c>
      <c r="S31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18" spans="1:20" x14ac:dyDescent="0.25">
      <c r="A318" t="s">
        <v>123</v>
      </c>
      <c r="B318">
        <v>202005</v>
      </c>
      <c r="C318" t="s">
        <v>4</v>
      </c>
      <c r="D318" t="s">
        <v>265</v>
      </c>
      <c r="E318">
        <v>115</v>
      </c>
      <c r="F318">
        <v>0</v>
      </c>
      <c r="G318" s="2">
        <v>6.53</v>
      </c>
      <c r="H318">
        <v>0</v>
      </c>
      <c r="I318">
        <v>1570</v>
      </c>
      <c r="K318" t="s">
        <v>229</v>
      </c>
      <c r="L318">
        <v>7</v>
      </c>
      <c r="M318">
        <v>0</v>
      </c>
      <c r="N318" t="s">
        <v>259</v>
      </c>
      <c r="O318" t="s">
        <v>271</v>
      </c>
      <c r="P318">
        <v>12</v>
      </c>
      <c r="Q31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2C051230</v>
      </c>
      <c r="R318" t="s">
        <v>644</v>
      </c>
      <c r="S31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19" spans="1:20" x14ac:dyDescent="0.25">
      <c r="A319" t="s">
        <v>123</v>
      </c>
      <c r="B319">
        <v>202005</v>
      </c>
      <c r="C319" t="s">
        <v>6</v>
      </c>
      <c r="D319" t="s">
        <v>60</v>
      </c>
      <c r="E319">
        <v>50</v>
      </c>
      <c r="F319">
        <v>0</v>
      </c>
      <c r="G319" s="2">
        <v>15.33</v>
      </c>
      <c r="H319">
        <v>0</v>
      </c>
      <c r="I319">
        <v>1570</v>
      </c>
      <c r="K319" t="s">
        <v>229</v>
      </c>
      <c r="L319">
        <v>7</v>
      </c>
      <c r="M319">
        <v>0</v>
      </c>
      <c r="N319" t="s">
        <v>259</v>
      </c>
      <c r="O319" t="s">
        <v>271</v>
      </c>
      <c r="P319">
        <v>12</v>
      </c>
      <c r="Q31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2C051245</v>
      </c>
      <c r="R319" t="s">
        <v>644</v>
      </c>
      <c r="S31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20" spans="1:20" x14ac:dyDescent="0.25">
      <c r="A320" t="s">
        <v>123</v>
      </c>
      <c r="B320">
        <v>202005</v>
      </c>
      <c r="C320" t="s">
        <v>260</v>
      </c>
      <c r="D320" t="s">
        <v>261</v>
      </c>
      <c r="E320">
        <v>50</v>
      </c>
      <c r="F320">
        <v>0</v>
      </c>
      <c r="G320" s="2">
        <v>8.08</v>
      </c>
      <c r="H320">
        <v>0</v>
      </c>
      <c r="I320">
        <v>1570</v>
      </c>
      <c r="K320" t="s">
        <v>229</v>
      </c>
      <c r="L320">
        <v>7</v>
      </c>
      <c r="M320">
        <v>0</v>
      </c>
      <c r="N320" t="s">
        <v>259</v>
      </c>
      <c r="O320" t="s">
        <v>271</v>
      </c>
      <c r="P320">
        <v>12</v>
      </c>
      <c r="Q32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2C051334</v>
      </c>
      <c r="R320" t="s">
        <v>644</v>
      </c>
      <c r="S32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21" spans="1:20" x14ac:dyDescent="0.25">
      <c r="A321" t="s">
        <v>123</v>
      </c>
      <c r="B321">
        <v>202005</v>
      </c>
      <c r="C321" t="s">
        <v>56</v>
      </c>
      <c r="D321" t="s">
        <v>246</v>
      </c>
      <c r="E321" s="1020">
        <v>0</v>
      </c>
      <c r="F321">
        <v>0</v>
      </c>
      <c r="G321" s="2">
        <v>0.34</v>
      </c>
      <c r="H321">
        <v>0</v>
      </c>
      <c r="K321" t="s">
        <v>229</v>
      </c>
      <c r="L321">
        <v>8</v>
      </c>
      <c r="M321">
        <v>0</v>
      </c>
      <c r="O321" t="s">
        <v>271</v>
      </c>
      <c r="P321">
        <v>12</v>
      </c>
      <c r="Q32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2C058999</v>
      </c>
      <c r="R321" t="s">
        <v>644</v>
      </c>
      <c r="S32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322" spans="1:20" x14ac:dyDescent="0.25">
      <c r="A322" t="s">
        <v>118</v>
      </c>
      <c r="B322">
        <v>202005</v>
      </c>
      <c r="C322" t="s">
        <v>141</v>
      </c>
      <c r="D322" t="s">
        <v>262</v>
      </c>
      <c r="E322">
        <v>433.66277000000002</v>
      </c>
      <c r="F322">
        <v>0</v>
      </c>
      <c r="G322" s="2">
        <v>100</v>
      </c>
      <c r="H322">
        <v>0</v>
      </c>
      <c r="I322">
        <v>1570</v>
      </c>
      <c r="K322" t="s">
        <v>229</v>
      </c>
      <c r="L322">
        <v>1</v>
      </c>
      <c r="M322">
        <v>0</v>
      </c>
      <c r="N322" t="s">
        <v>259</v>
      </c>
      <c r="O322" t="s">
        <v>273</v>
      </c>
      <c r="P322">
        <v>12</v>
      </c>
      <c r="Q32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2C061102</v>
      </c>
      <c r="R322" t="s">
        <v>644</v>
      </c>
      <c r="S32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323" spans="1:20" x14ac:dyDescent="0.25">
      <c r="A323" t="s">
        <v>118</v>
      </c>
      <c r="B323">
        <v>202005</v>
      </c>
      <c r="C323" t="s">
        <v>119</v>
      </c>
      <c r="D323" t="s">
        <v>274</v>
      </c>
      <c r="E323" s="1020">
        <v>1090.1350199999999</v>
      </c>
      <c r="F323">
        <v>0</v>
      </c>
      <c r="G323" s="2">
        <v>23.53</v>
      </c>
      <c r="H323">
        <v>0</v>
      </c>
      <c r="I323">
        <v>1570</v>
      </c>
      <c r="K323" t="s">
        <v>229</v>
      </c>
      <c r="L323">
        <v>6</v>
      </c>
      <c r="M323">
        <v>0</v>
      </c>
      <c r="N323" t="s">
        <v>259</v>
      </c>
      <c r="O323" t="s">
        <v>273</v>
      </c>
      <c r="P323">
        <v>12</v>
      </c>
      <c r="Q32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2C061193</v>
      </c>
      <c r="R323" t="s">
        <v>644</v>
      </c>
      <c r="S32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  <c r="T323" t="s">
        <v>144</v>
      </c>
    </row>
    <row r="324" spans="1:20" x14ac:dyDescent="0.25">
      <c r="A324" t="s">
        <v>118</v>
      </c>
      <c r="B324">
        <v>202005</v>
      </c>
      <c r="C324" t="s">
        <v>142</v>
      </c>
      <c r="D324" t="s">
        <v>263</v>
      </c>
      <c r="E324">
        <v>330</v>
      </c>
      <c r="F324">
        <v>0</v>
      </c>
      <c r="G324" s="2">
        <v>9.9700000000000006</v>
      </c>
      <c r="H324">
        <v>0</v>
      </c>
      <c r="I324">
        <v>1570</v>
      </c>
      <c r="K324" t="s">
        <v>229</v>
      </c>
      <c r="L324">
        <v>7</v>
      </c>
      <c r="M324">
        <v>0</v>
      </c>
      <c r="N324" t="s">
        <v>259</v>
      </c>
      <c r="O324" t="s">
        <v>273</v>
      </c>
      <c r="P324">
        <v>12</v>
      </c>
      <c r="Q32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2C061194</v>
      </c>
      <c r="R324" t="s">
        <v>644</v>
      </c>
      <c r="S32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25" spans="1:20" x14ac:dyDescent="0.25">
      <c r="A325" t="s">
        <v>118</v>
      </c>
      <c r="B325">
        <v>202005</v>
      </c>
      <c r="C325" t="s">
        <v>143</v>
      </c>
      <c r="D325" t="s">
        <v>264</v>
      </c>
      <c r="E325">
        <v>210</v>
      </c>
      <c r="F325">
        <v>0</v>
      </c>
      <c r="G325" s="2">
        <v>7.81</v>
      </c>
      <c r="H325">
        <v>0</v>
      </c>
      <c r="I325">
        <v>1570</v>
      </c>
      <c r="K325" t="s">
        <v>229</v>
      </c>
      <c r="L325">
        <v>7</v>
      </c>
      <c r="M325">
        <v>0</v>
      </c>
      <c r="N325" t="s">
        <v>259</v>
      </c>
      <c r="O325" t="s">
        <v>273</v>
      </c>
      <c r="P325">
        <v>12</v>
      </c>
      <c r="Q32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2C061195</v>
      </c>
      <c r="R325" t="s">
        <v>644</v>
      </c>
      <c r="S32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26" spans="1:20" x14ac:dyDescent="0.25">
      <c r="A326" t="s">
        <v>118</v>
      </c>
      <c r="B326">
        <v>202005</v>
      </c>
      <c r="C326" t="s">
        <v>144</v>
      </c>
      <c r="D326" t="s">
        <v>211</v>
      </c>
      <c r="E326">
        <v>350</v>
      </c>
      <c r="F326">
        <v>0</v>
      </c>
      <c r="G326" s="2">
        <v>26.59</v>
      </c>
      <c r="H326">
        <v>0</v>
      </c>
      <c r="I326">
        <v>1570</v>
      </c>
      <c r="K326" t="s">
        <v>229</v>
      </c>
      <c r="L326">
        <v>7</v>
      </c>
      <c r="M326">
        <v>0</v>
      </c>
      <c r="N326" t="s">
        <v>259</v>
      </c>
      <c r="O326" t="s">
        <v>273</v>
      </c>
      <c r="P326">
        <v>12</v>
      </c>
      <c r="Q32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2C061225</v>
      </c>
      <c r="R326" t="s">
        <v>644</v>
      </c>
      <c r="S32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27" spans="1:20" x14ac:dyDescent="0.25">
      <c r="A327" t="s">
        <v>118</v>
      </c>
      <c r="B327">
        <v>202005</v>
      </c>
      <c r="C327" t="s">
        <v>3</v>
      </c>
      <c r="D327" t="s">
        <v>58</v>
      </c>
      <c r="E327">
        <v>275</v>
      </c>
      <c r="F327">
        <v>0</v>
      </c>
      <c r="G327" s="2">
        <v>6.84</v>
      </c>
      <c r="H327">
        <v>0</v>
      </c>
      <c r="I327">
        <v>1570</v>
      </c>
      <c r="K327" t="s">
        <v>229</v>
      </c>
      <c r="L327">
        <v>7</v>
      </c>
      <c r="M327">
        <v>0</v>
      </c>
      <c r="N327" t="s">
        <v>259</v>
      </c>
      <c r="O327" t="s">
        <v>273</v>
      </c>
      <c r="P327">
        <v>12</v>
      </c>
      <c r="Q32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2C061229</v>
      </c>
      <c r="R327" t="s">
        <v>644</v>
      </c>
      <c r="S32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28" spans="1:20" x14ac:dyDescent="0.25">
      <c r="A328" t="s">
        <v>118</v>
      </c>
      <c r="B328">
        <v>202005</v>
      </c>
      <c r="C328" t="s">
        <v>4</v>
      </c>
      <c r="D328" t="s">
        <v>265</v>
      </c>
      <c r="E328">
        <v>115</v>
      </c>
      <c r="F328">
        <v>0</v>
      </c>
      <c r="G328" s="2">
        <v>5.18</v>
      </c>
      <c r="H328">
        <v>0</v>
      </c>
      <c r="I328">
        <v>1570</v>
      </c>
      <c r="K328" t="s">
        <v>229</v>
      </c>
      <c r="L328">
        <v>7</v>
      </c>
      <c r="M328">
        <v>0</v>
      </c>
      <c r="N328" t="s">
        <v>259</v>
      </c>
      <c r="O328" t="s">
        <v>273</v>
      </c>
      <c r="P328">
        <v>12</v>
      </c>
      <c r="Q32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2C061230</v>
      </c>
      <c r="R328" t="s">
        <v>644</v>
      </c>
      <c r="S32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29" spans="1:20" x14ac:dyDescent="0.25">
      <c r="A329" t="s">
        <v>118</v>
      </c>
      <c r="B329">
        <v>202005</v>
      </c>
      <c r="C329" t="s">
        <v>6</v>
      </c>
      <c r="D329" t="s">
        <v>60</v>
      </c>
      <c r="E329">
        <v>50</v>
      </c>
      <c r="F329">
        <v>0</v>
      </c>
      <c r="G329" s="2">
        <v>12.95</v>
      </c>
      <c r="H329">
        <v>0</v>
      </c>
      <c r="I329">
        <v>1570</v>
      </c>
      <c r="K329" t="s">
        <v>229</v>
      </c>
      <c r="L329">
        <v>7</v>
      </c>
      <c r="M329">
        <v>0</v>
      </c>
      <c r="N329" t="s">
        <v>259</v>
      </c>
      <c r="O329" t="s">
        <v>273</v>
      </c>
      <c r="P329">
        <v>12</v>
      </c>
      <c r="Q32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2C061245</v>
      </c>
      <c r="R329" t="s">
        <v>644</v>
      </c>
      <c r="S32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30" spans="1:20" x14ac:dyDescent="0.25">
      <c r="A330" t="s">
        <v>118</v>
      </c>
      <c r="B330">
        <v>202005</v>
      </c>
      <c r="C330" t="s">
        <v>260</v>
      </c>
      <c r="D330" t="s">
        <v>261</v>
      </c>
      <c r="E330">
        <v>50</v>
      </c>
      <c r="F330">
        <v>0</v>
      </c>
      <c r="G330" s="2">
        <v>7.09</v>
      </c>
      <c r="H330">
        <v>0</v>
      </c>
      <c r="I330">
        <v>1570</v>
      </c>
      <c r="K330" t="s">
        <v>229</v>
      </c>
      <c r="L330">
        <v>7</v>
      </c>
      <c r="M330">
        <v>0</v>
      </c>
      <c r="N330" t="s">
        <v>259</v>
      </c>
      <c r="O330" t="s">
        <v>273</v>
      </c>
      <c r="P330">
        <v>12</v>
      </c>
      <c r="Q33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2C061334</v>
      </c>
      <c r="R330" t="s">
        <v>644</v>
      </c>
      <c r="S33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31" spans="1:20" x14ac:dyDescent="0.25">
      <c r="A331" t="s">
        <v>118</v>
      </c>
      <c r="B331">
        <v>202005</v>
      </c>
      <c r="C331" t="s">
        <v>56</v>
      </c>
      <c r="D331" t="s">
        <v>246</v>
      </c>
      <c r="E331">
        <v>0</v>
      </c>
      <c r="F331">
        <v>0</v>
      </c>
      <c r="G331" s="2">
        <v>0.04</v>
      </c>
      <c r="H331">
        <v>0</v>
      </c>
      <c r="K331" t="s">
        <v>229</v>
      </c>
      <c r="L331">
        <v>8</v>
      </c>
      <c r="M331">
        <v>0</v>
      </c>
      <c r="O331" t="s">
        <v>273</v>
      </c>
      <c r="P331">
        <v>12</v>
      </c>
      <c r="Q33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2C068999</v>
      </c>
      <c r="R331" t="s">
        <v>644</v>
      </c>
      <c r="S33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332" spans="1:20" x14ac:dyDescent="0.25">
      <c r="A332" t="s">
        <v>113</v>
      </c>
      <c r="B332">
        <v>202005</v>
      </c>
      <c r="C332" t="s">
        <v>141</v>
      </c>
      <c r="D332" t="s">
        <v>262</v>
      </c>
      <c r="E332" s="1020">
        <v>433.66277000000002</v>
      </c>
      <c r="F332">
        <v>0</v>
      </c>
      <c r="G332" s="2">
        <v>100</v>
      </c>
      <c r="H332">
        <v>0</v>
      </c>
      <c r="I332">
        <v>1570</v>
      </c>
      <c r="K332" t="s">
        <v>229</v>
      </c>
      <c r="L332">
        <v>1</v>
      </c>
      <c r="M332">
        <v>0</v>
      </c>
      <c r="N332" t="s">
        <v>259</v>
      </c>
      <c r="O332" t="s">
        <v>275</v>
      </c>
      <c r="P332">
        <v>12</v>
      </c>
      <c r="Q33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2C071102</v>
      </c>
      <c r="R332" t="s">
        <v>644</v>
      </c>
      <c r="S33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333" spans="1:20" x14ac:dyDescent="0.25">
      <c r="A333" t="s">
        <v>113</v>
      </c>
      <c r="B333">
        <v>202005</v>
      </c>
      <c r="C333" t="s">
        <v>114</v>
      </c>
      <c r="D333" t="s">
        <v>276</v>
      </c>
      <c r="E333" s="1020">
        <v>1053.69</v>
      </c>
      <c r="F333">
        <v>0</v>
      </c>
      <c r="G333" s="2">
        <v>26.03</v>
      </c>
      <c r="H333">
        <v>0</v>
      </c>
      <c r="I333">
        <v>1570</v>
      </c>
      <c r="K333" t="s">
        <v>229</v>
      </c>
      <c r="L333">
        <v>6</v>
      </c>
      <c r="M333">
        <v>0</v>
      </c>
      <c r="N333" t="s">
        <v>259</v>
      </c>
      <c r="O333" t="s">
        <v>275</v>
      </c>
      <c r="P333">
        <v>12</v>
      </c>
      <c r="Q33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2C071191</v>
      </c>
      <c r="R333" t="s">
        <v>644</v>
      </c>
      <c r="S33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  <c r="T333" t="s">
        <v>144</v>
      </c>
    </row>
    <row r="334" spans="1:20" x14ac:dyDescent="0.25">
      <c r="A334" t="s">
        <v>113</v>
      </c>
      <c r="B334">
        <v>202005</v>
      </c>
      <c r="C334" t="s">
        <v>142</v>
      </c>
      <c r="D334" t="s">
        <v>263</v>
      </c>
      <c r="E334">
        <v>330</v>
      </c>
      <c r="F334">
        <v>0</v>
      </c>
      <c r="G334" s="2">
        <v>10.47</v>
      </c>
      <c r="H334">
        <v>0</v>
      </c>
      <c r="I334">
        <v>1570</v>
      </c>
      <c r="K334" t="s">
        <v>229</v>
      </c>
      <c r="L334">
        <v>7</v>
      </c>
      <c r="M334">
        <v>0</v>
      </c>
      <c r="N334" t="s">
        <v>259</v>
      </c>
      <c r="O334" t="s">
        <v>275</v>
      </c>
      <c r="P334">
        <v>12</v>
      </c>
      <c r="Q33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2C071194</v>
      </c>
      <c r="R334" t="s">
        <v>644</v>
      </c>
      <c r="S33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35" spans="1:20" x14ac:dyDescent="0.25">
      <c r="A335" t="s">
        <v>113</v>
      </c>
      <c r="B335">
        <v>202005</v>
      </c>
      <c r="C335" t="s">
        <v>143</v>
      </c>
      <c r="D335" t="s">
        <v>264</v>
      </c>
      <c r="E335">
        <v>210</v>
      </c>
      <c r="F335">
        <v>0</v>
      </c>
      <c r="G335" s="2">
        <v>7.54</v>
      </c>
      <c r="H335">
        <v>0</v>
      </c>
      <c r="I335">
        <v>1570</v>
      </c>
      <c r="K335" t="s">
        <v>229</v>
      </c>
      <c r="L335">
        <v>7</v>
      </c>
      <c r="M335">
        <v>0</v>
      </c>
      <c r="N335" t="s">
        <v>259</v>
      </c>
      <c r="O335" t="s">
        <v>275</v>
      </c>
      <c r="P335">
        <v>12</v>
      </c>
      <c r="Q33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2C071195</v>
      </c>
      <c r="R335" t="s">
        <v>644</v>
      </c>
      <c r="S33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36" spans="1:20" x14ac:dyDescent="0.25">
      <c r="A336" t="s">
        <v>113</v>
      </c>
      <c r="B336">
        <v>202005</v>
      </c>
      <c r="C336" t="s">
        <v>144</v>
      </c>
      <c r="D336" t="s">
        <v>211</v>
      </c>
      <c r="E336">
        <v>350</v>
      </c>
      <c r="F336">
        <v>0</v>
      </c>
      <c r="G336" s="2">
        <v>25.26</v>
      </c>
      <c r="H336">
        <v>0</v>
      </c>
      <c r="I336">
        <v>1570</v>
      </c>
      <c r="K336" t="s">
        <v>229</v>
      </c>
      <c r="L336">
        <v>7</v>
      </c>
      <c r="M336">
        <v>0</v>
      </c>
      <c r="N336" t="s">
        <v>259</v>
      </c>
      <c r="O336" t="s">
        <v>275</v>
      </c>
      <c r="P336">
        <v>12</v>
      </c>
      <c r="Q33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2C071225</v>
      </c>
      <c r="R336" t="s">
        <v>644</v>
      </c>
      <c r="S33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37" spans="1:20" x14ac:dyDescent="0.25">
      <c r="A337" t="s">
        <v>113</v>
      </c>
      <c r="B337">
        <v>202005</v>
      </c>
      <c r="C337" t="s">
        <v>3</v>
      </c>
      <c r="D337" t="s">
        <v>58</v>
      </c>
      <c r="E337">
        <v>275</v>
      </c>
      <c r="F337">
        <v>0</v>
      </c>
      <c r="G337" s="2">
        <v>1.25</v>
      </c>
      <c r="H337">
        <v>0</v>
      </c>
      <c r="I337">
        <v>1570</v>
      </c>
      <c r="K337" t="s">
        <v>229</v>
      </c>
      <c r="L337">
        <v>7</v>
      </c>
      <c r="M337">
        <v>0</v>
      </c>
      <c r="N337" t="s">
        <v>259</v>
      </c>
      <c r="O337" t="s">
        <v>275</v>
      </c>
      <c r="P337">
        <v>12</v>
      </c>
      <c r="Q33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2C071229</v>
      </c>
      <c r="R337" t="s">
        <v>644</v>
      </c>
      <c r="S33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38" spans="1:20" x14ac:dyDescent="0.25">
      <c r="A338" t="s">
        <v>113</v>
      </c>
      <c r="B338">
        <v>202005</v>
      </c>
      <c r="C338" t="s">
        <v>4</v>
      </c>
      <c r="D338" t="s">
        <v>265</v>
      </c>
      <c r="E338">
        <v>115</v>
      </c>
      <c r="F338">
        <v>0</v>
      </c>
      <c r="G338" s="2">
        <v>3.76</v>
      </c>
      <c r="H338">
        <v>0</v>
      </c>
      <c r="I338">
        <v>1570</v>
      </c>
      <c r="K338" t="s">
        <v>229</v>
      </c>
      <c r="L338">
        <v>7</v>
      </c>
      <c r="M338">
        <v>0</v>
      </c>
      <c r="N338" t="s">
        <v>259</v>
      </c>
      <c r="O338" t="s">
        <v>275</v>
      </c>
      <c r="P338">
        <v>12</v>
      </c>
      <c r="Q33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2C071230</v>
      </c>
      <c r="R338" t="s">
        <v>644</v>
      </c>
      <c r="S33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39" spans="1:20" x14ac:dyDescent="0.25">
      <c r="A339" t="s">
        <v>113</v>
      </c>
      <c r="B339">
        <v>202005</v>
      </c>
      <c r="C339" t="s">
        <v>6</v>
      </c>
      <c r="D339" t="s">
        <v>60</v>
      </c>
      <c r="E339">
        <v>50</v>
      </c>
      <c r="F339">
        <v>0</v>
      </c>
      <c r="G339" s="2">
        <v>17.25</v>
      </c>
      <c r="H339">
        <v>0</v>
      </c>
      <c r="I339">
        <v>1570</v>
      </c>
      <c r="K339" t="s">
        <v>229</v>
      </c>
      <c r="L339">
        <v>7</v>
      </c>
      <c r="M339">
        <v>0</v>
      </c>
      <c r="N339" t="s">
        <v>259</v>
      </c>
      <c r="O339" t="s">
        <v>275</v>
      </c>
      <c r="P339">
        <v>12</v>
      </c>
      <c r="Q33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2C071245</v>
      </c>
      <c r="R339" t="s">
        <v>644</v>
      </c>
      <c r="S33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40" spans="1:20" x14ac:dyDescent="0.25">
      <c r="A340" t="s">
        <v>113</v>
      </c>
      <c r="B340">
        <v>202005</v>
      </c>
      <c r="C340" t="s">
        <v>260</v>
      </c>
      <c r="D340" t="s">
        <v>261</v>
      </c>
      <c r="E340">
        <v>50</v>
      </c>
      <c r="F340">
        <v>0</v>
      </c>
      <c r="G340" s="2">
        <v>8.1199999999999992</v>
      </c>
      <c r="H340">
        <v>0</v>
      </c>
      <c r="I340">
        <v>1570</v>
      </c>
      <c r="K340" t="s">
        <v>229</v>
      </c>
      <c r="L340">
        <v>7</v>
      </c>
      <c r="M340">
        <v>0</v>
      </c>
      <c r="N340" t="s">
        <v>259</v>
      </c>
      <c r="O340" t="s">
        <v>275</v>
      </c>
      <c r="P340">
        <v>12</v>
      </c>
      <c r="Q34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2C071334</v>
      </c>
      <c r="R340" t="s">
        <v>644</v>
      </c>
      <c r="S34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41" spans="1:20" x14ac:dyDescent="0.25">
      <c r="A341" t="s">
        <v>113</v>
      </c>
      <c r="B341">
        <v>202005</v>
      </c>
      <c r="C341" t="s">
        <v>56</v>
      </c>
      <c r="D341" t="s">
        <v>246</v>
      </c>
      <c r="E341" s="1020">
        <v>0</v>
      </c>
      <c r="F341">
        <v>0</v>
      </c>
      <c r="G341" s="2">
        <v>0.31</v>
      </c>
      <c r="H341">
        <v>0</v>
      </c>
      <c r="K341" t="s">
        <v>229</v>
      </c>
      <c r="L341">
        <v>8</v>
      </c>
      <c r="M341">
        <v>0</v>
      </c>
      <c r="O341" t="s">
        <v>275</v>
      </c>
      <c r="P341">
        <v>12</v>
      </c>
      <c r="Q34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2C078999</v>
      </c>
      <c r="R341" t="s">
        <v>644</v>
      </c>
      <c r="S34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342" spans="1:20" x14ac:dyDescent="0.25">
      <c r="A342" t="s">
        <v>552</v>
      </c>
      <c r="B342">
        <v>202005</v>
      </c>
      <c r="C342" t="s">
        <v>141</v>
      </c>
      <c r="D342" t="s">
        <v>262</v>
      </c>
      <c r="E342">
        <v>433.66277000000002</v>
      </c>
      <c r="F342">
        <v>0</v>
      </c>
      <c r="G342" s="2">
        <v>100</v>
      </c>
      <c r="H342">
        <v>0</v>
      </c>
      <c r="I342">
        <v>1570</v>
      </c>
      <c r="K342" t="s">
        <v>229</v>
      </c>
      <c r="L342">
        <v>1</v>
      </c>
      <c r="M342">
        <v>0</v>
      </c>
      <c r="N342" t="s">
        <v>259</v>
      </c>
      <c r="O342" t="s">
        <v>553</v>
      </c>
      <c r="P342">
        <v>12</v>
      </c>
      <c r="Q34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2C081102</v>
      </c>
      <c r="R342" t="s">
        <v>644</v>
      </c>
      <c r="S34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343" spans="1:20" x14ac:dyDescent="0.25">
      <c r="A343" t="s">
        <v>552</v>
      </c>
      <c r="B343">
        <v>202005</v>
      </c>
      <c r="C343" t="s">
        <v>112</v>
      </c>
      <c r="D343" t="s">
        <v>292</v>
      </c>
      <c r="E343" s="1020">
        <v>1056.4609800000001</v>
      </c>
      <c r="F343">
        <v>0</v>
      </c>
      <c r="G343" s="2">
        <v>25.16</v>
      </c>
      <c r="H343">
        <v>0</v>
      </c>
      <c r="I343">
        <v>1570</v>
      </c>
      <c r="K343" t="s">
        <v>229</v>
      </c>
      <c r="L343">
        <v>6</v>
      </c>
      <c r="M343">
        <v>0</v>
      </c>
      <c r="N343" t="s">
        <v>259</v>
      </c>
      <c r="O343" t="s">
        <v>553</v>
      </c>
      <c r="P343">
        <v>12</v>
      </c>
      <c r="Q34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2C081189</v>
      </c>
      <c r="R343" t="s">
        <v>644</v>
      </c>
      <c r="S34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  <c r="T343" t="s">
        <v>617</v>
      </c>
    </row>
    <row r="344" spans="1:20" x14ac:dyDescent="0.25">
      <c r="A344" t="s">
        <v>552</v>
      </c>
      <c r="B344">
        <v>202005</v>
      </c>
      <c r="C344" t="s">
        <v>142</v>
      </c>
      <c r="D344" t="s">
        <v>263</v>
      </c>
      <c r="E344">
        <v>330</v>
      </c>
      <c r="F344">
        <v>0</v>
      </c>
      <c r="G344" s="2">
        <v>7.84</v>
      </c>
      <c r="H344">
        <v>0</v>
      </c>
      <c r="I344">
        <v>1570</v>
      </c>
      <c r="K344" t="s">
        <v>229</v>
      </c>
      <c r="L344">
        <v>7</v>
      </c>
      <c r="M344">
        <v>0</v>
      </c>
      <c r="N344" t="s">
        <v>259</v>
      </c>
      <c r="O344" t="s">
        <v>553</v>
      </c>
      <c r="P344">
        <v>12</v>
      </c>
      <c r="Q34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2C081194</v>
      </c>
      <c r="R344" t="s">
        <v>644</v>
      </c>
      <c r="S34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45" spans="1:20" x14ac:dyDescent="0.25">
      <c r="A345" t="s">
        <v>552</v>
      </c>
      <c r="B345">
        <v>202005</v>
      </c>
      <c r="C345" t="s">
        <v>143</v>
      </c>
      <c r="D345" t="s">
        <v>264</v>
      </c>
      <c r="E345">
        <v>210</v>
      </c>
      <c r="F345">
        <v>0</v>
      </c>
      <c r="G345" s="2">
        <v>6.27</v>
      </c>
      <c r="H345">
        <v>0</v>
      </c>
      <c r="I345">
        <v>1570</v>
      </c>
      <c r="K345" t="s">
        <v>229</v>
      </c>
      <c r="L345">
        <v>7</v>
      </c>
      <c r="M345">
        <v>0</v>
      </c>
      <c r="N345" t="s">
        <v>259</v>
      </c>
      <c r="O345" t="s">
        <v>553</v>
      </c>
      <c r="P345">
        <v>12</v>
      </c>
      <c r="Q34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2C081195</v>
      </c>
      <c r="R345" t="s">
        <v>644</v>
      </c>
      <c r="S34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46" spans="1:20" x14ac:dyDescent="0.25">
      <c r="A346" t="s">
        <v>552</v>
      </c>
      <c r="B346">
        <v>202005</v>
      </c>
      <c r="C346" t="s">
        <v>3</v>
      </c>
      <c r="D346" t="s">
        <v>58</v>
      </c>
      <c r="E346">
        <v>275</v>
      </c>
      <c r="F346">
        <v>0</v>
      </c>
      <c r="G346" s="2">
        <v>3.07</v>
      </c>
      <c r="H346">
        <v>0</v>
      </c>
      <c r="I346">
        <v>1570</v>
      </c>
      <c r="K346" t="s">
        <v>229</v>
      </c>
      <c r="L346">
        <v>7</v>
      </c>
      <c r="M346">
        <v>0</v>
      </c>
      <c r="N346" t="s">
        <v>259</v>
      </c>
      <c r="O346" t="s">
        <v>553</v>
      </c>
      <c r="P346">
        <v>12</v>
      </c>
      <c r="Q34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2C081229</v>
      </c>
      <c r="R346" t="s">
        <v>644</v>
      </c>
      <c r="S34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47" spans="1:20" x14ac:dyDescent="0.25">
      <c r="A347" t="s">
        <v>552</v>
      </c>
      <c r="B347">
        <v>202005</v>
      </c>
      <c r="C347" t="s">
        <v>4</v>
      </c>
      <c r="D347" t="s">
        <v>265</v>
      </c>
      <c r="E347">
        <v>115</v>
      </c>
      <c r="F347">
        <v>0</v>
      </c>
      <c r="G347" s="2">
        <v>30.85</v>
      </c>
      <c r="H347">
        <v>0</v>
      </c>
      <c r="I347">
        <v>1570</v>
      </c>
      <c r="K347" t="s">
        <v>229</v>
      </c>
      <c r="L347">
        <v>7</v>
      </c>
      <c r="M347">
        <v>0</v>
      </c>
      <c r="N347" t="s">
        <v>259</v>
      </c>
      <c r="O347" t="s">
        <v>553</v>
      </c>
      <c r="P347">
        <v>12</v>
      </c>
      <c r="Q34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2C081230</v>
      </c>
      <c r="R347" t="s">
        <v>644</v>
      </c>
      <c r="S34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48" spans="1:20" x14ac:dyDescent="0.25">
      <c r="A348" t="s">
        <v>552</v>
      </c>
      <c r="B348">
        <v>202005</v>
      </c>
      <c r="C348" t="s">
        <v>6</v>
      </c>
      <c r="D348" t="s">
        <v>60</v>
      </c>
      <c r="E348">
        <v>50</v>
      </c>
      <c r="F348">
        <v>0</v>
      </c>
      <c r="G348" s="2">
        <v>20.78</v>
      </c>
      <c r="H348">
        <v>0</v>
      </c>
      <c r="I348">
        <v>1570</v>
      </c>
      <c r="K348" t="s">
        <v>229</v>
      </c>
      <c r="L348">
        <v>7</v>
      </c>
      <c r="M348">
        <v>0</v>
      </c>
      <c r="N348" t="s">
        <v>259</v>
      </c>
      <c r="O348" t="s">
        <v>553</v>
      </c>
      <c r="P348">
        <v>12</v>
      </c>
      <c r="Q34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2C081245</v>
      </c>
      <c r="R348" t="s">
        <v>644</v>
      </c>
      <c r="S34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49" spans="1:20" x14ac:dyDescent="0.25">
      <c r="A349" t="s">
        <v>552</v>
      </c>
      <c r="B349">
        <v>202005</v>
      </c>
      <c r="C349" t="s">
        <v>260</v>
      </c>
      <c r="D349" t="s">
        <v>261</v>
      </c>
      <c r="E349">
        <v>50</v>
      </c>
      <c r="F349">
        <v>0</v>
      </c>
      <c r="G349" s="2">
        <v>6.02</v>
      </c>
      <c r="H349">
        <v>0</v>
      </c>
      <c r="I349">
        <v>1570</v>
      </c>
      <c r="K349" t="s">
        <v>229</v>
      </c>
      <c r="L349">
        <v>7</v>
      </c>
      <c r="M349">
        <v>0</v>
      </c>
      <c r="N349" t="s">
        <v>259</v>
      </c>
      <c r="O349" t="s">
        <v>553</v>
      </c>
      <c r="P349">
        <v>12</v>
      </c>
      <c r="Q34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2C081334</v>
      </c>
      <c r="R349" t="s">
        <v>644</v>
      </c>
      <c r="S34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50" spans="1:20" x14ac:dyDescent="0.25">
      <c r="A350" t="s">
        <v>552</v>
      </c>
      <c r="B350">
        <v>202005</v>
      </c>
      <c r="C350" t="s">
        <v>56</v>
      </c>
      <c r="D350" t="s">
        <v>246</v>
      </c>
      <c r="E350">
        <v>0</v>
      </c>
      <c r="F350">
        <v>0</v>
      </c>
      <c r="G350" s="2">
        <v>0.01</v>
      </c>
      <c r="H350">
        <v>0</v>
      </c>
      <c r="K350" t="s">
        <v>229</v>
      </c>
      <c r="L350">
        <v>8</v>
      </c>
      <c r="M350">
        <v>0</v>
      </c>
      <c r="O350" t="s">
        <v>553</v>
      </c>
      <c r="P350">
        <v>12</v>
      </c>
      <c r="Q35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2C088999</v>
      </c>
      <c r="R350" t="s">
        <v>644</v>
      </c>
      <c r="S35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351" spans="1:20" x14ac:dyDescent="0.25">
      <c r="A351" t="s">
        <v>110</v>
      </c>
      <c r="B351">
        <v>202005</v>
      </c>
      <c r="C351" t="s">
        <v>141</v>
      </c>
      <c r="D351" t="s">
        <v>262</v>
      </c>
      <c r="E351">
        <v>433.66277000000002</v>
      </c>
      <c r="F351">
        <v>0</v>
      </c>
      <c r="G351" s="2">
        <v>100</v>
      </c>
      <c r="H351">
        <v>0</v>
      </c>
      <c r="I351">
        <v>1570</v>
      </c>
      <c r="K351" t="s">
        <v>229</v>
      </c>
      <c r="L351">
        <v>1</v>
      </c>
      <c r="M351">
        <v>0</v>
      </c>
      <c r="N351" t="s">
        <v>259</v>
      </c>
      <c r="O351" t="s">
        <v>277</v>
      </c>
      <c r="P351">
        <v>12</v>
      </c>
      <c r="Q35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2C091102</v>
      </c>
      <c r="R351" t="s">
        <v>644</v>
      </c>
      <c r="S35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352" spans="1:20" x14ac:dyDescent="0.25">
      <c r="A352" t="s">
        <v>110</v>
      </c>
      <c r="B352">
        <v>202005</v>
      </c>
      <c r="C352" t="s">
        <v>114</v>
      </c>
      <c r="D352" t="s">
        <v>276</v>
      </c>
      <c r="E352" s="1020">
        <v>1053.69</v>
      </c>
      <c r="F352">
        <v>0</v>
      </c>
      <c r="G352" s="2">
        <v>33.770000000000003</v>
      </c>
      <c r="H352">
        <v>79.5</v>
      </c>
      <c r="I352">
        <v>1570</v>
      </c>
      <c r="K352" t="s">
        <v>229</v>
      </c>
      <c r="L352">
        <v>6</v>
      </c>
      <c r="M352">
        <v>0</v>
      </c>
      <c r="N352" t="s">
        <v>259</v>
      </c>
      <c r="O352" t="s">
        <v>277</v>
      </c>
      <c r="P352">
        <v>12</v>
      </c>
      <c r="Q35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2C091191</v>
      </c>
      <c r="R352" t="s">
        <v>644</v>
      </c>
      <c r="S35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  <c r="T352" t="s">
        <v>144</v>
      </c>
    </row>
    <row r="353" spans="1:20" x14ac:dyDescent="0.25">
      <c r="A353" t="s">
        <v>110</v>
      </c>
      <c r="B353">
        <v>202005</v>
      </c>
      <c r="C353" t="s">
        <v>144</v>
      </c>
      <c r="D353" t="s">
        <v>211</v>
      </c>
      <c r="E353">
        <v>350</v>
      </c>
      <c r="F353">
        <v>0</v>
      </c>
      <c r="G353" s="2">
        <v>16.18</v>
      </c>
      <c r="H353">
        <v>0</v>
      </c>
      <c r="I353">
        <v>1570</v>
      </c>
      <c r="K353" t="s">
        <v>229</v>
      </c>
      <c r="L353">
        <v>7</v>
      </c>
      <c r="M353">
        <v>0</v>
      </c>
      <c r="N353" t="s">
        <v>259</v>
      </c>
      <c r="O353" t="s">
        <v>277</v>
      </c>
      <c r="P353">
        <v>12</v>
      </c>
      <c r="Q35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2C091225</v>
      </c>
      <c r="R353" t="s">
        <v>644</v>
      </c>
      <c r="S35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54" spans="1:20" x14ac:dyDescent="0.25">
      <c r="A354" t="s">
        <v>110</v>
      </c>
      <c r="B354">
        <v>202005</v>
      </c>
      <c r="C354" t="s">
        <v>142</v>
      </c>
      <c r="D354" t="s">
        <v>263</v>
      </c>
      <c r="E354">
        <v>330</v>
      </c>
      <c r="F354">
        <v>0</v>
      </c>
      <c r="G354" s="2">
        <v>5.38</v>
      </c>
      <c r="H354">
        <v>0</v>
      </c>
      <c r="I354">
        <v>1570</v>
      </c>
      <c r="K354" t="s">
        <v>229</v>
      </c>
      <c r="L354">
        <v>7</v>
      </c>
      <c r="M354">
        <v>0</v>
      </c>
      <c r="N354" t="s">
        <v>259</v>
      </c>
      <c r="O354" t="s">
        <v>277</v>
      </c>
      <c r="P354">
        <v>12</v>
      </c>
      <c r="Q35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2C091194</v>
      </c>
      <c r="R354" t="s">
        <v>644</v>
      </c>
      <c r="S35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55" spans="1:20" x14ac:dyDescent="0.25">
      <c r="A355" t="s">
        <v>110</v>
      </c>
      <c r="B355">
        <v>202005</v>
      </c>
      <c r="C355" t="s">
        <v>3</v>
      </c>
      <c r="D355" t="s">
        <v>58</v>
      </c>
      <c r="E355">
        <v>275</v>
      </c>
      <c r="F355">
        <v>0</v>
      </c>
      <c r="G355" s="2">
        <v>1.02</v>
      </c>
      <c r="H355">
        <v>0</v>
      </c>
      <c r="I355">
        <v>1570</v>
      </c>
      <c r="K355" t="s">
        <v>229</v>
      </c>
      <c r="L355">
        <v>7</v>
      </c>
      <c r="M355">
        <v>0</v>
      </c>
      <c r="N355" t="s">
        <v>259</v>
      </c>
      <c r="O355" t="s">
        <v>277</v>
      </c>
      <c r="P355">
        <v>12</v>
      </c>
      <c r="Q35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2C091229</v>
      </c>
      <c r="R355" t="s">
        <v>644</v>
      </c>
      <c r="S35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56" spans="1:20" x14ac:dyDescent="0.25">
      <c r="A356" t="s">
        <v>110</v>
      </c>
      <c r="B356">
        <v>202005</v>
      </c>
      <c r="C356" t="s">
        <v>4</v>
      </c>
      <c r="D356" t="s">
        <v>265</v>
      </c>
      <c r="E356">
        <v>115</v>
      </c>
      <c r="F356">
        <v>0</v>
      </c>
      <c r="G356" s="2">
        <v>15</v>
      </c>
      <c r="H356">
        <v>0</v>
      </c>
      <c r="I356">
        <v>1570</v>
      </c>
      <c r="K356" t="s">
        <v>229</v>
      </c>
      <c r="L356">
        <v>7</v>
      </c>
      <c r="M356">
        <v>0</v>
      </c>
      <c r="N356" t="s">
        <v>259</v>
      </c>
      <c r="O356" t="s">
        <v>277</v>
      </c>
      <c r="P356">
        <v>12</v>
      </c>
      <c r="Q35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2C091230</v>
      </c>
      <c r="R356" t="s">
        <v>644</v>
      </c>
      <c r="S35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57" spans="1:20" x14ac:dyDescent="0.25">
      <c r="A357" t="s">
        <v>110</v>
      </c>
      <c r="B357">
        <v>202005</v>
      </c>
      <c r="C357" t="s">
        <v>5</v>
      </c>
      <c r="D357" t="s">
        <v>59</v>
      </c>
      <c r="E357">
        <v>8.56</v>
      </c>
      <c r="F357">
        <v>0</v>
      </c>
      <c r="G357" s="2">
        <v>18.079999999999998</v>
      </c>
      <c r="H357">
        <v>0</v>
      </c>
      <c r="I357">
        <v>1570</v>
      </c>
      <c r="K357" t="s">
        <v>229</v>
      </c>
      <c r="L357">
        <v>7</v>
      </c>
      <c r="M357">
        <v>0</v>
      </c>
      <c r="N357" t="s">
        <v>259</v>
      </c>
      <c r="O357" t="s">
        <v>277</v>
      </c>
      <c r="P357">
        <v>12</v>
      </c>
      <c r="Q35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2C091231</v>
      </c>
      <c r="R357" t="s">
        <v>644</v>
      </c>
      <c r="S35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58" spans="1:20" x14ac:dyDescent="0.25">
      <c r="A358" t="s">
        <v>110</v>
      </c>
      <c r="B358">
        <v>202005</v>
      </c>
      <c r="C358" t="s">
        <v>6</v>
      </c>
      <c r="D358" t="s">
        <v>60</v>
      </c>
      <c r="E358">
        <v>50</v>
      </c>
      <c r="F358">
        <v>0</v>
      </c>
      <c r="G358" s="2">
        <v>12.06</v>
      </c>
      <c r="H358">
        <v>0</v>
      </c>
      <c r="I358">
        <v>1570</v>
      </c>
      <c r="K358" t="s">
        <v>229</v>
      </c>
      <c r="L358">
        <v>7</v>
      </c>
      <c r="M358">
        <v>0</v>
      </c>
      <c r="N358" t="s">
        <v>259</v>
      </c>
      <c r="O358" t="s">
        <v>277</v>
      </c>
      <c r="P358">
        <v>12</v>
      </c>
      <c r="Q35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2C091245</v>
      </c>
      <c r="R358" t="s">
        <v>644</v>
      </c>
      <c r="S35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59" spans="1:20" x14ac:dyDescent="0.25">
      <c r="A359" t="s">
        <v>110</v>
      </c>
      <c r="B359">
        <v>202005</v>
      </c>
      <c r="C359" t="s">
        <v>56</v>
      </c>
      <c r="D359" t="s">
        <v>246</v>
      </c>
      <c r="E359">
        <v>0</v>
      </c>
      <c r="F359">
        <v>0</v>
      </c>
      <c r="G359" s="2">
        <v>0.01</v>
      </c>
      <c r="H359">
        <v>0</v>
      </c>
      <c r="K359" t="s">
        <v>229</v>
      </c>
      <c r="L359">
        <v>8</v>
      </c>
      <c r="M359">
        <v>0</v>
      </c>
      <c r="O359" t="s">
        <v>277</v>
      </c>
      <c r="P359">
        <v>12</v>
      </c>
      <c r="Q35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2C098999</v>
      </c>
      <c r="R359" t="s">
        <v>644</v>
      </c>
      <c r="S35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360" spans="1:20" x14ac:dyDescent="0.25">
      <c r="A360" t="s">
        <v>1320</v>
      </c>
      <c r="B360">
        <v>202005</v>
      </c>
      <c r="C360" t="s">
        <v>141</v>
      </c>
      <c r="D360" t="s">
        <v>262</v>
      </c>
      <c r="E360">
        <v>433.66277000000002</v>
      </c>
      <c r="F360">
        <v>0</v>
      </c>
      <c r="G360" s="2">
        <v>100</v>
      </c>
      <c r="H360">
        <v>0</v>
      </c>
      <c r="I360">
        <v>1570</v>
      </c>
      <c r="K360" t="s">
        <v>229</v>
      </c>
      <c r="L360">
        <v>1</v>
      </c>
      <c r="M360">
        <v>0</v>
      </c>
      <c r="N360" t="s">
        <v>259</v>
      </c>
      <c r="O360" t="s">
        <v>1321</v>
      </c>
      <c r="P360">
        <v>12</v>
      </c>
      <c r="Q36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2C101102</v>
      </c>
      <c r="R360" t="s">
        <v>644</v>
      </c>
      <c r="S36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361" spans="1:20" x14ac:dyDescent="0.25">
      <c r="A361" t="s">
        <v>1320</v>
      </c>
      <c r="B361">
        <v>202005</v>
      </c>
      <c r="C361" t="s">
        <v>1322</v>
      </c>
      <c r="D361" t="s">
        <v>1323</v>
      </c>
      <c r="E361">
        <v>662.41</v>
      </c>
      <c r="F361">
        <v>0</v>
      </c>
      <c r="G361" s="2">
        <v>33.7408</v>
      </c>
      <c r="H361">
        <v>0</v>
      </c>
      <c r="K361" t="s">
        <v>229</v>
      </c>
      <c r="L361">
        <v>6</v>
      </c>
      <c r="M361">
        <v>0</v>
      </c>
      <c r="N361" t="s">
        <v>259</v>
      </c>
      <c r="O361" t="s">
        <v>1321</v>
      </c>
      <c r="P361">
        <v>12</v>
      </c>
      <c r="Q36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2C101151</v>
      </c>
      <c r="R361" t="s">
        <v>644</v>
      </c>
      <c r="S36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  <c r="T361" t="s">
        <v>617</v>
      </c>
    </row>
    <row r="362" spans="1:20" x14ac:dyDescent="0.25">
      <c r="A362" t="s">
        <v>1320</v>
      </c>
      <c r="B362">
        <v>202005</v>
      </c>
      <c r="C362" t="s">
        <v>142</v>
      </c>
      <c r="D362" t="s">
        <v>263</v>
      </c>
      <c r="E362">
        <v>330</v>
      </c>
      <c r="F362">
        <v>0</v>
      </c>
      <c r="G362" s="2">
        <v>8.1166999999999998</v>
      </c>
      <c r="H362">
        <v>0</v>
      </c>
      <c r="K362" t="s">
        <v>229</v>
      </c>
      <c r="L362">
        <v>7</v>
      </c>
      <c r="M362">
        <v>0</v>
      </c>
      <c r="N362" t="s">
        <v>259</v>
      </c>
      <c r="O362" t="s">
        <v>1321</v>
      </c>
      <c r="P362">
        <v>12</v>
      </c>
      <c r="Q36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2C101194</v>
      </c>
      <c r="R362" t="s">
        <v>644</v>
      </c>
      <c r="S36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63" spans="1:20" x14ac:dyDescent="0.25">
      <c r="A363" t="s">
        <v>1320</v>
      </c>
      <c r="B363">
        <v>202005</v>
      </c>
      <c r="C363" t="s">
        <v>3</v>
      </c>
      <c r="D363" t="s">
        <v>58</v>
      </c>
      <c r="E363">
        <v>275</v>
      </c>
      <c r="F363">
        <v>0</v>
      </c>
      <c r="G363" s="2">
        <v>1.758</v>
      </c>
      <c r="H363">
        <v>0</v>
      </c>
      <c r="K363" t="s">
        <v>229</v>
      </c>
      <c r="L363">
        <v>7</v>
      </c>
      <c r="M363">
        <v>0</v>
      </c>
      <c r="N363" t="s">
        <v>259</v>
      </c>
      <c r="O363" t="s">
        <v>1321</v>
      </c>
      <c r="P363">
        <v>12</v>
      </c>
      <c r="Q36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2C101229</v>
      </c>
      <c r="R363" t="s">
        <v>644</v>
      </c>
      <c r="S36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64" spans="1:20" x14ac:dyDescent="0.25">
      <c r="A364" t="s">
        <v>1320</v>
      </c>
      <c r="B364">
        <v>202005</v>
      </c>
      <c r="C364" t="s">
        <v>4</v>
      </c>
      <c r="D364" t="s">
        <v>265</v>
      </c>
      <c r="E364">
        <v>115</v>
      </c>
      <c r="F364">
        <v>0</v>
      </c>
      <c r="G364" s="2">
        <v>27.280200000000001</v>
      </c>
      <c r="H364">
        <v>0</v>
      </c>
      <c r="K364" t="s">
        <v>229</v>
      </c>
      <c r="L364">
        <v>7</v>
      </c>
      <c r="M364">
        <v>0</v>
      </c>
      <c r="N364" t="s">
        <v>259</v>
      </c>
      <c r="O364" t="s">
        <v>1321</v>
      </c>
      <c r="P364">
        <v>12</v>
      </c>
      <c r="Q36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2C101230</v>
      </c>
      <c r="R364" t="s">
        <v>644</v>
      </c>
      <c r="S36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65" spans="1:20" x14ac:dyDescent="0.25">
      <c r="A365" t="s">
        <v>1320</v>
      </c>
      <c r="B365">
        <v>202005</v>
      </c>
      <c r="C365" t="s">
        <v>5</v>
      </c>
      <c r="D365" t="s">
        <v>59</v>
      </c>
      <c r="E365">
        <v>8.56</v>
      </c>
      <c r="F365">
        <v>0</v>
      </c>
      <c r="G365" s="2">
        <v>11.5991</v>
      </c>
      <c r="H365">
        <v>0</v>
      </c>
      <c r="K365" t="s">
        <v>229</v>
      </c>
      <c r="L365">
        <v>7</v>
      </c>
      <c r="M365">
        <v>0</v>
      </c>
      <c r="N365" t="s">
        <v>259</v>
      </c>
      <c r="O365" t="s">
        <v>1321</v>
      </c>
      <c r="P365">
        <v>12</v>
      </c>
      <c r="Q36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2C101231</v>
      </c>
      <c r="R365" t="s">
        <v>644</v>
      </c>
      <c r="S36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66" spans="1:20" x14ac:dyDescent="0.25">
      <c r="A366" t="s">
        <v>1320</v>
      </c>
      <c r="B366">
        <v>202005</v>
      </c>
      <c r="C366" t="s">
        <v>6</v>
      </c>
      <c r="D366" t="s">
        <v>60</v>
      </c>
      <c r="E366">
        <v>50</v>
      </c>
      <c r="F366">
        <v>0</v>
      </c>
      <c r="G366" s="2">
        <v>15.784599999999999</v>
      </c>
      <c r="H366">
        <v>0</v>
      </c>
      <c r="I366">
        <v>1570</v>
      </c>
      <c r="K366" t="s">
        <v>229</v>
      </c>
      <c r="L366">
        <v>7</v>
      </c>
      <c r="M366">
        <v>0</v>
      </c>
      <c r="N366" t="s">
        <v>259</v>
      </c>
      <c r="O366" t="s">
        <v>1321</v>
      </c>
      <c r="P366">
        <v>12</v>
      </c>
      <c r="Q36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2C101245</v>
      </c>
      <c r="R366" t="s">
        <v>644</v>
      </c>
      <c r="S36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67" spans="1:20" x14ac:dyDescent="0.25">
      <c r="A367" t="s">
        <v>1320</v>
      </c>
      <c r="B367">
        <v>202005</v>
      </c>
      <c r="C367" t="s">
        <v>56</v>
      </c>
      <c r="D367" t="s">
        <v>246</v>
      </c>
      <c r="E367">
        <v>0</v>
      </c>
      <c r="F367">
        <v>0</v>
      </c>
      <c r="G367" s="2">
        <v>1.7205999999999999</v>
      </c>
      <c r="H367">
        <v>0</v>
      </c>
      <c r="K367" t="s">
        <v>229</v>
      </c>
      <c r="L367">
        <v>8</v>
      </c>
      <c r="M367">
        <v>0</v>
      </c>
      <c r="O367" t="s">
        <v>1321</v>
      </c>
      <c r="P367">
        <v>12</v>
      </c>
      <c r="Q36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2C108999</v>
      </c>
      <c r="R367" t="s">
        <v>644</v>
      </c>
      <c r="S36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368" spans="1:20" x14ac:dyDescent="0.25">
      <c r="A368" t="s">
        <v>1168</v>
      </c>
      <c r="B368">
        <v>202005</v>
      </c>
      <c r="C368" t="s">
        <v>141</v>
      </c>
      <c r="D368" t="s">
        <v>262</v>
      </c>
      <c r="E368">
        <v>433.66277000000002</v>
      </c>
      <c r="F368">
        <v>0</v>
      </c>
      <c r="G368" s="2">
        <v>100</v>
      </c>
      <c r="H368">
        <v>0</v>
      </c>
      <c r="I368">
        <v>1570</v>
      </c>
      <c r="K368" t="s">
        <v>229</v>
      </c>
      <c r="L368">
        <v>1</v>
      </c>
      <c r="M368">
        <v>0</v>
      </c>
      <c r="N368" t="s">
        <v>259</v>
      </c>
      <c r="O368" t="s">
        <v>1324</v>
      </c>
      <c r="P368">
        <v>12</v>
      </c>
      <c r="Q36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2C111102</v>
      </c>
      <c r="R368" t="s">
        <v>644</v>
      </c>
      <c r="S36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369" spans="1:20" x14ac:dyDescent="0.25">
      <c r="A369" t="s">
        <v>1168</v>
      </c>
      <c r="B369">
        <v>202005</v>
      </c>
      <c r="C369" t="s">
        <v>129</v>
      </c>
      <c r="D369" t="s">
        <v>267</v>
      </c>
      <c r="E369">
        <v>830.39238</v>
      </c>
      <c r="F369">
        <v>0</v>
      </c>
      <c r="G369" s="2">
        <v>33.200000000000003</v>
      </c>
      <c r="H369">
        <v>0</v>
      </c>
      <c r="I369">
        <v>1570</v>
      </c>
      <c r="K369" t="s">
        <v>229</v>
      </c>
      <c r="L369">
        <v>6</v>
      </c>
      <c r="M369">
        <v>0</v>
      </c>
      <c r="N369" t="s">
        <v>259</v>
      </c>
      <c r="O369" t="s">
        <v>1324</v>
      </c>
      <c r="P369">
        <v>12</v>
      </c>
      <c r="Q36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2C111198</v>
      </c>
      <c r="R369" t="s">
        <v>644</v>
      </c>
      <c r="S36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  <c r="T369" t="s">
        <v>151</v>
      </c>
    </row>
    <row r="370" spans="1:20" x14ac:dyDescent="0.25">
      <c r="A370" t="s">
        <v>1168</v>
      </c>
      <c r="B370">
        <v>202005</v>
      </c>
      <c r="C370" t="s">
        <v>143</v>
      </c>
      <c r="D370" t="s">
        <v>264</v>
      </c>
      <c r="E370">
        <v>210</v>
      </c>
      <c r="F370">
        <v>0</v>
      </c>
      <c r="G370" s="2">
        <v>6.46</v>
      </c>
      <c r="H370">
        <v>0</v>
      </c>
      <c r="I370">
        <v>1570</v>
      </c>
      <c r="K370" t="s">
        <v>229</v>
      </c>
      <c r="L370">
        <v>7</v>
      </c>
      <c r="M370">
        <v>0</v>
      </c>
      <c r="N370" t="s">
        <v>259</v>
      </c>
      <c r="O370" t="s">
        <v>1324</v>
      </c>
      <c r="P370">
        <v>12</v>
      </c>
      <c r="Q37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2C111195</v>
      </c>
      <c r="R370" t="s">
        <v>644</v>
      </c>
      <c r="S37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71" spans="1:20" x14ac:dyDescent="0.25">
      <c r="A371" t="s">
        <v>1168</v>
      </c>
      <c r="B371">
        <v>202005</v>
      </c>
      <c r="C371" t="s">
        <v>142</v>
      </c>
      <c r="D371" t="s">
        <v>263</v>
      </c>
      <c r="E371">
        <v>330</v>
      </c>
      <c r="F371">
        <v>0</v>
      </c>
      <c r="G371" s="2">
        <v>9.98</v>
      </c>
      <c r="H371">
        <v>0</v>
      </c>
      <c r="I371">
        <v>1570</v>
      </c>
      <c r="K371" t="s">
        <v>229</v>
      </c>
      <c r="L371">
        <v>7</v>
      </c>
      <c r="M371">
        <v>0</v>
      </c>
      <c r="N371" t="s">
        <v>259</v>
      </c>
      <c r="O371" t="s">
        <v>1324</v>
      </c>
      <c r="P371">
        <v>12</v>
      </c>
      <c r="Q37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2C111194</v>
      </c>
      <c r="R371" t="s">
        <v>644</v>
      </c>
      <c r="S37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72" spans="1:20" x14ac:dyDescent="0.25">
      <c r="A372" t="s">
        <v>1168</v>
      </c>
      <c r="B372">
        <v>202005</v>
      </c>
      <c r="C372" t="s">
        <v>151</v>
      </c>
      <c r="D372" t="s">
        <v>209</v>
      </c>
      <c r="E372">
        <v>350</v>
      </c>
      <c r="F372">
        <v>0</v>
      </c>
      <c r="G372" s="2">
        <v>25.2</v>
      </c>
      <c r="H372">
        <v>0</v>
      </c>
      <c r="I372">
        <v>1570</v>
      </c>
      <c r="K372" t="s">
        <v>229</v>
      </c>
      <c r="L372">
        <v>7</v>
      </c>
      <c r="M372">
        <v>0</v>
      </c>
      <c r="N372" t="s">
        <v>259</v>
      </c>
      <c r="O372" t="s">
        <v>1324</v>
      </c>
      <c r="P372">
        <v>12</v>
      </c>
      <c r="Q37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2C111224</v>
      </c>
      <c r="R372" t="s">
        <v>644</v>
      </c>
      <c r="S37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73" spans="1:20" x14ac:dyDescent="0.25">
      <c r="A373" t="s">
        <v>1168</v>
      </c>
      <c r="B373">
        <v>202005</v>
      </c>
      <c r="C373" t="s">
        <v>3</v>
      </c>
      <c r="D373" t="s">
        <v>58</v>
      </c>
      <c r="E373">
        <v>275</v>
      </c>
      <c r="F373">
        <v>0</v>
      </c>
      <c r="G373" s="2">
        <v>3.04</v>
      </c>
      <c r="H373">
        <v>0</v>
      </c>
      <c r="I373">
        <v>1570</v>
      </c>
      <c r="K373" t="s">
        <v>229</v>
      </c>
      <c r="L373">
        <v>7</v>
      </c>
      <c r="M373">
        <v>0</v>
      </c>
      <c r="N373" t="s">
        <v>259</v>
      </c>
      <c r="O373" t="s">
        <v>1324</v>
      </c>
      <c r="P373">
        <v>12</v>
      </c>
      <c r="Q37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2C111229</v>
      </c>
      <c r="R373" t="s">
        <v>644</v>
      </c>
      <c r="S37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74" spans="1:20" x14ac:dyDescent="0.25">
      <c r="A374" t="s">
        <v>1168</v>
      </c>
      <c r="B374">
        <v>202005</v>
      </c>
      <c r="C374" t="s">
        <v>4</v>
      </c>
      <c r="D374" t="s">
        <v>265</v>
      </c>
      <c r="E374">
        <v>115</v>
      </c>
      <c r="F374">
        <v>0</v>
      </c>
      <c r="G374" s="2">
        <v>5.95</v>
      </c>
      <c r="H374">
        <v>0</v>
      </c>
      <c r="I374">
        <v>1570</v>
      </c>
      <c r="K374" t="s">
        <v>229</v>
      </c>
      <c r="L374">
        <v>7</v>
      </c>
      <c r="M374">
        <v>0</v>
      </c>
      <c r="N374" t="s">
        <v>259</v>
      </c>
      <c r="O374" t="s">
        <v>1324</v>
      </c>
      <c r="P374">
        <v>12</v>
      </c>
      <c r="Q37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2C111230</v>
      </c>
      <c r="R374" t="s">
        <v>644</v>
      </c>
      <c r="S37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75" spans="1:20" x14ac:dyDescent="0.25">
      <c r="A375" t="s">
        <v>1168</v>
      </c>
      <c r="B375">
        <v>202005</v>
      </c>
      <c r="C375" t="s">
        <v>6</v>
      </c>
      <c r="D375" t="s">
        <v>60</v>
      </c>
      <c r="E375">
        <v>50</v>
      </c>
      <c r="F375">
        <v>0</v>
      </c>
      <c r="G375" s="2">
        <v>8.89</v>
      </c>
      <c r="H375">
        <v>0</v>
      </c>
      <c r="I375">
        <v>1570</v>
      </c>
      <c r="K375" t="s">
        <v>229</v>
      </c>
      <c r="L375">
        <v>7</v>
      </c>
      <c r="M375">
        <v>0</v>
      </c>
      <c r="N375" t="s">
        <v>259</v>
      </c>
      <c r="O375" t="s">
        <v>1324</v>
      </c>
      <c r="P375">
        <v>12</v>
      </c>
      <c r="Q37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2C111245</v>
      </c>
      <c r="R375" t="s">
        <v>644</v>
      </c>
      <c r="S37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76" spans="1:20" x14ac:dyDescent="0.25">
      <c r="A376" t="s">
        <v>1168</v>
      </c>
      <c r="B376">
        <v>202005</v>
      </c>
      <c r="C376" t="s">
        <v>260</v>
      </c>
      <c r="D376" t="s">
        <v>261</v>
      </c>
      <c r="E376">
        <v>50</v>
      </c>
      <c r="F376">
        <v>0</v>
      </c>
      <c r="G376" s="2">
        <v>7.25</v>
      </c>
      <c r="H376">
        <v>0</v>
      </c>
      <c r="I376">
        <v>1570</v>
      </c>
      <c r="K376" t="s">
        <v>229</v>
      </c>
      <c r="L376">
        <v>7</v>
      </c>
      <c r="M376">
        <v>0</v>
      </c>
      <c r="N376" t="s">
        <v>259</v>
      </c>
      <c r="O376" t="s">
        <v>1324</v>
      </c>
      <c r="P376">
        <v>12</v>
      </c>
      <c r="Q37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2C111334</v>
      </c>
      <c r="R376" t="s">
        <v>644</v>
      </c>
      <c r="S37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77" spans="1:20" x14ac:dyDescent="0.25">
      <c r="A377" t="s">
        <v>1168</v>
      </c>
      <c r="B377">
        <v>202005</v>
      </c>
      <c r="C377" t="s">
        <v>56</v>
      </c>
      <c r="D377" t="s">
        <v>246</v>
      </c>
      <c r="E377">
        <v>0</v>
      </c>
      <c r="F377">
        <v>0</v>
      </c>
      <c r="G377" s="2">
        <v>0.03</v>
      </c>
      <c r="H377">
        <v>0</v>
      </c>
      <c r="K377" t="s">
        <v>229</v>
      </c>
      <c r="L377">
        <v>8</v>
      </c>
      <c r="M377">
        <v>0</v>
      </c>
      <c r="O377" t="s">
        <v>1324</v>
      </c>
      <c r="P377">
        <v>12</v>
      </c>
      <c r="Q37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2C118999</v>
      </c>
      <c r="R377" t="s">
        <v>644</v>
      </c>
      <c r="S37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378" spans="1:20" x14ac:dyDescent="0.25">
      <c r="A378" t="s">
        <v>125</v>
      </c>
      <c r="B378">
        <v>202005</v>
      </c>
      <c r="C378" t="s">
        <v>141</v>
      </c>
      <c r="D378" t="s">
        <v>262</v>
      </c>
      <c r="E378">
        <v>433.66277000000002</v>
      </c>
      <c r="F378">
        <v>0</v>
      </c>
      <c r="G378" s="2">
        <v>100</v>
      </c>
      <c r="H378">
        <v>0</v>
      </c>
      <c r="I378">
        <v>1570</v>
      </c>
      <c r="K378" t="s">
        <v>229</v>
      </c>
      <c r="L378">
        <v>1</v>
      </c>
      <c r="M378">
        <v>0</v>
      </c>
      <c r="N378" t="s">
        <v>259</v>
      </c>
      <c r="O378" t="s">
        <v>278</v>
      </c>
      <c r="P378">
        <v>12</v>
      </c>
      <c r="Q37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2C121102</v>
      </c>
      <c r="R378" t="s">
        <v>644</v>
      </c>
      <c r="S37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379" spans="1:20" x14ac:dyDescent="0.25">
      <c r="A379" t="s">
        <v>125</v>
      </c>
      <c r="B379">
        <v>202005</v>
      </c>
      <c r="C379" t="s">
        <v>124</v>
      </c>
      <c r="D379" t="s">
        <v>272</v>
      </c>
      <c r="E379">
        <v>806.2</v>
      </c>
      <c r="F379">
        <v>0</v>
      </c>
      <c r="G379" s="2">
        <v>36.6</v>
      </c>
      <c r="H379">
        <v>0</v>
      </c>
      <c r="I379">
        <v>1570</v>
      </c>
      <c r="K379" t="s">
        <v>229</v>
      </c>
      <c r="L379">
        <v>6</v>
      </c>
      <c r="M379">
        <v>0</v>
      </c>
      <c r="N379" t="s">
        <v>259</v>
      </c>
      <c r="O379" t="s">
        <v>278</v>
      </c>
      <c r="P379">
        <v>12</v>
      </c>
      <c r="Q37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2C121197</v>
      </c>
      <c r="R379" t="s">
        <v>644</v>
      </c>
      <c r="S37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  <c r="T379" t="s">
        <v>147</v>
      </c>
    </row>
    <row r="380" spans="1:20" x14ac:dyDescent="0.25">
      <c r="A380" t="s">
        <v>125</v>
      </c>
      <c r="B380">
        <v>202005</v>
      </c>
      <c r="C380" t="s">
        <v>142</v>
      </c>
      <c r="D380" t="s">
        <v>263</v>
      </c>
      <c r="E380">
        <v>330</v>
      </c>
      <c r="F380">
        <v>0</v>
      </c>
      <c r="G380" s="2">
        <v>9.6</v>
      </c>
      <c r="H380">
        <v>0</v>
      </c>
      <c r="I380">
        <v>1570</v>
      </c>
      <c r="K380" t="s">
        <v>229</v>
      </c>
      <c r="L380">
        <v>7</v>
      </c>
      <c r="M380">
        <v>0</v>
      </c>
      <c r="N380" t="s">
        <v>259</v>
      </c>
      <c r="O380" t="s">
        <v>278</v>
      </c>
      <c r="P380">
        <v>12</v>
      </c>
      <c r="Q38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2C121194</v>
      </c>
      <c r="R380" t="s">
        <v>644</v>
      </c>
      <c r="S38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81" spans="1:20" x14ac:dyDescent="0.25">
      <c r="A381" t="s">
        <v>125</v>
      </c>
      <c r="B381">
        <v>202005</v>
      </c>
      <c r="C381" t="s">
        <v>147</v>
      </c>
      <c r="D381" t="s">
        <v>207</v>
      </c>
      <c r="E381">
        <v>323.2</v>
      </c>
      <c r="F381">
        <v>0</v>
      </c>
      <c r="G381" s="2">
        <v>32.31</v>
      </c>
      <c r="H381">
        <v>0</v>
      </c>
      <c r="I381">
        <v>1570</v>
      </c>
      <c r="K381" t="s">
        <v>229</v>
      </c>
      <c r="L381">
        <v>7</v>
      </c>
      <c r="M381">
        <v>0</v>
      </c>
      <c r="N381" t="s">
        <v>259</v>
      </c>
      <c r="O381" t="s">
        <v>278</v>
      </c>
      <c r="P381">
        <v>12</v>
      </c>
      <c r="Q38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2C121222</v>
      </c>
      <c r="R381" t="s">
        <v>644</v>
      </c>
      <c r="S38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82" spans="1:20" x14ac:dyDescent="0.25">
      <c r="A382" t="s">
        <v>125</v>
      </c>
      <c r="B382">
        <v>202005</v>
      </c>
      <c r="C382" t="s">
        <v>3</v>
      </c>
      <c r="D382" t="s">
        <v>58</v>
      </c>
      <c r="E382">
        <v>275</v>
      </c>
      <c r="F382">
        <v>0</v>
      </c>
      <c r="G382" s="2">
        <v>1.41</v>
      </c>
      <c r="H382">
        <v>0</v>
      </c>
      <c r="I382">
        <v>1570</v>
      </c>
      <c r="K382" t="s">
        <v>229</v>
      </c>
      <c r="L382">
        <v>7</v>
      </c>
      <c r="M382">
        <v>0</v>
      </c>
      <c r="N382" t="s">
        <v>259</v>
      </c>
      <c r="O382" t="s">
        <v>278</v>
      </c>
      <c r="P382">
        <v>12</v>
      </c>
      <c r="Q38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2C121229</v>
      </c>
      <c r="R382" t="s">
        <v>644</v>
      </c>
      <c r="S38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83" spans="1:20" x14ac:dyDescent="0.25">
      <c r="A383" t="s">
        <v>125</v>
      </c>
      <c r="B383">
        <v>202005</v>
      </c>
      <c r="C383" t="s">
        <v>4</v>
      </c>
      <c r="D383" t="s">
        <v>265</v>
      </c>
      <c r="E383">
        <v>115</v>
      </c>
      <c r="F383">
        <v>0</v>
      </c>
      <c r="G383" s="2">
        <v>5.99</v>
      </c>
      <c r="H383">
        <v>0</v>
      </c>
      <c r="I383">
        <v>1570</v>
      </c>
      <c r="K383" t="s">
        <v>229</v>
      </c>
      <c r="L383">
        <v>7</v>
      </c>
      <c r="M383">
        <v>0</v>
      </c>
      <c r="N383" t="s">
        <v>259</v>
      </c>
      <c r="O383" t="s">
        <v>278</v>
      </c>
      <c r="P383">
        <v>12</v>
      </c>
      <c r="Q38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2C121230</v>
      </c>
      <c r="R383" t="s">
        <v>644</v>
      </c>
      <c r="S38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84" spans="1:20" x14ac:dyDescent="0.25">
      <c r="A384" t="s">
        <v>125</v>
      </c>
      <c r="B384">
        <v>202005</v>
      </c>
      <c r="C384" t="s">
        <v>6</v>
      </c>
      <c r="D384" t="s">
        <v>60</v>
      </c>
      <c r="E384">
        <v>50</v>
      </c>
      <c r="F384">
        <v>0</v>
      </c>
      <c r="G384" s="2">
        <v>6.97</v>
      </c>
      <c r="H384">
        <v>0</v>
      </c>
      <c r="I384">
        <v>1570</v>
      </c>
      <c r="K384" t="s">
        <v>229</v>
      </c>
      <c r="L384">
        <v>7</v>
      </c>
      <c r="M384">
        <v>0</v>
      </c>
      <c r="N384" t="s">
        <v>259</v>
      </c>
      <c r="O384" t="s">
        <v>278</v>
      </c>
      <c r="P384">
        <v>12</v>
      </c>
      <c r="Q38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2C121245</v>
      </c>
      <c r="R384" t="s">
        <v>644</v>
      </c>
      <c r="S38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85" spans="1:20" x14ac:dyDescent="0.25">
      <c r="A385" t="s">
        <v>125</v>
      </c>
      <c r="B385">
        <v>202005</v>
      </c>
      <c r="C385" t="s">
        <v>260</v>
      </c>
      <c r="D385" t="s">
        <v>261</v>
      </c>
      <c r="E385">
        <v>50</v>
      </c>
      <c r="F385">
        <v>0</v>
      </c>
      <c r="G385" s="2">
        <v>6.87</v>
      </c>
      <c r="H385">
        <v>0</v>
      </c>
      <c r="I385">
        <v>1570</v>
      </c>
      <c r="K385" t="s">
        <v>229</v>
      </c>
      <c r="L385">
        <v>7</v>
      </c>
      <c r="M385">
        <v>0</v>
      </c>
      <c r="N385" t="s">
        <v>259</v>
      </c>
      <c r="O385" t="s">
        <v>278</v>
      </c>
      <c r="P385">
        <v>12</v>
      </c>
      <c r="Q38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2C121334</v>
      </c>
      <c r="R385" t="s">
        <v>644</v>
      </c>
      <c r="S38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86" spans="1:20" x14ac:dyDescent="0.25">
      <c r="A386" t="s">
        <v>125</v>
      </c>
      <c r="B386">
        <v>202005</v>
      </c>
      <c r="C386" t="s">
        <v>56</v>
      </c>
      <c r="D386" t="s">
        <v>246</v>
      </c>
      <c r="E386">
        <v>0</v>
      </c>
      <c r="F386">
        <v>0</v>
      </c>
      <c r="G386" s="2">
        <v>0.24</v>
      </c>
      <c r="H386">
        <v>0</v>
      </c>
      <c r="K386" t="s">
        <v>229</v>
      </c>
      <c r="L386">
        <v>8</v>
      </c>
      <c r="M386">
        <v>0</v>
      </c>
      <c r="O386" t="s">
        <v>278</v>
      </c>
      <c r="P386">
        <v>12</v>
      </c>
      <c r="Q38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2C128999</v>
      </c>
      <c r="R386" t="s">
        <v>644</v>
      </c>
      <c r="S38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387" spans="1:20" x14ac:dyDescent="0.25">
      <c r="A387" t="s">
        <v>126</v>
      </c>
      <c r="B387">
        <v>202005</v>
      </c>
      <c r="C387" t="s">
        <v>141</v>
      </c>
      <c r="D387" t="s">
        <v>262</v>
      </c>
      <c r="E387">
        <v>433.66277000000002</v>
      </c>
      <c r="F387">
        <v>0</v>
      </c>
      <c r="G387" s="2">
        <v>100</v>
      </c>
      <c r="H387">
        <v>0</v>
      </c>
      <c r="I387">
        <v>1570</v>
      </c>
      <c r="K387" t="s">
        <v>229</v>
      </c>
      <c r="L387">
        <v>1</v>
      </c>
      <c r="M387">
        <v>0</v>
      </c>
      <c r="N387" t="s">
        <v>259</v>
      </c>
      <c r="O387" t="s">
        <v>279</v>
      </c>
      <c r="P387">
        <v>12</v>
      </c>
      <c r="Q38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2C131102</v>
      </c>
      <c r="R387" t="s">
        <v>644</v>
      </c>
      <c r="S38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388" spans="1:20" x14ac:dyDescent="0.25">
      <c r="A388" t="s">
        <v>126</v>
      </c>
      <c r="B388">
        <v>202005</v>
      </c>
      <c r="C388" t="s">
        <v>124</v>
      </c>
      <c r="D388" t="s">
        <v>272</v>
      </c>
      <c r="E388">
        <v>806.2</v>
      </c>
      <c r="F388">
        <v>0</v>
      </c>
      <c r="G388" s="2">
        <v>36.6</v>
      </c>
      <c r="H388">
        <v>100</v>
      </c>
      <c r="I388">
        <v>1570</v>
      </c>
      <c r="K388" t="s">
        <v>229</v>
      </c>
      <c r="L388">
        <v>6</v>
      </c>
      <c r="M388">
        <v>0</v>
      </c>
      <c r="N388" t="s">
        <v>259</v>
      </c>
      <c r="O388" t="s">
        <v>279</v>
      </c>
      <c r="P388">
        <v>12</v>
      </c>
      <c r="Q38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2C131197</v>
      </c>
      <c r="R388" t="s">
        <v>644</v>
      </c>
      <c r="S38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  <c r="T388" t="s">
        <v>149</v>
      </c>
    </row>
    <row r="389" spans="1:20" x14ac:dyDescent="0.25">
      <c r="A389" t="s">
        <v>126</v>
      </c>
      <c r="B389">
        <v>202005</v>
      </c>
      <c r="C389" t="s">
        <v>260</v>
      </c>
      <c r="D389" t="s">
        <v>261</v>
      </c>
      <c r="E389">
        <v>50</v>
      </c>
      <c r="F389">
        <v>0</v>
      </c>
      <c r="G389" s="2">
        <v>3.07</v>
      </c>
      <c r="H389">
        <v>0</v>
      </c>
      <c r="I389">
        <v>1570</v>
      </c>
      <c r="K389" t="s">
        <v>229</v>
      </c>
      <c r="L389">
        <v>7</v>
      </c>
      <c r="M389">
        <v>0</v>
      </c>
      <c r="N389" t="s">
        <v>259</v>
      </c>
      <c r="O389" t="s">
        <v>279</v>
      </c>
      <c r="P389">
        <v>12</v>
      </c>
      <c r="Q38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2C131334</v>
      </c>
      <c r="R389" t="s">
        <v>644</v>
      </c>
      <c r="S38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90" spans="1:20" x14ac:dyDescent="0.25">
      <c r="A390" t="s">
        <v>126</v>
      </c>
      <c r="B390">
        <v>202005</v>
      </c>
      <c r="C390" t="s">
        <v>149</v>
      </c>
      <c r="D390" t="s">
        <v>206</v>
      </c>
      <c r="E390">
        <v>323.2</v>
      </c>
      <c r="F390">
        <v>0</v>
      </c>
      <c r="G390" s="2">
        <v>41.96</v>
      </c>
      <c r="H390">
        <v>0</v>
      </c>
      <c r="I390">
        <v>1570</v>
      </c>
      <c r="K390" t="s">
        <v>229</v>
      </c>
      <c r="L390">
        <v>7</v>
      </c>
      <c r="M390">
        <v>0</v>
      </c>
      <c r="N390" t="s">
        <v>259</v>
      </c>
      <c r="O390" t="s">
        <v>279</v>
      </c>
      <c r="P390">
        <v>12</v>
      </c>
      <c r="Q39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2C131221</v>
      </c>
      <c r="R390" t="s">
        <v>644</v>
      </c>
      <c r="S39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91" spans="1:20" x14ac:dyDescent="0.25">
      <c r="A391" t="s">
        <v>126</v>
      </c>
      <c r="B391">
        <v>202005</v>
      </c>
      <c r="C391" t="s">
        <v>3</v>
      </c>
      <c r="D391" t="s">
        <v>58</v>
      </c>
      <c r="E391">
        <v>275</v>
      </c>
      <c r="F391">
        <v>0</v>
      </c>
      <c r="G391" s="2">
        <v>1.41</v>
      </c>
      <c r="H391">
        <v>0</v>
      </c>
      <c r="I391">
        <v>1570</v>
      </c>
      <c r="K391" t="s">
        <v>229</v>
      </c>
      <c r="L391">
        <v>7</v>
      </c>
      <c r="M391">
        <v>0</v>
      </c>
      <c r="N391" t="s">
        <v>259</v>
      </c>
      <c r="O391" t="s">
        <v>279</v>
      </c>
      <c r="P391">
        <v>12</v>
      </c>
      <c r="Q39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2C131229</v>
      </c>
      <c r="R391" t="s">
        <v>644</v>
      </c>
      <c r="S39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92" spans="1:20" x14ac:dyDescent="0.25">
      <c r="A392" t="s">
        <v>126</v>
      </c>
      <c r="B392">
        <v>202005</v>
      </c>
      <c r="C392" t="s">
        <v>4</v>
      </c>
      <c r="D392" t="s">
        <v>265</v>
      </c>
      <c r="E392">
        <v>115</v>
      </c>
      <c r="F392">
        <v>0</v>
      </c>
      <c r="G392" s="2">
        <v>5.99</v>
      </c>
      <c r="H392">
        <v>0</v>
      </c>
      <c r="I392">
        <v>1570</v>
      </c>
      <c r="K392" t="s">
        <v>229</v>
      </c>
      <c r="L392">
        <v>7</v>
      </c>
      <c r="M392">
        <v>0</v>
      </c>
      <c r="N392" t="s">
        <v>259</v>
      </c>
      <c r="O392" t="s">
        <v>279</v>
      </c>
      <c r="P392">
        <v>12</v>
      </c>
      <c r="Q39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2C131230</v>
      </c>
      <c r="R392" t="s">
        <v>644</v>
      </c>
      <c r="S39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93" spans="1:20" x14ac:dyDescent="0.25">
      <c r="A393" t="s">
        <v>126</v>
      </c>
      <c r="B393">
        <v>202005</v>
      </c>
      <c r="C393" t="s">
        <v>5</v>
      </c>
      <c r="D393" t="s">
        <v>59</v>
      </c>
      <c r="E393">
        <v>8.56</v>
      </c>
      <c r="F393">
        <v>0</v>
      </c>
      <c r="G393" s="2">
        <v>3.8</v>
      </c>
      <c r="H393">
        <v>0</v>
      </c>
      <c r="I393">
        <v>1570</v>
      </c>
      <c r="K393" t="s">
        <v>229</v>
      </c>
      <c r="L393">
        <v>7</v>
      </c>
      <c r="M393">
        <v>0</v>
      </c>
      <c r="N393" t="s">
        <v>259</v>
      </c>
      <c r="O393" t="s">
        <v>279</v>
      </c>
      <c r="P393">
        <v>12</v>
      </c>
      <c r="Q39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2C131231</v>
      </c>
      <c r="R393" t="s">
        <v>644</v>
      </c>
      <c r="S39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94" spans="1:20" x14ac:dyDescent="0.25">
      <c r="A394" t="s">
        <v>126</v>
      </c>
      <c r="B394">
        <v>202005</v>
      </c>
      <c r="C394" t="s">
        <v>6</v>
      </c>
      <c r="D394" t="s">
        <v>60</v>
      </c>
      <c r="E394">
        <v>50</v>
      </c>
      <c r="F394">
        <v>0</v>
      </c>
      <c r="G394" s="2">
        <v>6.97</v>
      </c>
      <c r="H394">
        <v>0</v>
      </c>
      <c r="I394">
        <v>1570</v>
      </c>
      <c r="K394" t="s">
        <v>229</v>
      </c>
      <c r="L394">
        <v>7</v>
      </c>
      <c r="M394">
        <v>0</v>
      </c>
      <c r="N394" t="s">
        <v>259</v>
      </c>
      <c r="O394" t="s">
        <v>279</v>
      </c>
      <c r="P394">
        <v>12</v>
      </c>
      <c r="Q39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2C131245</v>
      </c>
      <c r="R394" t="s">
        <v>644</v>
      </c>
      <c r="S39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95" spans="1:20" x14ac:dyDescent="0.25">
      <c r="A395" t="s">
        <v>126</v>
      </c>
      <c r="B395">
        <v>202005</v>
      </c>
      <c r="C395" t="s">
        <v>56</v>
      </c>
      <c r="D395" t="s">
        <v>246</v>
      </c>
      <c r="E395">
        <v>0</v>
      </c>
      <c r="F395">
        <v>0</v>
      </c>
      <c r="G395" s="2">
        <v>0.19</v>
      </c>
      <c r="H395">
        <v>0</v>
      </c>
      <c r="K395" t="s">
        <v>229</v>
      </c>
      <c r="L395">
        <v>8</v>
      </c>
      <c r="M395">
        <v>0</v>
      </c>
      <c r="O395" t="s">
        <v>279</v>
      </c>
      <c r="P395">
        <v>12</v>
      </c>
      <c r="Q39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2C138999</v>
      </c>
      <c r="R395" t="s">
        <v>644</v>
      </c>
      <c r="S39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396" spans="1:20" x14ac:dyDescent="0.25">
      <c r="A396" t="s">
        <v>1325</v>
      </c>
      <c r="B396">
        <v>202005</v>
      </c>
      <c r="C396" t="s">
        <v>141</v>
      </c>
      <c r="D396" t="s">
        <v>262</v>
      </c>
      <c r="E396">
        <v>433.66277000000002</v>
      </c>
      <c r="F396">
        <v>0</v>
      </c>
      <c r="G396" s="2">
        <v>100</v>
      </c>
      <c r="H396">
        <v>0</v>
      </c>
      <c r="I396">
        <v>1570</v>
      </c>
      <c r="K396" t="s">
        <v>229</v>
      </c>
      <c r="L396">
        <v>1</v>
      </c>
      <c r="M396">
        <v>0</v>
      </c>
      <c r="N396" t="s">
        <v>259</v>
      </c>
      <c r="O396" t="s">
        <v>1326</v>
      </c>
      <c r="P396">
        <v>12</v>
      </c>
      <c r="Q39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2C141102</v>
      </c>
      <c r="R396" t="s">
        <v>644</v>
      </c>
      <c r="S39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397" spans="1:20" x14ac:dyDescent="0.25">
      <c r="A397" t="s">
        <v>1325</v>
      </c>
      <c r="B397">
        <v>202005</v>
      </c>
      <c r="C397" t="s">
        <v>124</v>
      </c>
      <c r="D397" t="s">
        <v>272</v>
      </c>
      <c r="E397">
        <v>806.2</v>
      </c>
      <c r="F397">
        <v>0</v>
      </c>
      <c r="G397" s="2">
        <v>43.2</v>
      </c>
      <c r="H397">
        <v>0</v>
      </c>
      <c r="K397" t="s">
        <v>229</v>
      </c>
      <c r="L397">
        <v>6</v>
      </c>
      <c r="M397">
        <v>0</v>
      </c>
      <c r="N397" t="s">
        <v>259</v>
      </c>
      <c r="O397" t="s">
        <v>1326</v>
      </c>
      <c r="P397">
        <v>12</v>
      </c>
      <c r="Q39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2C141197</v>
      </c>
      <c r="R397" t="s">
        <v>644</v>
      </c>
      <c r="S39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  <c r="T397" t="s">
        <v>208</v>
      </c>
    </row>
    <row r="398" spans="1:20" x14ac:dyDescent="0.25">
      <c r="A398" t="s">
        <v>1325</v>
      </c>
      <c r="B398">
        <v>202005</v>
      </c>
      <c r="C398" t="s">
        <v>142</v>
      </c>
      <c r="D398" t="s">
        <v>263</v>
      </c>
      <c r="E398">
        <v>330</v>
      </c>
      <c r="F398">
        <v>0</v>
      </c>
      <c r="G398" s="2">
        <v>7.3</v>
      </c>
      <c r="H398">
        <v>0</v>
      </c>
      <c r="K398" t="s">
        <v>229</v>
      </c>
      <c r="L398">
        <v>7</v>
      </c>
      <c r="M398">
        <v>0</v>
      </c>
      <c r="N398" t="s">
        <v>259</v>
      </c>
      <c r="O398" t="s">
        <v>1326</v>
      </c>
      <c r="P398">
        <v>12</v>
      </c>
      <c r="Q39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2C141194</v>
      </c>
      <c r="R398" t="s">
        <v>644</v>
      </c>
      <c r="S39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399" spans="1:20" x14ac:dyDescent="0.25">
      <c r="A399" t="s">
        <v>1325</v>
      </c>
      <c r="B399">
        <v>202005</v>
      </c>
      <c r="C399" t="s">
        <v>208</v>
      </c>
      <c r="D399" t="s">
        <v>210</v>
      </c>
      <c r="E399">
        <v>350</v>
      </c>
      <c r="F399">
        <v>0</v>
      </c>
      <c r="G399" s="2">
        <v>20.6</v>
      </c>
      <c r="H399">
        <v>0</v>
      </c>
      <c r="K399" t="s">
        <v>229</v>
      </c>
      <c r="L399">
        <v>7</v>
      </c>
      <c r="M399">
        <v>0</v>
      </c>
      <c r="N399" t="s">
        <v>259</v>
      </c>
      <c r="O399" t="s">
        <v>1326</v>
      </c>
      <c r="P399">
        <v>12</v>
      </c>
      <c r="Q39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2C141223</v>
      </c>
      <c r="R399" t="s">
        <v>644</v>
      </c>
      <c r="S39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00" spans="1:20" x14ac:dyDescent="0.25">
      <c r="A400" t="s">
        <v>1325</v>
      </c>
      <c r="B400">
        <v>202005</v>
      </c>
      <c r="C400" t="s">
        <v>3</v>
      </c>
      <c r="D400" t="s">
        <v>58</v>
      </c>
      <c r="E400">
        <v>275</v>
      </c>
      <c r="F400">
        <v>0</v>
      </c>
      <c r="G400" s="2">
        <v>1.4</v>
      </c>
      <c r="H400">
        <v>0</v>
      </c>
      <c r="K400" t="s">
        <v>229</v>
      </c>
      <c r="L400">
        <v>7</v>
      </c>
      <c r="M400">
        <v>0</v>
      </c>
      <c r="N400" t="s">
        <v>259</v>
      </c>
      <c r="O400" t="s">
        <v>1326</v>
      </c>
      <c r="P400">
        <v>12</v>
      </c>
      <c r="Q40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2C141229</v>
      </c>
      <c r="R400" t="s">
        <v>644</v>
      </c>
      <c r="S40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01" spans="1:20" x14ac:dyDescent="0.25">
      <c r="A401" t="s">
        <v>1325</v>
      </c>
      <c r="B401">
        <v>202005</v>
      </c>
      <c r="C401" t="s">
        <v>4</v>
      </c>
      <c r="D401" t="s">
        <v>265</v>
      </c>
      <c r="E401">
        <v>115</v>
      </c>
      <c r="F401">
        <v>0</v>
      </c>
      <c r="G401" s="2">
        <v>9.3000000000000007</v>
      </c>
      <c r="H401">
        <v>0</v>
      </c>
      <c r="K401" t="s">
        <v>229</v>
      </c>
      <c r="L401">
        <v>7</v>
      </c>
      <c r="M401">
        <v>0</v>
      </c>
      <c r="N401" t="s">
        <v>259</v>
      </c>
      <c r="O401" t="s">
        <v>1326</v>
      </c>
      <c r="P401">
        <v>12</v>
      </c>
      <c r="Q40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2C141230</v>
      </c>
      <c r="R401" t="s">
        <v>644</v>
      </c>
      <c r="S40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02" spans="1:20" x14ac:dyDescent="0.25">
      <c r="A402" t="s">
        <v>1325</v>
      </c>
      <c r="B402">
        <v>202005</v>
      </c>
      <c r="C402" t="s">
        <v>5</v>
      </c>
      <c r="D402" t="s">
        <v>59</v>
      </c>
      <c r="E402">
        <v>8.56</v>
      </c>
      <c r="F402">
        <v>0</v>
      </c>
      <c r="G402" s="2">
        <v>7.8</v>
      </c>
      <c r="H402">
        <v>0</v>
      </c>
      <c r="K402" t="s">
        <v>229</v>
      </c>
      <c r="L402">
        <v>7</v>
      </c>
      <c r="M402">
        <v>0</v>
      </c>
      <c r="N402" t="s">
        <v>259</v>
      </c>
      <c r="O402" t="s">
        <v>1326</v>
      </c>
      <c r="P402">
        <v>12</v>
      </c>
      <c r="Q40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2C141231</v>
      </c>
      <c r="R402" t="s">
        <v>644</v>
      </c>
      <c r="S40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03" spans="1:20" x14ac:dyDescent="0.25">
      <c r="A403" t="s">
        <v>1325</v>
      </c>
      <c r="B403">
        <v>202005</v>
      </c>
      <c r="C403" t="s">
        <v>6</v>
      </c>
      <c r="D403" t="s">
        <v>60</v>
      </c>
      <c r="E403">
        <v>50</v>
      </c>
      <c r="F403">
        <v>0</v>
      </c>
      <c r="G403" s="2">
        <v>10.199999999999999</v>
      </c>
      <c r="H403">
        <v>0</v>
      </c>
      <c r="I403">
        <v>1570</v>
      </c>
      <c r="K403" t="s">
        <v>229</v>
      </c>
      <c r="L403">
        <v>7</v>
      </c>
      <c r="M403">
        <v>0</v>
      </c>
      <c r="N403" t="s">
        <v>259</v>
      </c>
      <c r="O403" t="s">
        <v>1326</v>
      </c>
      <c r="P403">
        <v>12</v>
      </c>
      <c r="Q40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2C141245</v>
      </c>
      <c r="R403" t="s">
        <v>644</v>
      </c>
      <c r="S40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04" spans="1:20" x14ac:dyDescent="0.25">
      <c r="A404" t="s">
        <v>1325</v>
      </c>
      <c r="B404">
        <v>202005</v>
      </c>
      <c r="C404" t="s">
        <v>56</v>
      </c>
      <c r="D404" t="s">
        <v>246</v>
      </c>
      <c r="E404">
        <v>0</v>
      </c>
      <c r="F404">
        <v>0</v>
      </c>
      <c r="G404" s="2">
        <v>0.2</v>
      </c>
      <c r="H404">
        <v>0</v>
      </c>
      <c r="K404" t="s">
        <v>229</v>
      </c>
      <c r="L404">
        <v>8</v>
      </c>
      <c r="M404">
        <v>0</v>
      </c>
      <c r="O404" t="s">
        <v>1326</v>
      </c>
      <c r="P404">
        <v>12</v>
      </c>
      <c r="Q40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2C148999</v>
      </c>
      <c r="R404" t="s">
        <v>644</v>
      </c>
      <c r="S40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405" spans="1:20" x14ac:dyDescent="0.25">
      <c r="A405" t="s">
        <v>127</v>
      </c>
      <c r="B405">
        <v>202005</v>
      </c>
      <c r="C405" t="s">
        <v>141</v>
      </c>
      <c r="D405" t="s">
        <v>262</v>
      </c>
      <c r="E405">
        <v>433.66277000000002</v>
      </c>
      <c r="F405">
        <v>0</v>
      </c>
      <c r="G405" s="2">
        <v>100</v>
      </c>
      <c r="H405">
        <v>0</v>
      </c>
      <c r="I405">
        <v>1570</v>
      </c>
      <c r="K405" t="s">
        <v>229</v>
      </c>
      <c r="L405">
        <v>1</v>
      </c>
      <c r="M405">
        <v>0</v>
      </c>
      <c r="N405" t="s">
        <v>259</v>
      </c>
      <c r="O405" t="s">
        <v>280</v>
      </c>
      <c r="P405">
        <v>12</v>
      </c>
      <c r="Q40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2C151102</v>
      </c>
      <c r="R405" t="s">
        <v>644</v>
      </c>
      <c r="S40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406" spans="1:20" x14ac:dyDescent="0.25">
      <c r="A406" t="s">
        <v>127</v>
      </c>
      <c r="B406">
        <v>202005</v>
      </c>
      <c r="C406" t="s">
        <v>124</v>
      </c>
      <c r="D406" t="s">
        <v>272</v>
      </c>
      <c r="E406">
        <v>806.2</v>
      </c>
      <c r="F406">
        <v>0</v>
      </c>
      <c r="G406" s="2">
        <v>36.9</v>
      </c>
      <c r="H406">
        <v>0</v>
      </c>
      <c r="I406">
        <v>1570</v>
      </c>
      <c r="K406" t="s">
        <v>229</v>
      </c>
      <c r="L406">
        <v>6</v>
      </c>
      <c r="M406">
        <v>0</v>
      </c>
      <c r="N406" t="s">
        <v>259</v>
      </c>
      <c r="O406" t="s">
        <v>280</v>
      </c>
      <c r="P406">
        <v>12</v>
      </c>
      <c r="Q40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2C151197</v>
      </c>
      <c r="R406" t="s">
        <v>644</v>
      </c>
      <c r="S40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  <c r="T406" t="s">
        <v>151</v>
      </c>
    </row>
    <row r="407" spans="1:20" x14ac:dyDescent="0.25">
      <c r="A407" t="s">
        <v>127</v>
      </c>
      <c r="B407">
        <v>202005</v>
      </c>
      <c r="C407" t="s">
        <v>142</v>
      </c>
      <c r="D407" t="s">
        <v>263</v>
      </c>
      <c r="E407">
        <v>330</v>
      </c>
      <c r="F407">
        <v>0</v>
      </c>
      <c r="G407" s="2">
        <v>9.7200000000000006</v>
      </c>
      <c r="H407">
        <v>0</v>
      </c>
      <c r="I407">
        <v>1570</v>
      </c>
      <c r="K407" t="s">
        <v>229</v>
      </c>
      <c r="L407">
        <v>7</v>
      </c>
      <c r="M407">
        <v>0</v>
      </c>
      <c r="N407" t="s">
        <v>259</v>
      </c>
      <c r="O407" t="s">
        <v>280</v>
      </c>
      <c r="P407">
        <v>12</v>
      </c>
      <c r="Q40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2C151194</v>
      </c>
      <c r="R407" t="s">
        <v>644</v>
      </c>
      <c r="S40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08" spans="1:20" x14ac:dyDescent="0.25">
      <c r="A408" t="s">
        <v>127</v>
      </c>
      <c r="B408">
        <v>202005</v>
      </c>
      <c r="C408" t="s">
        <v>151</v>
      </c>
      <c r="D408" t="s">
        <v>209</v>
      </c>
      <c r="E408">
        <v>350</v>
      </c>
      <c r="F408">
        <v>0</v>
      </c>
      <c r="G408" s="2">
        <v>21.71</v>
      </c>
      <c r="H408">
        <v>0</v>
      </c>
      <c r="I408">
        <v>1570</v>
      </c>
      <c r="K408" t="s">
        <v>229</v>
      </c>
      <c r="L408">
        <v>7</v>
      </c>
      <c r="M408">
        <v>0</v>
      </c>
      <c r="N408" t="s">
        <v>259</v>
      </c>
      <c r="O408" t="s">
        <v>280</v>
      </c>
      <c r="P408">
        <v>12</v>
      </c>
      <c r="Q40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2C151224</v>
      </c>
      <c r="R408" t="s">
        <v>644</v>
      </c>
      <c r="S40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09" spans="1:20" x14ac:dyDescent="0.25">
      <c r="A409" t="s">
        <v>127</v>
      </c>
      <c r="B409">
        <v>202005</v>
      </c>
      <c r="C409" t="s">
        <v>3</v>
      </c>
      <c r="D409" t="s">
        <v>58</v>
      </c>
      <c r="E409">
        <v>275</v>
      </c>
      <c r="F409">
        <v>0</v>
      </c>
      <c r="G409" s="2">
        <v>1.4</v>
      </c>
      <c r="H409">
        <v>0</v>
      </c>
      <c r="I409">
        <v>1570</v>
      </c>
      <c r="K409" t="s">
        <v>229</v>
      </c>
      <c r="L409">
        <v>7</v>
      </c>
      <c r="M409">
        <v>0</v>
      </c>
      <c r="N409" t="s">
        <v>259</v>
      </c>
      <c r="O409" t="s">
        <v>280</v>
      </c>
      <c r="P409">
        <v>12</v>
      </c>
      <c r="Q40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2C151229</v>
      </c>
      <c r="R409" t="s">
        <v>644</v>
      </c>
      <c r="S40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10" spans="1:20" x14ac:dyDescent="0.25">
      <c r="A410" t="s">
        <v>127</v>
      </c>
      <c r="B410">
        <v>202005</v>
      </c>
      <c r="C410" t="s">
        <v>4</v>
      </c>
      <c r="D410" t="s">
        <v>265</v>
      </c>
      <c r="E410">
        <v>115</v>
      </c>
      <c r="F410">
        <v>0</v>
      </c>
      <c r="G410" s="2">
        <v>6.53</v>
      </c>
      <c r="H410">
        <v>0</v>
      </c>
      <c r="I410">
        <v>1570</v>
      </c>
      <c r="K410" t="s">
        <v>229</v>
      </c>
      <c r="L410">
        <v>7</v>
      </c>
      <c r="M410">
        <v>0</v>
      </c>
      <c r="N410" t="s">
        <v>259</v>
      </c>
      <c r="O410" t="s">
        <v>280</v>
      </c>
      <c r="P410">
        <v>12</v>
      </c>
      <c r="Q41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2C151230</v>
      </c>
      <c r="R410" t="s">
        <v>644</v>
      </c>
      <c r="S41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11" spans="1:20" x14ac:dyDescent="0.25">
      <c r="A411" t="s">
        <v>127</v>
      </c>
      <c r="B411">
        <v>202005</v>
      </c>
      <c r="C411" t="s">
        <v>6</v>
      </c>
      <c r="D411" t="s">
        <v>60</v>
      </c>
      <c r="E411">
        <v>50</v>
      </c>
      <c r="F411">
        <v>0</v>
      </c>
      <c r="G411" s="2">
        <v>15.33</v>
      </c>
      <c r="H411">
        <v>0</v>
      </c>
      <c r="I411">
        <v>1570</v>
      </c>
      <c r="K411" t="s">
        <v>229</v>
      </c>
      <c r="L411">
        <v>7</v>
      </c>
      <c r="M411">
        <v>0</v>
      </c>
      <c r="N411" t="s">
        <v>259</v>
      </c>
      <c r="O411" t="s">
        <v>280</v>
      </c>
      <c r="P411">
        <v>12</v>
      </c>
      <c r="Q41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2C151245</v>
      </c>
      <c r="R411" t="s">
        <v>644</v>
      </c>
      <c r="S41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12" spans="1:20" x14ac:dyDescent="0.25">
      <c r="A412" t="s">
        <v>127</v>
      </c>
      <c r="B412">
        <v>202005</v>
      </c>
      <c r="C412" t="s">
        <v>260</v>
      </c>
      <c r="D412" t="s">
        <v>261</v>
      </c>
      <c r="E412">
        <v>50</v>
      </c>
      <c r="F412">
        <v>0</v>
      </c>
      <c r="G412" s="2">
        <v>8.08</v>
      </c>
      <c r="H412">
        <v>0</v>
      </c>
      <c r="I412">
        <v>1570</v>
      </c>
      <c r="K412" t="s">
        <v>229</v>
      </c>
      <c r="L412">
        <v>7</v>
      </c>
      <c r="M412">
        <v>0</v>
      </c>
      <c r="N412" t="s">
        <v>259</v>
      </c>
      <c r="O412" t="s">
        <v>280</v>
      </c>
      <c r="P412">
        <v>12</v>
      </c>
      <c r="Q41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2C151334</v>
      </c>
      <c r="R412" t="s">
        <v>644</v>
      </c>
      <c r="S41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13" spans="1:20" x14ac:dyDescent="0.25">
      <c r="A413" t="s">
        <v>127</v>
      </c>
      <c r="B413">
        <v>202005</v>
      </c>
      <c r="C413" t="s">
        <v>56</v>
      </c>
      <c r="D413" t="s">
        <v>246</v>
      </c>
      <c r="E413">
        <v>0</v>
      </c>
      <c r="F413">
        <v>0</v>
      </c>
      <c r="G413" s="2">
        <v>0.01</v>
      </c>
      <c r="H413">
        <v>0</v>
      </c>
      <c r="K413" t="s">
        <v>229</v>
      </c>
      <c r="L413">
        <v>8</v>
      </c>
      <c r="M413">
        <v>0</v>
      </c>
      <c r="O413" t="s">
        <v>280</v>
      </c>
      <c r="P413">
        <v>12</v>
      </c>
      <c r="Q41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2C158999</v>
      </c>
      <c r="R413" t="s">
        <v>644</v>
      </c>
      <c r="S41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414" spans="1:20" x14ac:dyDescent="0.25">
      <c r="A414" t="s">
        <v>1327</v>
      </c>
      <c r="B414">
        <v>202005</v>
      </c>
      <c r="C414" t="s">
        <v>141</v>
      </c>
      <c r="D414" t="s">
        <v>262</v>
      </c>
      <c r="E414">
        <v>433.66277000000002</v>
      </c>
      <c r="F414">
        <v>0</v>
      </c>
      <c r="G414" s="2">
        <v>100</v>
      </c>
      <c r="H414">
        <v>0</v>
      </c>
      <c r="I414">
        <v>1570</v>
      </c>
      <c r="K414" t="s">
        <v>229</v>
      </c>
      <c r="L414">
        <v>1</v>
      </c>
      <c r="M414">
        <v>0</v>
      </c>
      <c r="N414" t="s">
        <v>259</v>
      </c>
      <c r="O414" t="s">
        <v>1328</v>
      </c>
      <c r="P414">
        <v>12</v>
      </c>
      <c r="Q41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2C161102</v>
      </c>
      <c r="R414" t="s">
        <v>644</v>
      </c>
      <c r="S41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415" spans="1:20" x14ac:dyDescent="0.25">
      <c r="A415" t="s">
        <v>1327</v>
      </c>
      <c r="B415">
        <v>202005</v>
      </c>
      <c r="C415" t="s">
        <v>1329</v>
      </c>
      <c r="D415" t="s">
        <v>1330</v>
      </c>
      <c r="E415">
        <v>752.28772000000004</v>
      </c>
      <c r="F415">
        <v>0</v>
      </c>
      <c r="G415" s="2">
        <v>31.58</v>
      </c>
      <c r="H415">
        <v>0</v>
      </c>
      <c r="K415" t="s">
        <v>229</v>
      </c>
      <c r="L415">
        <v>6</v>
      </c>
      <c r="M415">
        <v>0</v>
      </c>
      <c r="N415" t="s">
        <v>259</v>
      </c>
      <c r="O415" t="s">
        <v>1328</v>
      </c>
      <c r="P415">
        <v>12</v>
      </c>
      <c r="Q41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2C161205</v>
      </c>
      <c r="R415" t="s">
        <v>644</v>
      </c>
      <c r="S41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  <c r="T415" t="s">
        <v>147</v>
      </c>
    </row>
    <row r="416" spans="1:20" x14ac:dyDescent="0.25">
      <c r="A416" t="s">
        <v>1327</v>
      </c>
      <c r="B416">
        <v>202005</v>
      </c>
      <c r="C416" t="s">
        <v>142</v>
      </c>
      <c r="D416" t="s">
        <v>263</v>
      </c>
      <c r="E416">
        <v>330</v>
      </c>
      <c r="F416">
        <v>0</v>
      </c>
      <c r="G416" s="2">
        <v>7.8940000000000001</v>
      </c>
      <c r="H416">
        <v>0</v>
      </c>
      <c r="K416" t="s">
        <v>229</v>
      </c>
      <c r="L416">
        <v>7</v>
      </c>
      <c r="M416">
        <v>0</v>
      </c>
      <c r="N416" t="s">
        <v>259</v>
      </c>
      <c r="O416" t="s">
        <v>1328</v>
      </c>
      <c r="P416">
        <v>12</v>
      </c>
      <c r="Q41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2C161194</v>
      </c>
      <c r="R416" t="s">
        <v>644</v>
      </c>
      <c r="S41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17" spans="1:20" x14ac:dyDescent="0.25">
      <c r="A417" t="s">
        <v>1327</v>
      </c>
      <c r="B417">
        <v>202005</v>
      </c>
      <c r="C417" t="s">
        <v>147</v>
      </c>
      <c r="D417" t="s">
        <v>207</v>
      </c>
      <c r="E417">
        <v>323.2</v>
      </c>
      <c r="F417">
        <v>0</v>
      </c>
      <c r="G417" s="2">
        <v>20.13</v>
      </c>
      <c r="H417">
        <v>0</v>
      </c>
      <c r="K417" t="s">
        <v>229</v>
      </c>
      <c r="L417">
        <v>7</v>
      </c>
      <c r="M417">
        <v>0</v>
      </c>
      <c r="N417" t="s">
        <v>259</v>
      </c>
      <c r="O417" t="s">
        <v>1328</v>
      </c>
      <c r="P417">
        <v>12</v>
      </c>
      <c r="Q41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2C161222</v>
      </c>
      <c r="R417" t="s">
        <v>644</v>
      </c>
      <c r="S41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18" spans="1:20" x14ac:dyDescent="0.25">
      <c r="A418" t="s">
        <v>1327</v>
      </c>
      <c r="B418">
        <v>202005</v>
      </c>
      <c r="C418" t="s">
        <v>3</v>
      </c>
      <c r="D418" t="s">
        <v>58</v>
      </c>
      <c r="E418">
        <v>275</v>
      </c>
      <c r="F418">
        <v>0</v>
      </c>
      <c r="G418" s="2">
        <v>1.774</v>
      </c>
      <c r="H418">
        <v>0</v>
      </c>
      <c r="K418" t="s">
        <v>229</v>
      </c>
      <c r="L418">
        <v>7</v>
      </c>
      <c r="M418">
        <v>0</v>
      </c>
      <c r="N418" t="s">
        <v>259</v>
      </c>
      <c r="O418" t="s">
        <v>1328</v>
      </c>
      <c r="P418">
        <v>12</v>
      </c>
      <c r="Q41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2C161229</v>
      </c>
      <c r="R418" t="s">
        <v>644</v>
      </c>
      <c r="S41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19" spans="1:20" x14ac:dyDescent="0.25">
      <c r="A419" t="s">
        <v>1327</v>
      </c>
      <c r="B419">
        <v>202005</v>
      </c>
      <c r="C419" t="s">
        <v>4</v>
      </c>
      <c r="D419" t="s">
        <v>265</v>
      </c>
      <c r="E419">
        <v>115</v>
      </c>
      <c r="F419">
        <v>0</v>
      </c>
      <c r="G419" s="2">
        <v>13.29</v>
      </c>
      <c r="H419">
        <v>0</v>
      </c>
      <c r="K419" t="s">
        <v>229</v>
      </c>
      <c r="L419">
        <v>7</v>
      </c>
      <c r="M419">
        <v>0</v>
      </c>
      <c r="N419" t="s">
        <v>259</v>
      </c>
      <c r="O419" t="s">
        <v>1328</v>
      </c>
      <c r="P419">
        <v>12</v>
      </c>
      <c r="Q41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2C161230</v>
      </c>
      <c r="R419" t="s">
        <v>644</v>
      </c>
      <c r="S41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20" spans="1:20" x14ac:dyDescent="0.25">
      <c r="A420" t="s">
        <v>1327</v>
      </c>
      <c r="B420">
        <v>202005</v>
      </c>
      <c r="C420" t="s">
        <v>5</v>
      </c>
      <c r="D420" t="s">
        <v>59</v>
      </c>
      <c r="E420">
        <v>8.56</v>
      </c>
      <c r="F420">
        <v>0</v>
      </c>
      <c r="G420" s="2">
        <v>10.044</v>
      </c>
      <c r="H420">
        <v>0</v>
      </c>
      <c r="K420" t="s">
        <v>229</v>
      </c>
      <c r="L420">
        <v>7</v>
      </c>
      <c r="M420">
        <v>0</v>
      </c>
      <c r="N420" t="s">
        <v>259</v>
      </c>
      <c r="O420" t="s">
        <v>1328</v>
      </c>
      <c r="P420">
        <v>12</v>
      </c>
      <c r="Q42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2C161231</v>
      </c>
      <c r="R420" t="s">
        <v>644</v>
      </c>
      <c r="S42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21" spans="1:20" x14ac:dyDescent="0.25">
      <c r="A421" t="s">
        <v>1327</v>
      </c>
      <c r="B421">
        <v>202005</v>
      </c>
      <c r="C421" t="s">
        <v>6</v>
      </c>
      <c r="D421" t="s">
        <v>60</v>
      </c>
      <c r="E421" s="1020">
        <v>50</v>
      </c>
      <c r="F421">
        <v>0</v>
      </c>
      <c r="G421" s="2">
        <v>14.18</v>
      </c>
      <c r="H421">
        <v>0</v>
      </c>
      <c r="I421">
        <v>1570</v>
      </c>
      <c r="K421" t="s">
        <v>229</v>
      </c>
      <c r="L421">
        <v>7</v>
      </c>
      <c r="M421">
        <v>0</v>
      </c>
      <c r="N421" t="s">
        <v>259</v>
      </c>
      <c r="O421" t="s">
        <v>1328</v>
      </c>
      <c r="P421">
        <v>12</v>
      </c>
      <c r="Q42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2C161245</v>
      </c>
      <c r="R421" t="s">
        <v>644</v>
      </c>
      <c r="S42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22" spans="1:20" x14ac:dyDescent="0.25">
      <c r="A422" t="s">
        <v>1327</v>
      </c>
      <c r="B422">
        <v>202005</v>
      </c>
      <c r="C422" t="s">
        <v>56</v>
      </c>
      <c r="D422" t="s">
        <v>246</v>
      </c>
      <c r="E422">
        <v>0</v>
      </c>
      <c r="F422">
        <v>0</v>
      </c>
      <c r="G422" s="2">
        <v>1.1080000000000001</v>
      </c>
      <c r="H422">
        <v>0</v>
      </c>
      <c r="K422" t="s">
        <v>229</v>
      </c>
      <c r="L422">
        <v>8</v>
      </c>
      <c r="M422">
        <v>0</v>
      </c>
      <c r="O422" t="s">
        <v>1328</v>
      </c>
      <c r="P422">
        <v>12</v>
      </c>
      <c r="Q42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2C168999</v>
      </c>
      <c r="R422" t="s">
        <v>644</v>
      </c>
      <c r="S42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423" spans="1:20" x14ac:dyDescent="0.25">
      <c r="A423" t="s">
        <v>1331</v>
      </c>
      <c r="B423">
        <v>202005</v>
      </c>
      <c r="C423" t="s">
        <v>141</v>
      </c>
      <c r="D423" t="s">
        <v>262</v>
      </c>
      <c r="E423">
        <v>433.66277000000002</v>
      </c>
      <c r="F423">
        <v>0</v>
      </c>
      <c r="G423" s="2">
        <v>100</v>
      </c>
      <c r="H423">
        <v>0</v>
      </c>
      <c r="I423">
        <v>1570</v>
      </c>
      <c r="K423" t="s">
        <v>229</v>
      </c>
      <c r="L423">
        <v>1</v>
      </c>
      <c r="M423">
        <v>0</v>
      </c>
      <c r="N423" t="s">
        <v>259</v>
      </c>
      <c r="O423" t="s">
        <v>1332</v>
      </c>
      <c r="P423">
        <v>12</v>
      </c>
      <c r="Q42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2C171102</v>
      </c>
      <c r="R423" t="s">
        <v>644</v>
      </c>
      <c r="S42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424" spans="1:20" x14ac:dyDescent="0.25">
      <c r="A424" t="s">
        <v>1331</v>
      </c>
      <c r="B424">
        <v>202005</v>
      </c>
      <c r="C424" t="s">
        <v>1329</v>
      </c>
      <c r="D424" t="s">
        <v>1330</v>
      </c>
      <c r="E424">
        <v>752.28772000000004</v>
      </c>
      <c r="F424">
        <v>0</v>
      </c>
      <c r="G424" s="2">
        <v>32.74</v>
      </c>
      <c r="H424">
        <v>0</v>
      </c>
      <c r="I424">
        <v>1570</v>
      </c>
      <c r="K424" t="s">
        <v>229</v>
      </c>
      <c r="L424">
        <v>6</v>
      </c>
      <c r="M424">
        <v>0</v>
      </c>
      <c r="N424" t="s">
        <v>259</v>
      </c>
      <c r="O424" t="s">
        <v>1332</v>
      </c>
      <c r="P424">
        <v>12</v>
      </c>
      <c r="Q42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2C171205</v>
      </c>
      <c r="R424" t="s">
        <v>644</v>
      </c>
      <c r="S42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  <c r="T424" t="s">
        <v>144</v>
      </c>
    </row>
    <row r="425" spans="1:20" x14ac:dyDescent="0.25">
      <c r="A425" t="s">
        <v>1331</v>
      </c>
      <c r="B425">
        <v>202005</v>
      </c>
      <c r="C425" t="s">
        <v>142</v>
      </c>
      <c r="D425" t="s">
        <v>263</v>
      </c>
      <c r="E425">
        <v>330</v>
      </c>
      <c r="F425">
        <v>0</v>
      </c>
      <c r="G425" s="2">
        <v>8.07</v>
      </c>
      <c r="H425">
        <v>0</v>
      </c>
      <c r="I425">
        <v>1570</v>
      </c>
      <c r="K425" t="s">
        <v>229</v>
      </c>
      <c r="L425">
        <v>7</v>
      </c>
      <c r="M425">
        <v>0</v>
      </c>
      <c r="N425" t="s">
        <v>259</v>
      </c>
      <c r="O425" t="s">
        <v>1332</v>
      </c>
      <c r="P425">
        <v>12</v>
      </c>
      <c r="Q42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2C171194</v>
      </c>
      <c r="R425" t="s">
        <v>644</v>
      </c>
      <c r="S42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26" spans="1:20" x14ac:dyDescent="0.25">
      <c r="A426" t="s">
        <v>1331</v>
      </c>
      <c r="B426">
        <v>202005</v>
      </c>
      <c r="C426" t="s">
        <v>144</v>
      </c>
      <c r="D426" t="s">
        <v>211</v>
      </c>
      <c r="E426">
        <v>350</v>
      </c>
      <c r="F426">
        <v>0</v>
      </c>
      <c r="G426" s="2">
        <v>17.37</v>
      </c>
      <c r="H426">
        <v>0</v>
      </c>
      <c r="I426">
        <v>1570</v>
      </c>
      <c r="K426" t="s">
        <v>229</v>
      </c>
      <c r="L426">
        <v>7</v>
      </c>
      <c r="M426">
        <v>0</v>
      </c>
      <c r="N426" t="s">
        <v>259</v>
      </c>
      <c r="O426" t="s">
        <v>1332</v>
      </c>
      <c r="P426">
        <v>12</v>
      </c>
      <c r="Q42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2C171225</v>
      </c>
      <c r="R426" t="s">
        <v>644</v>
      </c>
      <c r="S42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27" spans="1:20" x14ac:dyDescent="0.25">
      <c r="A427" t="s">
        <v>1331</v>
      </c>
      <c r="B427">
        <v>202005</v>
      </c>
      <c r="C427" t="s">
        <v>3</v>
      </c>
      <c r="D427" t="s">
        <v>58</v>
      </c>
      <c r="E427">
        <v>275</v>
      </c>
      <c r="F427">
        <v>0</v>
      </c>
      <c r="G427" s="2">
        <v>1.889</v>
      </c>
      <c r="H427">
        <v>0</v>
      </c>
      <c r="I427">
        <v>1570</v>
      </c>
      <c r="K427" t="s">
        <v>229</v>
      </c>
      <c r="L427">
        <v>7</v>
      </c>
      <c r="M427">
        <v>0</v>
      </c>
      <c r="N427" t="s">
        <v>259</v>
      </c>
      <c r="O427" t="s">
        <v>1332</v>
      </c>
      <c r="P427">
        <v>12</v>
      </c>
      <c r="Q42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2C171229</v>
      </c>
      <c r="R427" t="s">
        <v>644</v>
      </c>
      <c r="S42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28" spans="1:20" x14ac:dyDescent="0.25">
      <c r="A428" t="s">
        <v>1331</v>
      </c>
      <c r="B428">
        <v>202005</v>
      </c>
      <c r="C428" t="s">
        <v>4</v>
      </c>
      <c r="D428" t="s">
        <v>265</v>
      </c>
      <c r="E428">
        <v>115</v>
      </c>
      <c r="F428">
        <v>0</v>
      </c>
      <c r="G428" s="2">
        <v>13.51</v>
      </c>
      <c r="H428">
        <v>0</v>
      </c>
      <c r="I428">
        <v>1570</v>
      </c>
      <c r="K428" t="s">
        <v>229</v>
      </c>
      <c r="L428">
        <v>7</v>
      </c>
      <c r="M428">
        <v>0</v>
      </c>
      <c r="N428" t="s">
        <v>259</v>
      </c>
      <c r="O428" t="s">
        <v>1332</v>
      </c>
      <c r="P428">
        <v>12</v>
      </c>
      <c r="Q42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2C171230</v>
      </c>
      <c r="R428" t="s">
        <v>644</v>
      </c>
      <c r="S42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29" spans="1:20" x14ac:dyDescent="0.25">
      <c r="A429" t="s">
        <v>1331</v>
      </c>
      <c r="B429">
        <v>202005</v>
      </c>
      <c r="C429" t="s">
        <v>5</v>
      </c>
      <c r="D429" t="s">
        <v>59</v>
      </c>
      <c r="E429">
        <v>8.56</v>
      </c>
      <c r="F429">
        <v>0</v>
      </c>
      <c r="G429" s="2">
        <v>11.207000000000001</v>
      </c>
      <c r="H429">
        <v>0</v>
      </c>
      <c r="I429">
        <v>1570</v>
      </c>
      <c r="K429" t="s">
        <v>229</v>
      </c>
      <c r="L429">
        <v>7</v>
      </c>
      <c r="M429">
        <v>0</v>
      </c>
      <c r="N429" t="s">
        <v>259</v>
      </c>
      <c r="O429" t="s">
        <v>1332</v>
      </c>
      <c r="P429">
        <v>12</v>
      </c>
      <c r="Q42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2C171231</v>
      </c>
      <c r="R429" t="s">
        <v>644</v>
      </c>
      <c r="S42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30" spans="1:20" x14ac:dyDescent="0.25">
      <c r="A430" t="s">
        <v>1331</v>
      </c>
      <c r="B430">
        <v>202005</v>
      </c>
      <c r="C430" t="s">
        <v>6</v>
      </c>
      <c r="D430" t="s">
        <v>60</v>
      </c>
      <c r="E430">
        <v>50</v>
      </c>
      <c r="F430">
        <v>0</v>
      </c>
      <c r="G430" s="2">
        <v>15.19</v>
      </c>
      <c r="H430">
        <v>0</v>
      </c>
      <c r="I430">
        <v>1570</v>
      </c>
      <c r="K430" t="s">
        <v>229</v>
      </c>
      <c r="L430">
        <v>7</v>
      </c>
      <c r="M430">
        <v>0</v>
      </c>
      <c r="N430" t="s">
        <v>259</v>
      </c>
      <c r="O430" t="s">
        <v>1332</v>
      </c>
      <c r="P430">
        <v>12</v>
      </c>
      <c r="Q43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2C171245</v>
      </c>
      <c r="R430" t="s">
        <v>644</v>
      </c>
      <c r="S43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31" spans="1:20" x14ac:dyDescent="0.25">
      <c r="A431" t="s">
        <v>1331</v>
      </c>
      <c r="B431">
        <v>202005</v>
      </c>
      <c r="C431" t="s">
        <v>56</v>
      </c>
      <c r="D431" t="s">
        <v>246</v>
      </c>
      <c r="E431" s="1020">
        <v>0</v>
      </c>
      <c r="F431">
        <v>0</v>
      </c>
      <c r="G431" s="2">
        <v>0</v>
      </c>
      <c r="H431">
        <v>0</v>
      </c>
      <c r="K431" t="s">
        <v>229</v>
      </c>
      <c r="L431">
        <v>8</v>
      </c>
      <c r="M431">
        <v>0</v>
      </c>
      <c r="O431" t="s">
        <v>1332</v>
      </c>
      <c r="P431">
        <v>12</v>
      </c>
      <c r="Q43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2C178999</v>
      </c>
      <c r="R431" t="s">
        <v>644</v>
      </c>
      <c r="S43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432" spans="1:20" x14ac:dyDescent="0.25">
      <c r="A432" t="s">
        <v>1333</v>
      </c>
      <c r="B432">
        <v>202005</v>
      </c>
      <c r="C432" t="s">
        <v>141</v>
      </c>
      <c r="D432" t="s">
        <v>262</v>
      </c>
      <c r="E432">
        <v>433.66277000000002</v>
      </c>
      <c r="F432">
        <v>0</v>
      </c>
      <c r="G432" s="2">
        <v>100</v>
      </c>
      <c r="H432">
        <v>0</v>
      </c>
      <c r="I432">
        <v>1570</v>
      </c>
      <c r="K432" t="s">
        <v>229</v>
      </c>
      <c r="L432">
        <v>1</v>
      </c>
      <c r="M432">
        <v>0</v>
      </c>
      <c r="N432" t="s">
        <v>259</v>
      </c>
      <c r="O432" t="s">
        <v>1334</v>
      </c>
      <c r="P432">
        <v>12</v>
      </c>
      <c r="Q43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2C181102</v>
      </c>
      <c r="R432" t="s">
        <v>644</v>
      </c>
      <c r="S43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433" spans="1:20" x14ac:dyDescent="0.25">
      <c r="A433" t="s">
        <v>1333</v>
      </c>
      <c r="B433">
        <v>202005</v>
      </c>
      <c r="C433" t="s">
        <v>1329</v>
      </c>
      <c r="D433" t="s">
        <v>1330</v>
      </c>
      <c r="E433">
        <v>752.28772000000004</v>
      </c>
      <c r="F433">
        <v>0</v>
      </c>
      <c r="G433" s="2">
        <v>32.299999999999997</v>
      </c>
      <c r="H433">
        <v>0</v>
      </c>
      <c r="K433" t="s">
        <v>229</v>
      </c>
      <c r="L433">
        <v>6</v>
      </c>
      <c r="M433">
        <v>0</v>
      </c>
      <c r="N433" t="s">
        <v>259</v>
      </c>
      <c r="O433" t="s">
        <v>1334</v>
      </c>
      <c r="P433">
        <v>12</v>
      </c>
      <c r="Q43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2C181205</v>
      </c>
      <c r="R433" t="s">
        <v>644</v>
      </c>
      <c r="S43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  <c r="T433" t="s">
        <v>149</v>
      </c>
    </row>
    <row r="434" spans="1:20" x14ac:dyDescent="0.25">
      <c r="A434" t="s">
        <v>1333</v>
      </c>
      <c r="B434">
        <v>202005</v>
      </c>
      <c r="C434" t="s">
        <v>142</v>
      </c>
      <c r="D434" t="s">
        <v>263</v>
      </c>
      <c r="E434">
        <v>330</v>
      </c>
      <c r="F434">
        <v>0</v>
      </c>
      <c r="G434" s="2">
        <v>4.2</v>
      </c>
      <c r="H434">
        <v>0</v>
      </c>
      <c r="K434" t="s">
        <v>229</v>
      </c>
      <c r="L434">
        <v>7</v>
      </c>
      <c r="M434">
        <v>0</v>
      </c>
      <c r="N434" t="s">
        <v>259</v>
      </c>
      <c r="O434" t="s">
        <v>1334</v>
      </c>
      <c r="P434">
        <v>12</v>
      </c>
      <c r="Q43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2C181194</v>
      </c>
      <c r="R434" t="s">
        <v>644</v>
      </c>
      <c r="S43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35" spans="1:20" x14ac:dyDescent="0.25">
      <c r="A435" t="s">
        <v>1333</v>
      </c>
      <c r="B435">
        <v>202005</v>
      </c>
      <c r="C435" t="s">
        <v>149</v>
      </c>
      <c r="D435" t="s">
        <v>206</v>
      </c>
      <c r="E435">
        <v>323.2</v>
      </c>
      <c r="F435">
        <v>0</v>
      </c>
      <c r="G435" s="2">
        <v>25.3</v>
      </c>
      <c r="H435">
        <v>0</v>
      </c>
      <c r="K435" t="s">
        <v>229</v>
      </c>
      <c r="L435">
        <v>7</v>
      </c>
      <c r="M435">
        <v>0</v>
      </c>
      <c r="N435" t="s">
        <v>259</v>
      </c>
      <c r="O435" t="s">
        <v>1334</v>
      </c>
      <c r="P435">
        <v>12</v>
      </c>
      <c r="Q43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2C181221</v>
      </c>
      <c r="R435" t="s">
        <v>644</v>
      </c>
      <c r="S43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36" spans="1:20" x14ac:dyDescent="0.25">
      <c r="A436" t="s">
        <v>1333</v>
      </c>
      <c r="B436">
        <v>202005</v>
      </c>
      <c r="C436" t="s">
        <v>3</v>
      </c>
      <c r="D436" t="s">
        <v>58</v>
      </c>
      <c r="E436">
        <v>275</v>
      </c>
      <c r="F436">
        <v>0</v>
      </c>
      <c r="G436" s="2">
        <v>1.4</v>
      </c>
      <c r="H436">
        <v>0</v>
      </c>
      <c r="K436" t="s">
        <v>229</v>
      </c>
      <c r="L436">
        <v>7</v>
      </c>
      <c r="M436">
        <v>0</v>
      </c>
      <c r="N436" t="s">
        <v>259</v>
      </c>
      <c r="O436" t="s">
        <v>1334</v>
      </c>
      <c r="P436">
        <v>12</v>
      </c>
      <c r="Q43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2C181229</v>
      </c>
      <c r="R436" t="s">
        <v>644</v>
      </c>
      <c r="S43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37" spans="1:20" x14ac:dyDescent="0.25">
      <c r="A437" t="s">
        <v>1333</v>
      </c>
      <c r="B437">
        <v>202005</v>
      </c>
      <c r="C437" t="s">
        <v>4</v>
      </c>
      <c r="D437" t="s">
        <v>265</v>
      </c>
      <c r="E437">
        <v>115</v>
      </c>
      <c r="F437">
        <v>0</v>
      </c>
      <c r="G437" s="2">
        <v>17.2</v>
      </c>
      <c r="H437">
        <v>0</v>
      </c>
      <c r="K437" t="s">
        <v>229</v>
      </c>
      <c r="L437">
        <v>7</v>
      </c>
      <c r="M437">
        <v>0</v>
      </c>
      <c r="N437" t="s">
        <v>259</v>
      </c>
      <c r="O437" t="s">
        <v>1334</v>
      </c>
      <c r="P437">
        <v>12</v>
      </c>
      <c r="Q43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2C181230</v>
      </c>
      <c r="R437" t="s">
        <v>644</v>
      </c>
      <c r="S43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38" spans="1:20" x14ac:dyDescent="0.25">
      <c r="A438" t="s">
        <v>1333</v>
      </c>
      <c r="B438">
        <v>202005</v>
      </c>
      <c r="C438" t="s">
        <v>5</v>
      </c>
      <c r="D438" t="s">
        <v>59</v>
      </c>
      <c r="E438">
        <v>8.56</v>
      </c>
      <c r="F438">
        <v>0</v>
      </c>
      <c r="G438" s="2">
        <v>7.6</v>
      </c>
      <c r="H438">
        <v>0</v>
      </c>
      <c r="K438" t="s">
        <v>229</v>
      </c>
      <c r="L438">
        <v>7</v>
      </c>
      <c r="M438">
        <v>0</v>
      </c>
      <c r="N438" t="s">
        <v>259</v>
      </c>
      <c r="O438" t="s">
        <v>1334</v>
      </c>
      <c r="P438">
        <v>12</v>
      </c>
      <c r="Q43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2C181231</v>
      </c>
      <c r="R438" t="s">
        <v>644</v>
      </c>
      <c r="S43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39" spans="1:20" x14ac:dyDescent="0.25">
      <c r="A439" t="s">
        <v>1333</v>
      </c>
      <c r="B439">
        <v>202005</v>
      </c>
      <c r="C439" t="s">
        <v>6</v>
      </c>
      <c r="D439" t="s">
        <v>60</v>
      </c>
      <c r="E439" s="1020">
        <v>50</v>
      </c>
      <c r="F439">
        <v>0</v>
      </c>
      <c r="G439" s="2">
        <v>11.6</v>
      </c>
      <c r="H439">
        <v>0</v>
      </c>
      <c r="I439">
        <v>1570</v>
      </c>
      <c r="K439" t="s">
        <v>229</v>
      </c>
      <c r="L439">
        <v>7</v>
      </c>
      <c r="M439">
        <v>0</v>
      </c>
      <c r="N439" t="s">
        <v>259</v>
      </c>
      <c r="O439" t="s">
        <v>1334</v>
      </c>
      <c r="P439">
        <v>12</v>
      </c>
      <c r="Q43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2C181245</v>
      </c>
      <c r="R439" t="s">
        <v>644</v>
      </c>
      <c r="S43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40" spans="1:20" x14ac:dyDescent="0.25">
      <c r="A440" t="s">
        <v>1333</v>
      </c>
      <c r="B440">
        <v>202005</v>
      </c>
      <c r="C440" t="s">
        <v>56</v>
      </c>
      <c r="D440" t="s">
        <v>246</v>
      </c>
      <c r="E440" s="1020">
        <v>0</v>
      </c>
      <c r="F440">
        <v>0</v>
      </c>
      <c r="G440" s="2">
        <v>0.4</v>
      </c>
      <c r="H440">
        <v>0</v>
      </c>
      <c r="K440" t="s">
        <v>229</v>
      </c>
      <c r="L440">
        <v>8</v>
      </c>
      <c r="M440">
        <v>0</v>
      </c>
      <c r="O440" t="s">
        <v>1334</v>
      </c>
      <c r="P440">
        <v>12</v>
      </c>
      <c r="Q44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2C188999</v>
      </c>
      <c r="R440" t="s">
        <v>644</v>
      </c>
      <c r="S44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441" spans="1:20" x14ac:dyDescent="0.25">
      <c r="A441" t="s">
        <v>1335</v>
      </c>
      <c r="B441">
        <v>202005</v>
      </c>
      <c r="C441" t="s">
        <v>141</v>
      </c>
      <c r="D441" t="s">
        <v>262</v>
      </c>
      <c r="E441">
        <v>433.66277000000002</v>
      </c>
      <c r="F441">
        <v>0</v>
      </c>
      <c r="G441" s="2">
        <v>100</v>
      </c>
      <c r="H441">
        <v>0</v>
      </c>
      <c r="I441">
        <v>1570</v>
      </c>
      <c r="K441" t="s">
        <v>229</v>
      </c>
      <c r="L441">
        <v>1</v>
      </c>
      <c r="M441">
        <v>0</v>
      </c>
      <c r="N441" t="s">
        <v>259</v>
      </c>
      <c r="O441" t="s">
        <v>1336</v>
      </c>
      <c r="P441">
        <v>12</v>
      </c>
      <c r="Q44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2C191102</v>
      </c>
      <c r="R441" t="s">
        <v>644</v>
      </c>
      <c r="S44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442" spans="1:20" x14ac:dyDescent="0.25">
      <c r="A442" t="s">
        <v>1335</v>
      </c>
      <c r="B442">
        <v>202005</v>
      </c>
      <c r="C442" t="s">
        <v>1329</v>
      </c>
      <c r="D442" t="s">
        <v>1330</v>
      </c>
      <c r="E442">
        <v>752.28772000000004</v>
      </c>
      <c r="F442">
        <v>0</v>
      </c>
      <c r="G442" s="2">
        <v>32.299999999999997</v>
      </c>
      <c r="H442">
        <v>0</v>
      </c>
      <c r="K442" t="s">
        <v>229</v>
      </c>
      <c r="L442">
        <v>6</v>
      </c>
      <c r="M442">
        <v>0</v>
      </c>
      <c r="N442" t="s">
        <v>259</v>
      </c>
      <c r="O442" t="s">
        <v>1336</v>
      </c>
      <c r="P442">
        <v>12</v>
      </c>
      <c r="Q44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2C191205</v>
      </c>
      <c r="R442" t="s">
        <v>644</v>
      </c>
      <c r="S44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  <c r="T442" t="s">
        <v>208</v>
      </c>
    </row>
    <row r="443" spans="1:20" x14ac:dyDescent="0.25">
      <c r="A443" t="s">
        <v>1335</v>
      </c>
      <c r="B443">
        <v>202005</v>
      </c>
      <c r="C443" t="s">
        <v>142</v>
      </c>
      <c r="D443" t="s">
        <v>263</v>
      </c>
      <c r="E443">
        <v>330</v>
      </c>
      <c r="F443">
        <v>0</v>
      </c>
      <c r="G443" s="2">
        <v>4.2</v>
      </c>
      <c r="H443">
        <v>0</v>
      </c>
      <c r="K443" t="s">
        <v>229</v>
      </c>
      <c r="L443">
        <v>7</v>
      </c>
      <c r="M443">
        <v>0</v>
      </c>
      <c r="N443" t="s">
        <v>259</v>
      </c>
      <c r="O443" t="s">
        <v>1336</v>
      </c>
      <c r="P443">
        <v>12</v>
      </c>
      <c r="Q44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2C191194</v>
      </c>
      <c r="R443" t="s">
        <v>644</v>
      </c>
      <c r="S44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44" spans="1:20" x14ac:dyDescent="0.25">
      <c r="A444" t="s">
        <v>1335</v>
      </c>
      <c r="B444">
        <v>202005</v>
      </c>
      <c r="C444" t="s">
        <v>208</v>
      </c>
      <c r="D444" t="s">
        <v>210</v>
      </c>
      <c r="E444">
        <v>350</v>
      </c>
      <c r="F444">
        <v>0</v>
      </c>
      <c r="G444" s="2">
        <v>20.7</v>
      </c>
      <c r="H444">
        <v>0</v>
      </c>
      <c r="K444" t="s">
        <v>229</v>
      </c>
      <c r="L444">
        <v>7</v>
      </c>
      <c r="M444">
        <v>0</v>
      </c>
      <c r="N444" t="s">
        <v>259</v>
      </c>
      <c r="O444" t="s">
        <v>1336</v>
      </c>
      <c r="P444">
        <v>12</v>
      </c>
      <c r="Q44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2C191223</v>
      </c>
      <c r="R444" t="s">
        <v>644</v>
      </c>
      <c r="S44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45" spans="1:20" x14ac:dyDescent="0.25">
      <c r="A445" t="s">
        <v>1335</v>
      </c>
      <c r="B445">
        <v>202005</v>
      </c>
      <c r="C445" t="s">
        <v>3</v>
      </c>
      <c r="D445" t="s">
        <v>58</v>
      </c>
      <c r="E445">
        <v>275</v>
      </c>
      <c r="F445">
        <v>0</v>
      </c>
      <c r="G445" s="2">
        <v>1.4</v>
      </c>
      <c r="H445">
        <v>0</v>
      </c>
      <c r="K445" t="s">
        <v>229</v>
      </c>
      <c r="L445">
        <v>7</v>
      </c>
      <c r="M445">
        <v>0</v>
      </c>
      <c r="N445" t="s">
        <v>259</v>
      </c>
      <c r="O445" t="s">
        <v>1336</v>
      </c>
      <c r="P445">
        <v>12</v>
      </c>
      <c r="Q44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2C191229</v>
      </c>
      <c r="R445" t="s">
        <v>644</v>
      </c>
      <c r="S44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46" spans="1:20" x14ac:dyDescent="0.25">
      <c r="A446" t="s">
        <v>1335</v>
      </c>
      <c r="B446">
        <v>202005</v>
      </c>
      <c r="C446" t="s">
        <v>4</v>
      </c>
      <c r="D446" t="s">
        <v>265</v>
      </c>
      <c r="E446">
        <v>115</v>
      </c>
      <c r="F446">
        <v>0</v>
      </c>
      <c r="G446" s="2">
        <v>17.2</v>
      </c>
      <c r="H446">
        <v>0</v>
      </c>
      <c r="K446" t="s">
        <v>229</v>
      </c>
      <c r="L446">
        <v>7</v>
      </c>
      <c r="M446">
        <v>0</v>
      </c>
      <c r="N446" t="s">
        <v>259</v>
      </c>
      <c r="O446" t="s">
        <v>1336</v>
      </c>
      <c r="P446">
        <v>12</v>
      </c>
      <c r="Q44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2C191230</v>
      </c>
      <c r="R446" t="s">
        <v>644</v>
      </c>
      <c r="S44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47" spans="1:20" x14ac:dyDescent="0.25">
      <c r="A447" t="s">
        <v>1335</v>
      </c>
      <c r="B447">
        <v>202005</v>
      </c>
      <c r="C447" t="s">
        <v>5</v>
      </c>
      <c r="D447" t="s">
        <v>59</v>
      </c>
      <c r="E447">
        <v>8.56</v>
      </c>
      <c r="F447">
        <v>0</v>
      </c>
      <c r="G447" s="2">
        <v>7.6</v>
      </c>
      <c r="H447">
        <v>0</v>
      </c>
      <c r="K447" t="s">
        <v>229</v>
      </c>
      <c r="L447">
        <v>7</v>
      </c>
      <c r="M447">
        <v>0</v>
      </c>
      <c r="N447" t="s">
        <v>259</v>
      </c>
      <c r="O447" t="s">
        <v>1336</v>
      </c>
      <c r="P447">
        <v>12</v>
      </c>
      <c r="Q44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2C191231</v>
      </c>
      <c r="R447" t="s">
        <v>644</v>
      </c>
      <c r="S44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48" spans="1:20" x14ac:dyDescent="0.25">
      <c r="A448" t="s">
        <v>1335</v>
      </c>
      <c r="B448">
        <v>202005</v>
      </c>
      <c r="C448" t="s">
        <v>6</v>
      </c>
      <c r="D448" t="s">
        <v>60</v>
      </c>
      <c r="E448">
        <v>50</v>
      </c>
      <c r="F448">
        <v>0</v>
      </c>
      <c r="G448" s="2">
        <v>16.2</v>
      </c>
      <c r="H448">
        <v>0</v>
      </c>
      <c r="I448">
        <v>1570</v>
      </c>
      <c r="K448" t="s">
        <v>229</v>
      </c>
      <c r="L448">
        <v>7</v>
      </c>
      <c r="M448">
        <v>0</v>
      </c>
      <c r="N448" t="s">
        <v>259</v>
      </c>
      <c r="O448" t="s">
        <v>1336</v>
      </c>
      <c r="P448">
        <v>12</v>
      </c>
      <c r="Q44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2C191245</v>
      </c>
      <c r="R448" t="s">
        <v>644</v>
      </c>
      <c r="S44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49" spans="1:20" x14ac:dyDescent="0.25">
      <c r="A449" t="s">
        <v>1335</v>
      </c>
      <c r="B449">
        <v>202005</v>
      </c>
      <c r="C449" t="s">
        <v>56</v>
      </c>
      <c r="D449" t="s">
        <v>246</v>
      </c>
      <c r="E449">
        <v>0</v>
      </c>
      <c r="F449">
        <v>0</v>
      </c>
      <c r="G449" s="2">
        <v>0.4</v>
      </c>
      <c r="H449">
        <v>0</v>
      </c>
      <c r="K449" t="s">
        <v>229</v>
      </c>
      <c r="L449">
        <v>8</v>
      </c>
      <c r="M449">
        <v>0</v>
      </c>
      <c r="O449" t="s">
        <v>1336</v>
      </c>
      <c r="P449">
        <v>12</v>
      </c>
      <c r="Q44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2C198999</v>
      </c>
      <c r="R449" t="s">
        <v>644</v>
      </c>
      <c r="S44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450" spans="1:20" x14ac:dyDescent="0.25">
      <c r="A450" t="s">
        <v>1337</v>
      </c>
      <c r="B450">
        <v>202005</v>
      </c>
      <c r="C450" t="s">
        <v>141</v>
      </c>
      <c r="D450" t="s">
        <v>262</v>
      </c>
      <c r="E450" s="1020">
        <v>433.66277000000002</v>
      </c>
      <c r="F450">
        <v>0</v>
      </c>
      <c r="G450" s="2">
        <v>100</v>
      </c>
      <c r="H450">
        <v>0</v>
      </c>
      <c r="I450">
        <v>1570</v>
      </c>
      <c r="K450" t="s">
        <v>229</v>
      </c>
      <c r="L450">
        <v>1</v>
      </c>
      <c r="M450">
        <v>0</v>
      </c>
      <c r="N450" t="s">
        <v>259</v>
      </c>
      <c r="O450" t="s">
        <v>1338</v>
      </c>
      <c r="P450">
        <v>12</v>
      </c>
      <c r="Q45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2C201102</v>
      </c>
      <c r="R450" t="s">
        <v>644</v>
      </c>
      <c r="S45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451" spans="1:20" x14ac:dyDescent="0.25">
      <c r="A451" t="s">
        <v>1337</v>
      </c>
      <c r="B451">
        <v>202005</v>
      </c>
      <c r="C451" t="s">
        <v>1329</v>
      </c>
      <c r="D451" t="s">
        <v>1330</v>
      </c>
      <c r="E451">
        <v>752.28772000000004</v>
      </c>
      <c r="F451">
        <v>0</v>
      </c>
      <c r="G451" s="2">
        <v>33.090000000000003</v>
      </c>
      <c r="H451">
        <v>0</v>
      </c>
      <c r="K451" t="s">
        <v>229</v>
      </c>
      <c r="L451">
        <v>6</v>
      </c>
      <c r="M451">
        <v>0</v>
      </c>
      <c r="N451" t="s">
        <v>259</v>
      </c>
      <c r="O451" t="s">
        <v>1338</v>
      </c>
      <c r="P451">
        <v>12</v>
      </c>
      <c r="Q45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2C201205</v>
      </c>
      <c r="R451" t="s">
        <v>644</v>
      </c>
      <c r="S45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  <c r="T451" t="s">
        <v>151</v>
      </c>
    </row>
    <row r="452" spans="1:20" x14ac:dyDescent="0.25">
      <c r="A452" t="s">
        <v>1337</v>
      </c>
      <c r="B452">
        <v>202005</v>
      </c>
      <c r="C452" t="s">
        <v>142</v>
      </c>
      <c r="D452" t="s">
        <v>263</v>
      </c>
      <c r="E452">
        <v>330</v>
      </c>
      <c r="F452">
        <v>0</v>
      </c>
      <c r="G452" s="2">
        <v>8.9730000000000008</v>
      </c>
      <c r="H452">
        <v>0</v>
      </c>
      <c r="K452" t="s">
        <v>229</v>
      </c>
      <c r="L452">
        <v>7</v>
      </c>
      <c r="M452">
        <v>0</v>
      </c>
      <c r="N452" t="s">
        <v>259</v>
      </c>
      <c r="O452" t="s">
        <v>1338</v>
      </c>
      <c r="P452">
        <v>12</v>
      </c>
      <c r="Q45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2C201194</v>
      </c>
      <c r="R452" t="s">
        <v>644</v>
      </c>
      <c r="S45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53" spans="1:20" x14ac:dyDescent="0.25">
      <c r="A453" t="s">
        <v>1337</v>
      </c>
      <c r="B453">
        <v>202005</v>
      </c>
      <c r="C453" t="s">
        <v>151</v>
      </c>
      <c r="D453" t="s">
        <v>209</v>
      </c>
      <c r="E453">
        <v>350</v>
      </c>
      <c r="F453">
        <v>0</v>
      </c>
      <c r="G453" s="2">
        <v>12.43</v>
      </c>
      <c r="H453">
        <v>0</v>
      </c>
      <c r="K453" t="s">
        <v>229</v>
      </c>
      <c r="L453">
        <v>7</v>
      </c>
      <c r="M453">
        <v>0</v>
      </c>
      <c r="N453" t="s">
        <v>259</v>
      </c>
      <c r="O453" t="s">
        <v>1338</v>
      </c>
      <c r="P453">
        <v>12</v>
      </c>
      <c r="Q45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2C201224</v>
      </c>
      <c r="R453" t="s">
        <v>644</v>
      </c>
      <c r="S45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54" spans="1:20" x14ac:dyDescent="0.25">
      <c r="A454" t="s">
        <v>1337</v>
      </c>
      <c r="B454">
        <v>202005</v>
      </c>
      <c r="C454" t="s">
        <v>3</v>
      </c>
      <c r="D454" t="s">
        <v>58</v>
      </c>
      <c r="E454">
        <v>275</v>
      </c>
      <c r="F454">
        <v>0</v>
      </c>
      <c r="G454" s="2">
        <v>1.67</v>
      </c>
      <c r="H454">
        <v>0</v>
      </c>
      <c r="K454" t="s">
        <v>229</v>
      </c>
      <c r="L454">
        <v>7</v>
      </c>
      <c r="M454">
        <v>0</v>
      </c>
      <c r="N454" t="s">
        <v>259</v>
      </c>
      <c r="O454" t="s">
        <v>1338</v>
      </c>
      <c r="P454">
        <v>12</v>
      </c>
      <c r="Q45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2C201229</v>
      </c>
      <c r="R454" t="s">
        <v>644</v>
      </c>
      <c r="S45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55" spans="1:20" x14ac:dyDescent="0.25">
      <c r="A455" t="s">
        <v>1337</v>
      </c>
      <c r="B455">
        <v>202005</v>
      </c>
      <c r="C455" t="s">
        <v>4</v>
      </c>
      <c r="D455" t="s">
        <v>265</v>
      </c>
      <c r="E455">
        <v>115</v>
      </c>
      <c r="F455">
        <v>0</v>
      </c>
      <c r="G455" s="2">
        <v>14.66</v>
      </c>
      <c r="H455">
        <v>0</v>
      </c>
      <c r="K455" t="s">
        <v>229</v>
      </c>
      <c r="L455">
        <v>7</v>
      </c>
      <c r="M455">
        <v>0</v>
      </c>
      <c r="N455" t="s">
        <v>259</v>
      </c>
      <c r="O455" t="s">
        <v>1338</v>
      </c>
      <c r="P455">
        <v>12</v>
      </c>
      <c r="Q45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2C201230</v>
      </c>
      <c r="R455" t="s">
        <v>644</v>
      </c>
      <c r="S45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56" spans="1:20" x14ac:dyDescent="0.25">
      <c r="A456" t="s">
        <v>1337</v>
      </c>
      <c r="B456">
        <v>202005</v>
      </c>
      <c r="C456" t="s">
        <v>5</v>
      </c>
      <c r="D456" t="s">
        <v>59</v>
      </c>
      <c r="E456">
        <v>8.56</v>
      </c>
      <c r="F456">
        <v>0</v>
      </c>
      <c r="G456" s="2">
        <v>12.237</v>
      </c>
      <c r="H456">
        <v>0</v>
      </c>
      <c r="K456" t="s">
        <v>229</v>
      </c>
      <c r="L456">
        <v>7</v>
      </c>
      <c r="M456">
        <v>0</v>
      </c>
      <c r="N456" t="s">
        <v>259</v>
      </c>
      <c r="O456" t="s">
        <v>1338</v>
      </c>
      <c r="P456">
        <v>12</v>
      </c>
      <c r="Q45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2C201231</v>
      </c>
      <c r="R456" t="s">
        <v>644</v>
      </c>
      <c r="S45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57" spans="1:20" x14ac:dyDescent="0.25">
      <c r="A457" t="s">
        <v>1337</v>
      </c>
      <c r="B457">
        <v>202005</v>
      </c>
      <c r="C457" t="s">
        <v>6</v>
      </c>
      <c r="D457" t="s">
        <v>60</v>
      </c>
      <c r="E457">
        <v>50</v>
      </c>
      <c r="F457">
        <v>0</v>
      </c>
      <c r="G457" s="2">
        <v>16.54</v>
      </c>
      <c r="H457">
        <v>0</v>
      </c>
      <c r="I457">
        <v>1570</v>
      </c>
      <c r="K457" t="s">
        <v>229</v>
      </c>
      <c r="L457">
        <v>7</v>
      </c>
      <c r="M457">
        <v>0</v>
      </c>
      <c r="N457" t="s">
        <v>259</v>
      </c>
      <c r="O457" t="s">
        <v>1338</v>
      </c>
      <c r="P457">
        <v>12</v>
      </c>
      <c r="Q45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2C201245</v>
      </c>
      <c r="R457" t="s">
        <v>644</v>
      </c>
      <c r="S45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58" spans="1:20" x14ac:dyDescent="0.25">
      <c r="A458" t="s">
        <v>1337</v>
      </c>
      <c r="B458">
        <v>202005</v>
      </c>
      <c r="C458" t="s">
        <v>56</v>
      </c>
      <c r="D458" t="s">
        <v>246</v>
      </c>
      <c r="E458">
        <v>0</v>
      </c>
      <c r="F458">
        <v>0</v>
      </c>
      <c r="G458" s="2">
        <v>0.4</v>
      </c>
      <c r="H458">
        <v>0</v>
      </c>
      <c r="K458" t="s">
        <v>229</v>
      </c>
      <c r="L458">
        <v>8</v>
      </c>
      <c r="M458">
        <v>0</v>
      </c>
      <c r="O458" t="s">
        <v>1338</v>
      </c>
      <c r="P458">
        <v>12</v>
      </c>
      <c r="Q45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2C208999</v>
      </c>
      <c r="R458" t="s">
        <v>644</v>
      </c>
      <c r="S45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459" spans="1:20" x14ac:dyDescent="0.25">
      <c r="A459" t="s">
        <v>115</v>
      </c>
      <c r="B459">
        <v>202005</v>
      </c>
      <c r="C459" t="s">
        <v>141</v>
      </c>
      <c r="D459" t="s">
        <v>262</v>
      </c>
      <c r="E459">
        <v>433.66277000000002</v>
      </c>
      <c r="F459">
        <v>0</v>
      </c>
      <c r="G459" s="2">
        <v>100</v>
      </c>
      <c r="H459">
        <v>0</v>
      </c>
      <c r="I459">
        <v>1570</v>
      </c>
      <c r="K459" t="s">
        <v>229</v>
      </c>
      <c r="L459">
        <v>1</v>
      </c>
      <c r="M459">
        <v>0</v>
      </c>
      <c r="N459" t="s">
        <v>259</v>
      </c>
      <c r="O459" t="s">
        <v>281</v>
      </c>
      <c r="P459">
        <v>12</v>
      </c>
      <c r="Q45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2C211102</v>
      </c>
      <c r="R459" t="s">
        <v>644</v>
      </c>
      <c r="S45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460" spans="1:20" x14ac:dyDescent="0.25">
      <c r="A460" t="s">
        <v>115</v>
      </c>
      <c r="B460">
        <v>202005</v>
      </c>
      <c r="C460" t="s">
        <v>114</v>
      </c>
      <c r="D460" t="s">
        <v>276</v>
      </c>
      <c r="E460" s="1020">
        <v>1053.69</v>
      </c>
      <c r="F460">
        <v>0</v>
      </c>
      <c r="G460" s="2">
        <v>25.91</v>
      </c>
      <c r="H460">
        <v>0</v>
      </c>
      <c r="I460">
        <v>1570</v>
      </c>
      <c r="K460" t="s">
        <v>229</v>
      </c>
      <c r="L460">
        <v>6</v>
      </c>
      <c r="M460">
        <v>0</v>
      </c>
      <c r="N460" t="s">
        <v>259</v>
      </c>
      <c r="O460" t="s">
        <v>281</v>
      </c>
      <c r="P460">
        <v>12</v>
      </c>
      <c r="Q46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2C211191</v>
      </c>
      <c r="R460" t="s">
        <v>644</v>
      </c>
      <c r="S46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  <c r="T460" t="s">
        <v>147</v>
      </c>
    </row>
    <row r="461" spans="1:20" x14ac:dyDescent="0.25">
      <c r="A461" t="s">
        <v>115</v>
      </c>
      <c r="B461">
        <v>202005</v>
      </c>
      <c r="C461" t="s">
        <v>142</v>
      </c>
      <c r="D461" t="s">
        <v>263</v>
      </c>
      <c r="E461">
        <v>330</v>
      </c>
      <c r="F461">
        <v>0</v>
      </c>
      <c r="G461" s="2">
        <v>10.199999999999999</v>
      </c>
      <c r="H461">
        <v>0</v>
      </c>
      <c r="I461">
        <v>1570</v>
      </c>
      <c r="K461" t="s">
        <v>229</v>
      </c>
      <c r="L461">
        <v>7</v>
      </c>
      <c r="M461">
        <v>0</v>
      </c>
      <c r="N461" t="s">
        <v>259</v>
      </c>
      <c r="O461" t="s">
        <v>281</v>
      </c>
      <c r="P461">
        <v>12</v>
      </c>
      <c r="Q46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2C211194</v>
      </c>
      <c r="R461" t="s">
        <v>644</v>
      </c>
      <c r="S46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62" spans="1:20" x14ac:dyDescent="0.25">
      <c r="A462" t="s">
        <v>115</v>
      </c>
      <c r="B462">
        <v>202005</v>
      </c>
      <c r="C462" t="s">
        <v>143</v>
      </c>
      <c r="D462" t="s">
        <v>264</v>
      </c>
      <c r="E462">
        <v>210</v>
      </c>
      <c r="F462">
        <v>0</v>
      </c>
      <c r="G462" s="2">
        <v>7.48</v>
      </c>
      <c r="H462">
        <v>0</v>
      </c>
      <c r="I462">
        <v>1570</v>
      </c>
      <c r="K462" t="s">
        <v>229</v>
      </c>
      <c r="L462">
        <v>7</v>
      </c>
      <c r="M462">
        <v>0</v>
      </c>
      <c r="N462" t="s">
        <v>259</v>
      </c>
      <c r="O462" t="s">
        <v>281</v>
      </c>
      <c r="P462">
        <v>12</v>
      </c>
      <c r="Q46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2C211195</v>
      </c>
      <c r="R462" t="s">
        <v>644</v>
      </c>
      <c r="S46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63" spans="1:20" x14ac:dyDescent="0.25">
      <c r="A463" t="s">
        <v>115</v>
      </c>
      <c r="B463">
        <v>202005</v>
      </c>
      <c r="C463" t="s">
        <v>147</v>
      </c>
      <c r="D463" t="s">
        <v>207</v>
      </c>
      <c r="E463">
        <v>323.2</v>
      </c>
      <c r="F463">
        <v>0</v>
      </c>
      <c r="G463" s="2">
        <v>31.6</v>
      </c>
      <c r="H463">
        <v>0</v>
      </c>
      <c r="I463">
        <v>1570</v>
      </c>
      <c r="K463" t="s">
        <v>229</v>
      </c>
      <c r="L463">
        <v>7</v>
      </c>
      <c r="M463">
        <v>0</v>
      </c>
      <c r="N463" t="s">
        <v>259</v>
      </c>
      <c r="O463" t="s">
        <v>281</v>
      </c>
      <c r="P463">
        <v>12</v>
      </c>
      <c r="Q46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2C211222</v>
      </c>
      <c r="R463" t="s">
        <v>644</v>
      </c>
      <c r="S46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64" spans="1:20" x14ac:dyDescent="0.25">
      <c r="A464" t="s">
        <v>115</v>
      </c>
      <c r="B464">
        <v>202005</v>
      </c>
      <c r="C464" t="s">
        <v>3</v>
      </c>
      <c r="D464" t="s">
        <v>58</v>
      </c>
      <c r="E464">
        <v>275</v>
      </c>
      <c r="F464">
        <v>0</v>
      </c>
      <c r="G464" s="2">
        <v>1.1599999999999999</v>
      </c>
      <c r="H464">
        <v>0</v>
      </c>
      <c r="I464">
        <v>1570</v>
      </c>
      <c r="K464" t="s">
        <v>229</v>
      </c>
      <c r="L464">
        <v>7</v>
      </c>
      <c r="M464">
        <v>0</v>
      </c>
      <c r="N464" t="s">
        <v>259</v>
      </c>
      <c r="O464" t="s">
        <v>281</v>
      </c>
      <c r="P464">
        <v>12</v>
      </c>
      <c r="Q46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2C211229</v>
      </c>
      <c r="R464" t="s">
        <v>644</v>
      </c>
      <c r="S46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65" spans="1:20" x14ac:dyDescent="0.25">
      <c r="A465" t="s">
        <v>115</v>
      </c>
      <c r="B465">
        <v>202005</v>
      </c>
      <c r="C465" t="s">
        <v>4</v>
      </c>
      <c r="D465" t="s">
        <v>265</v>
      </c>
      <c r="E465">
        <v>115</v>
      </c>
      <c r="F465">
        <v>0</v>
      </c>
      <c r="G465" s="2">
        <v>4.49</v>
      </c>
      <c r="H465">
        <v>0</v>
      </c>
      <c r="I465">
        <v>1570</v>
      </c>
      <c r="K465" t="s">
        <v>229</v>
      </c>
      <c r="L465">
        <v>7</v>
      </c>
      <c r="M465">
        <v>0</v>
      </c>
      <c r="N465" t="s">
        <v>259</v>
      </c>
      <c r="O465" t="s">
        <v>281</v>
      </c>
      <c r="P465">
        <v>12</v>
      </c>
      <c r="Q46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2C211230</v>
      </c>
      <c r="R465" t="s">
        <v>644</v>
      </c>
      <c r="S46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66" spans="1:20" x14ac:dyDescent="0.25">
      <c r="A466" t="s">
        <v>115</v>
      </c>
      <c r="B466">
        <v>202005</v>
      </c>
      <c r="C466" t="s">
        <v>6</v>
      </c>
      <c r="D466" t="s">
        <v>60</v>
      </c>
      <c r="E466">
        <v>50</v>
      </c>
      <c r="F466">
        <v>0</v>
      </c>
      <c r="G466" s="2">
        <v>11.17</v>
      </c>
      <c r="H466">
        <v>0</v>
      </c>
      <c r="I466">
        <v>1570</v>
      </c>
      <c r="K466" t="s">
        <v>229</v>
      </c>
      <c r="L466">
        <v>7</v>
      </c>
      <c r="M466">
        <v>0</v>
      </c>
      <c r="N466" t="s">
        <v>259</v>
      </c>
      <c r="O466" t="s">
        <v>281</v>
      </c>
      <c r="P466">
        <v>12</v>
      </c>
      <c r="Q46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2C211245</v>
      </c>
      <c r="R466" t="s">
        <v>644</v>
      </c>
      <c r="S46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67" spans="1:20" x14ac:dyDescent="0.25">
      <c r="A467" t="s">
        <v>115</v>
      </c>
      <c r="B467">
        <v>202005</v>
      </c>
      <c r="C467" t="s">
        <v>260</v>
      </c>
      <c r="D467" t="s">
        <v>261</v>
      </c>
      <c r="E467">
        <v>50</v>
      </c>
      <c r="F467">
        <v>0</v>
      </c>
      <c r="G467" s="2">
        <v>7.87</v>
      </c>
      <c r="H467">
        <v>0</v>
      </c>
      <c r="I467">
        <v>1570</v>
      </c>
      <c r="K467" t="s">
        <v>229</v>
      </c>
      <c r="L467">
        <v>7</v>
      </c>
      <c r="M467">
        <v>0</v>
      </c>
      <c r="N467" t="s">
        <v>259</v>
      </c>
      <c r="O467" t="s">
        <v>281</v>
      </c>
      <c r="P467">
        <v>12</v>
      </c>
      <c r="Q46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2C211334</v>
      </c>
      <c r="R467" t="s">
        <v>644</v>
      </c>
      <c r="S46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68" spans="1:20" x14ac:dyDescent="0.25">
      <c r="A468" t="s">
        <v>115</v>
      </c>
      <c r="B468">
        <v>202005</v>
      </c>
      <c r="C468" t="s">
        <v>56</v>
      </c>
      <c r="D468" t="s">
        <v>246</v>
      </c>
      <c r="E468">
        <v>0</v>
      </c>
      <c r="F468">
        <v>0</v>
      </c>
      <c r="G468" s="2">
        <v>0.06</v>
      </c>
      <c r="H468">
        <v>0</v>
      </c>
      <c r="K468" t="s">
        <v>229</v>
      </c>
      <c r="L468">
        <v>8</v>
      </c>
      <c r="M468">
        <v>0</v>
      </c>
      <c r="O468" t="s">
        <v>281</v>
      </c>
      <c r="P468">
        <v>12</v>
      </c>
      <c r="Q46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2C218999</v>
      </c>
      <c r="R468" t="s">
        <v>644</v>
      </c>
      <c r="S46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469" spans="1:20" x14ac:dyDescent="0.25">
      <c r="A469" t="s">
        <v>116</v>
      </c>
      <c r="B469">
        <v>202005</v>
      </c>
      <c r="C469" t="s">
        <v>141</v>
      </c>
      <c r="D469" t="s">
        <v>262</v>
      </c>
      <c r="E469">
        <v>433.66277000000002</v>
      </c>
      <c r="F469">
        <v>0</v>
      </c>
      <c r="G469" s="2">
        <v>100</v>
      </c>
      <c r="H469">
        <v>0</v>
      </c>
      <c r="I469">
        <v>1570</v>
      </c>
      <c r="K469" t="s">
        <v>229</v>
      </c>
      <c r="L469">
        <v>1</v>
      </c>
      <c r="M469">
        <v>0</v>
      </c>
      <c r="N469" t="s">
        <v>259</v>
      </c>
      <c r="O469" t="s">
        <v>282</v>
      </c>
      <c r="P469">
        <v>12</v>
      </c>
      <c r="Q46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2C221102</v>
      </c>
      <c r="R469" t="s">
        <v>644</v>
      </c>
      <c r="S46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470" spans="1:20" x14ac:dyDescent="0.25">
      <c r="A470" t="s">
        <v>116</v>
      </c>
      <c r="B470">
        <v>202005</v>
      </c>
      <c r="C470" t="s">
        <v>114</v>
      </c>
      <c r="D470" t="s">
        <v>276</v>
      </c>
      <c r="E470" s="1020">
        <v>1053.69</v>
      </c>
      <c r="F470">
        <v>0</v>
      </c>
      <c r="G470" s="2">
        <v>25.83</v>
      </c>
      <c r="H470">
        <v>0</v>
      </c>
      <c r="I470">
        <v>1570</v>
      </c>
      <c r="K470" t="s">
        <v>229</v>
      </c>
      <c r="L470">
        <v>6</v>
      </c>
      <c r="M470">
        <v>0</v>
      </c>
      <c r="N470" t="s">
        <v>259</v>
      </c>
      <c r="O470" t="s">
        <v>282</v>
      </c>
      <c r="P470">
        <v>12</v>
      </c>
      <c r="Q47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2C221191</v>
      </c>
      <c r="R470" t="s">
        <v>644</v>
      </c>
      <c r="S47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  <c r="T470" t="s">
        <v>149</v>
      </c>
    </row>
    <row r="471" spans="1:20" x14ac:dyDescent="0.25">
      <c r="A471" t="s">
        <v>116</v>
      </c>
      <c r="B471">
        <v>202005</v>
      </c>
      <c r="C471" t="s">
        <v>143</v>
      </c>
      <c r="D471" t="s">
        <v>264</v>
      </c>
      <c r="E471">
        <v>210</v>
      </c>
      <c r="F471">
        <v>0</v>
      </c>
      <c r="G471" s="2">
        <v>7.33</v>
      </c>
      <c r="H471">
        <v>0</v>
      </c>
      <c r="I471">
        <v>1570</v>
      </c>
      <c r="K471" t="s">
        <v>229</v>
      </c>
      <c r="L471">
        <v>7</v>
      </c>
      <c r="M471">
        <v>0</v>
      </c>
      <c r="N471" t="s">
        <v>259</v>
      </c>
      <c r="O471" t="s">
        <v>282</v>
      </c>
      <c r="P471">
        <v>12</v>
      </c>
      <c r="Q47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2C221195</v>
      </c>
      <c r="R471" t="s">
        <v>644</v>
      </c>
      <c r="S47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72" spans="1:20" x14ac:dyDescent="0.25">
      <c r="A472" t="s">
        <v>116</v>
      </c>
      <c r="B472">
        <v>202005</v>
      </c>
      <c r="C472" t="s">
        <v>149</v>
      </c>
      <c r="D472" t="s">
        <v>206</v>
      </c>
      <c r="E472">
        <v>323.2</v>
      </c>
      <c r="F472">
        <v>0</v>
      </c>
      <c r="G472" s="2">
        <v>39.61</v>
      </c>
      <c r="H472">
        <v>0</v>
      </c>
      <c r="I472">
        <v>1570</v>
      </c>
      <c r="K472" t="s">
        <v>229</v>
      </c>
      <c r="L472">
        <v>7</v>
      </c>
      <c r="M472">
        <v>0</v>
      </c>
      <c r="N472" t="s">
        <v>259</v>
      </c>
      <c r="O472" t="s">
        <v>282</v>
      </c>
      <c r="P472">
        <v>12</v>
      </c>
      <c r="Q47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2C221221</v>
      </c>
      <c r="R472" t="s">
        <v>644</v>
      </c>
      <c r="S47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73" spans="1:20" x14ac:dyDescent="0.25">
      <c r="A473" t="s">
        <v>116</v>
      </c>
      <c r="B473">
        <v>202005</v>
      </c>
      <c r="C473" t="s">
        <v>3</v>
      </c>
      <c r="D473" t="s">
        <v>58</v>
      </c>
      <c r="E473">
        <v>275</v>
      </c>
      <c r="F473">
        <v>0</v>
      </c>
      <c r="G473" s="2">
        <v>1.57</v>
      </c>
      <c r="H473">
        <v>0</v>
      </c>
      <c r="I473">
        <v>1570</v>
      </c>
      <c r="K473" t="s">
        <v>229</v>
      </c>
      <c r="L473">
        <v>7</v>
      </c>
      <c r="M473">
        <v>0</v>
      </c>
      <c r="N473" t="s">
        <v>259</v>
      </c>
      <c r="O473" t="s">
        <v>282</v>
      </c>
      <c r="P473">
        <v>12</v>
      </c>
      <c r="Q47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2C221229</v>
      </c>
      <c r="R473" t="s">
        <v>644</v>
      </c>
      <c r="S47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74" spans="1:20" x14ac:dyDescent="0.25">
      <c r="A474" t="s">
        <v>116</v>
      </c>
      <c r="B474">
        <v>202005</v>
      </c>
      <c r="C474" t="s">
        <v>4</v>
      </c>
      <c r="D474" t="s">
        <v>265</v>
      </c>
      <c r="E474">
        <v>115</v>
      </c>
      <c r="F474">
        <v>0</v>
      </c>
      <c r="G474" s="2">
        <v>6.09</v>
      </c>
      <c r="H474">
        <v>0</v>
      </c>
      <c r="I474">
        <v>1570</v>
      </c>
      <c r="K474" t="s">
        <v>229</v>
      </c>
      <c r="L474">
        <v>7</v>
      </c>
      <c r="M474">
        <v>0</v>
      </c>
      <c r="N474" t="s">
        <v>259</v>
      </c>
      <c r="O474" t="s">
        <v>282</v>
      </c>
      <c r="P474">
        <v>12</v>
      </c>
      <c r="Q47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2C221230</v>
      </c>
      <c r="R474" t="s">
        <v>644</v>
      </c>
      <c r="S47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75" spans="1:20" x14ac:dyDescent="0.25">
      <c r="A475" t="s">
        <v>116</v>
      </c>
      <c r="B475">
        <v>202005</v>
      </c>
      <c r="C475" t="s">
        <v>6</v>
      </c>
      <c r="D475" t="s">
        <v>60</v>
      </c>
      <c r="E475">
        <v>50</v>
      </c>
      <c r="F475">
        <v>0</v>
      </c>
      <c r="G475" s="2">
        <v>11.68</v>
      </c>
      <c r="H475">
        <v>0</v>
      </c>
      <c r="I475">
        <v>1570</v>
      </c>
      <c r="K475" t="s">
        <v>229</v>
      </c>
      <c r="L475">
        <v>7</v>
      </c>
      <c r="M475">
        <v>0</v>
      </c>
      <c r="N475" t="s">
        <v>259</v>
      </c>
      <c r="O475" t="s">
        <v>282</v>
      </c>
      <c r="P475">
        <v>12</v>
      </c>
      <c r="Q47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2C221245</v>
      </c>
      <c r="R475" t="s">
        <v>644</v>
      </c>
      <c r="S47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76" spans="1:20" x14ac:dyDescent="0.25">
      <c r="A476" t="s">
        <v>116</v>
      </c>
      <c r="B476">
        <v>202005</v>
      </c>
      <c r="C476" t="s">
        <v>260</v>
      </c>
      <c r="D476" t="s">
        <v>261</v>
      </c>
      <c r="E476">
        <v>50</v>
      </c>
      <c r="F476">
        <v>0</v>
      </c>
      <c r="G476" s="2">
        <v>7.64</v>
      </c>
      <c r="H476">
        <v>0</v>
      </c>
      <c r="I476">
        <v>1570</v>
      </c>
      <c r="K476" t="s">
        <v>229</v>
      </c>
      <c r="L476">
        <v>7</v>
      </c>
      <c r="M476">
        <v>0</v>
      </c>
      <c r="N476" t="s">
        <v>259</v>
      </c>
      <c r="O476" t="s">
        <v>282</v>
      </c>
      <c r="P476">
        <v>12</v>
      </c>
      <c r="Q47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2C221334</v>
      </c>
      <c r="R476" t="s">
        <v>644</v>
      </c>
      <c r="S47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77" spans="1:20" x14ac:dyDescent="0.25">
      <c r="A477" t="s">
        <v>116</v>
      </c>
      <c r="B477">
        <v>202005</v>
      </c>
      <c r="C477" t="s">
        <v>56</v>
      </c>
      <c r="D477" t="s">
        <v>246</v>
      </c>
      <c r="E477">
        <v>0</v>
      </c>
      <c r="F477">
        <v>0</v>
      </c>
      <c r="G477" s="2">
        <v>0.25</v>
      </c>
      <c r="H477">
        <v>0</v>
      </c>
      <c r="K477" t="s">
        <v>229</v>
      </c>
      <c r="L477">
        <v>8</v>
      </c>
      <c r="M477">
        <v>0</v>
      </c>
      <c r="O477" t="s">
        <v>282</v>
      </c>
      <c r="P477">
        <v>12</v>
      </c>
      <c r="Q47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2C228999</v>
      </c>
      <c r="R477" t="s">
        <v>644</v>
      </c>
      <c r="S47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478" spans="1:20" x14ac:dyDescent="0.25">
      <c r="A478" t="s">
        <v>1339</v>
      </c>
      <c r="B478">
        <v>202005</v>
      </c>
      <c r="C478" t="s">
        <v>141</v>
      </c>
      <c r="D478" t="s">
        <v>262</v>
      </c>
      <c r="E478">
        <v>433.66277000000002</v>
      </c>
      <c r="F478">
        <v>0</v>
      </c>
      <c r="G478" s="2">
        <v>100</v>
      </c>
      <c r="H478">
        <v>0</v>
      </c>
      <c r="I478">
        <v>1570</v>
      </c>
      <c r="K478" t="s">
        <v>229</v>
      </c>
      <c r="L478">
        <v>1</v>
      </c>
      <c r="M478">
        <v>0</v>
      </c>
      <c r="N478" t="s">
        <v>259</v>
      </c>
      <c r="O478" t="s">
        <v>1340</v>
      </c>
      <c r="P478">
        <v>12</v>
      </c>
      <c r="Q47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2C231102</v>
      </c>
      <c r="R478" t="s">
        <v>644</v>
      </c>
      <c r="S47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479" spans="1:20" x14ac:dyDescent="0.25">
      <c r="A479" t="s">
        <v>1339</v>
      </c>
      <c r="B479">
        <v>202005</v>
      </c>
      <c r="C479" t="s">
        <v>114</v>
      </c>
      <c r="D479" t="s">
        <v>276</v>
      </c>
      <c r="E479" s="1020">
        <v>1053.69</v>
      </c>
      <c r="F479">
        <v>0</v>
      </c>
      <c r="G479" s="2">
        <v>32.1</v>
      </c>
      <c r="H479">
        <v>0</v>
      </c>
      <c r="I479">
        <v>1570</v>
      </c>
      <c r="K479" t="s">
        <v>229</v>
      </c>
      <c r="L479">
        <v>6</v>
      </c>
      <c r="M479">
        <v>0</v>
      </c>
      <c r="N479" t="s">
        <v>259</v>
      </c>
      <c r="O479" t="s">
        <v>1340</v>
      </c>
      <c r="P479">
        <v>12</v>
      </c>
      <c r="Q47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2C231191</v>
      </c>
      <c r="R479" t="s">
        <v>644</v>
      </c>
      <c r="S47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  <c r="T479" t="s">
        <v>208</v>
      </c>
    </row>
    <row r="480" spans="1:20" x14ac:dyDescent="0.25">
      <c r="A480" t="s">
        <v>1339</v>
      </c>
      <c r="B480">
        <v>202005</v>
      </c>
      <c r="C480" t="s">
        <v>142</v>
      </c>
      <c r="D480" t="s">
        <v>263</v>
      </c>
      <c r="E480" s="1020">
        <v>330</v>
      </c>
      <c r="F480">
        <v>0</v>
      </c>
      <c r="G480" s="2">
        <v>1.2</v>
      </c>
      <c r="H480">
        <v>0</v>
      </c>
      <c r="I480">
        <v>1570</v>
      </c>
      <c r="K480" t="s">
        <v>229</v>
      </c>
      <c r="L480">
        <v>7</v>
      </c>
      <c r="M480">
        <v>0</v>
      </c>
      <c r="N480" t="s">
        <v>259</v>
      </c>
      <c r="O480" t="s">
        <v>1340</v>
      </c>
      <c r="P480">
        <v>12</v>
      </c>
      <c r="Q48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2C231194</v>
      </c>
      <c r="R480" t="s">
        <v>644</v>
      </c>
      <c r="S48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81" spans="1:20" x14ac:dyDescent="0.25">
      <c r="A481" t="s">
        <v>1339</v>
      </c>
      <c r="B481">
        <v>202005</v>
      </c>
      <c r="C481" t="s">
        <v>143</v>
      </c>
      <c r="D481" t="s">
        <v>264</v>
      </c>
      <c r="E481">
        <v>210</v>
      </c>
      <c r="F481">
        <v>0</v>
      </c>
      <c r="G481" s="2">
        <v>0.6</v>
      </c>
      <c r="H481">
        <v>0</v>
      </c>
      <c r="I481">
        <v>1570</v>
      </c>
      <c r="K481" t="s">
        <v>229</v>
      </c>
      <c r="L481">
        <v>7</v>
      </c>
      <c r="M481">
        <v>0</v>
      </c>
      <c r="N481" t="s">
        <v>259</v>
      </c>
      <c r="O481" t="s">
        <v>1340</v>
      </c>
      <c r="P481">
        <v>12</v>
      </c>
      <c r="Q48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2C231195</v>
      </c>
      <c r="R481" t="s">
        <v>644</v>
      </c>
      <c r="S48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82" spans="1:20" x14ac:dyDescent="0.25">
      <c r="A482" t="s">
        <v>1339</v>
      </c>
      <c r="B482">
        <v>202005</v>
      </c>
      <c r="C482" t="s">
        <v>208</v>
      </c>
      <c r="D482" t="s">
        <v>210</v>
      </c>
      <c r="E482">
        <v>350</v>
      </c>
      <c r="F482">
        <v>0</v>
      </c>
      <c r="G482" s="2">
        <v>23.8</v>
      </c>
      <c r="H482">
        <v>0</v>
      </c>
      <c r="I482">
        <v>1570</v>
      </c>
      <c r="K482" t="s">
        <v>229</v>
      </c>
      <c r="L482">
        <v>7</v>
      </c>
      <c r="M482">
        <v>0</v>
      </c>
      <c r="N482" t="s">
        <v>259</v>
      </c>
      <c r="O482" t="s">
        <v>1340</v>
      </c>
      <c r="P482">
        <v>12</v>
      </c>
      <c r="Q48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2C231223</v>
      </c>
      <c r="R482" t="s">
        <v>644</v>
      </c>
      <c r="S48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83" spans="1:20" x14ac:dyDescent="0.25">
      <c r="A483" t="s">
        <v>1339</v>
      </c>
      <c r="B483">
        <v>202005</v>
      </c>
      <c r="C483" t="s">
        <v>3</v>
      </c>
      <c r="D483" t="s">
        <v>58</v>
      </c>
      <c r="E483">
        <v>275</v>
      </c>
      <c r="F483">
        <v>0</v>
      </c>
      <c r="G483" s="2">
        <v>1.8</v>
      </c>
      <c r="H483">
        <v>0</v>
      </c>
      <c r="I483">
        <v>1570</v>
      </c>
      <c r="K483" t="s">
        <v>229</v>
      </c>
      <c r="L483">
        <v>7</v>
      </c>
      <c r="M483">
        <v>0</v>
      </c>
      <c r="N483" t="s">
        <v>259</v>
      </c>
      <c r="O483" t="s">
        <v>1340</v>
      </c>
      <c r="P483">
        <v>12</v>
      </c>
      <c r="Q48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2C231229</v>
      </c>
      <c r="R483" t="s">
        <v>644</v>
      </c>
      <c r="S48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84" spans="1:20" x14ac:dyDescent="0.25">
      <c r="A484" t="s">
        <v>1339</v>
      </c>
      <c r="B484">
        <v>202005</v>
      </c>
      <c r="C484" t="s">
        <v>4</v>
      </c>
      <c r="D484" t="s">
        <v>265</v>
      </c>
      <c r="E484">
        <v>115</v>
      </c>
      <c r="F484">
        <v>0</v>
      </c>
      <c r="G484" s="2">
        <v>9</v>
      </c>
      <c r="H484">
        <v>0</v>
      </c>
      <c r="I484">
        <v>1570</v>
      </c>
      <c r="K484" t="s">
        <v>229</v>
      </c>
      <c r="L484">
        <v>7</v>
      </c>
      <c r="M484">
        <v>0</v>
      </c>
      <c r="N484" t="s">
        <v>259</v>
      </c>
      <c r="O484" t="s">
        <v>1340</v>
      </c>
      <c r="P484">
        <v>12</v>
      </c>
      <c r="Q48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2C231230</v>
      </c>
      <c r="R484" t="s">
        <v>644</v>
      </c>
      <c r="S48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85" spans="1:20" x14ac:dyDescent="0.25">
      <c r="A485" t="s">
        <v>1339</v>
      </c>
      <c r="B485">
        <v>202005</v>
      </c>
      <c r="C485" t="s">
        <v>5</v>
      </c>
      <c r="D485" t="s">
        <v>59</v>
      </c>
      <c r="E485">
        <v>8.56</v>
      </c>
      <c r="F485">
        <v>0</v>
      </c>
      <c r="G485" s="2">
        <v>9.6999999999999993</v>
      </c>
      <c r="H485">
        <v>0</v>
      </c>
      <c r="I485">
        <v>1570</v>
      </c>
      <c r="K485" t="s">
        <v>229</v>
      </c>
      <c r="L485">
        <v>7</v>
      </c>
      <c r="M485">
        <v>0</v>
      </c>
      <c r="N485" t="s">
        <v>259</v>
      </c>
      <c r="O485" t="s">
        <v>1340</v>
      </c>
      <c r="P485">
        <v>12</v>
      </c>
      <c r="Q48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2C231231</v>
      </c>
      <c r="R485" t="s">
        <v>644</v>
      </c>
      <c r="S48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86" spans="1:20" x14ac:dyDescent="0.25">
      <c r="A486" t="s">
        <v>1339</v>
      </c>
      <c r="B486">
        <v>202005</v>
      </c>
      <c r="C486" t="s">
        <v>6</v>
      </c>
      <c r="D486" t="s">
        <v>60</v>
      </c>
      <c r="E486">
        <v>50</v>
      </c>
      <c r="F486">
        <v>0</v>
      </c>
      <c r="G486" s="2">
        <v>21.6</v>
      </c>
      <c r="H486">
        <v>0</v>
      </c>
      <c r="I486">
        <v>1570</v>
      </c>
      <c r="K486" t="s">
        <v>229</v>
      </c>
      <c r="L486">
        <v>7</v>
      </c>
      <c r="M486">
        <v>0</v>
      </c>
      <c r="N486" t="s">
        <v>259</v>
      </c>
      <c r="O486" t="s">
        <v>1340</v>
      </c>
      <c r="P486">
        <v>12</v>
      </c>
      <c r="Q48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2C231245</v>
      </c>
      <c r="R486" t="s">
        <v>644</v>
      </c>
      <c r="S48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87" spans="1:20" x14ac:dyDescent="0.25">
      <c r="A487" t="s">
        <v>1339</v>
      </c>
      <c r="B487">
        <v>202005</v>
      </c>
      <c r="C487" t="s">
        <v>56</v>
      </c>
      <c r="D487" t="s">
        <v>246</v>
      </c>
      <c r="E487">
        <v>0</v>
      </c>
      <c r="F487">
        <v>0</v>
      </c>
      <c r="G487" s="2">
        <v>0</v>
      </c>
      <c r="H487">
        <v>0</v>
      </c>
      <c r="K487" t="s">
        <v>229</v>
      </c>
      <c r="L487">
        <v>8</v>
      </c>
      <c r="M487">
        <v>0</v>
      </c>
      <c r="O487" t="s">
        <v>1340</v>
      </c>
      <c r="P487">
        <v>12</v>
      </c>
      <c r="Q48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2C238999</v>
      </c>
      <c r="R487" t="s">
        <v>644</v>
      </c>
      <c r="S48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488" spans="1:20" x14ac:dyDescent="0.25">
      <c r="A488" t="s">
        <v>117</v>
      </c>
      <c r="B488">
        <v>202005</v>
      </c>
      <c r="C488" t="s">
        <v>141</v>
      </c>
      <c r="D488" t="s">
        <v>262</v>
      </c>
      <c r="E488">
        <v>433.66277000000002</v>
      </c>
      <c r="F488">
        <v>0</v>
      </c>
      <c r="G488" s="2">
        <v>100</v>
      </c>
      <c r="H488">
        <v>0</v>
      </c>
      <c r="I488">
        <v>1570</v>
      </c>
      <c r="K488" t="s">
        <v>229</v>
      </c>
      <c r="L488">
        <v>1</v>
      </c>
      <c r="M488">
        <v>0</v>
      </c>
      <c r="N488" t="s">
        <v>259</v>
      </c>
      <c r="O488" t="s">
        <v>283</v>
      </c>
      <c r="P488">
        <v>12</v>
      </c>
      <c r="Q48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2C241102</v>
      </c>
      <c r="R488" t="s">
        <v>644</v>
      </c>
      <c r="S48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489" spans="1:20" x14ac:dyDescent="0.25">
      <c r="A489" t="s">
        <v>117</v>
      </c>
      <c r="B489">
        <v>202005</v>
      </c>
      <c r="C489" t="s">
        <v>114</v>
      </c>
      <c r="D489" t="s">
        <v>276</v>
      </c>
      <c r="E489" s="1020">
        <v>1053.69</v>
      </c>
      <c r="F489">
        <v>0</v>
      </c>
      <c r="G489" s="2">
        <v>26.03</v>
      </c>
      <c r="H489">
        <v>0</v>
      </c>
      <c r="I489">
        <v>1570</v>
      </c>
      <c r="K489" t="s">
        <v>229</v>
      </c>
      <c r="L489">
        <v>6</v>
      </c>
      <c r="M489">
        <v>0</v>
      </c>
      <c r="N489" t="s">
        <v>259</v>
      </c>
      <c r="O489" t="s">
        <v>283</v>
      </c>
      <c r="P489">
        <v>12</v>
      </c>
      <c r="Q48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2C241191</v>
      </c>
      <c r="R489" t="s">
        <v>644</v>
      </c>
      <c r="S48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  <c r="T489" t="s">
        <v>151</v>
      </c>
    </row>
    <row r="490" spans="1:20" x14ac:dyDescent="0.25">
      <c r="A490" t="s">
        <v>117</v>
      </c>
      <c r="B490">
        <v>202005</v>
      </c>
      <c r="C490" t="s">
        <v>142</v>
      </c>
      <c r="D490" t="s">
        <v>263</v>
      </c>
      <c r="E490">
        <v>330</v>
      </c>
      <c r="F490">
        <v>0</v>
      </c>
      <c r="G490" s="2">
        <v>10.47</v>
      </c>
      <c r="H490">
        <v>0</v>
      </c>
      <c r="I490">
        <v>1570</v>
      </c>
      <c r="K490" t="s">
        <v>229</v>
      </c>
      <c r="L490">
        <v>7</v>
      </c>
      <c r="M490">
        <v>0</v>
      </c>
      <c r="N490" t="s">
        <v>259</v>
      </c>
      <c r="O490" t="s">
        <v>283</v>
      </c>
      <c r="P490">
        <v>12</v>
      </c>
      <c r="Q49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2C241194</v>
      </c>
      <c r="R490" t="s">
        <v>644</v>
      </c>
      <c r="S49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91" spans="1:20" x14ac:dyDescent="0.25">
      <c r="A491" t="s">
        <v>117</v>
      </c>
      <c r="B491">
        <v>202005</v>
      </c>
      <c r="C491" t="s">
        <v>143</v>
      </c>
      <c r="D491" t="s">
        <v>264</v>
      </c>
      <c r="E491">
        <v>210</v>
      </c>
      <c r="F491">
        <v>0</v>
      </c>
      <c r="G491" s="2">
        <v>7.54</v>
      </c>
      <c r="H491">
        <v>0</v>
      </c>
      <c r="I491">
        <v>1570</v>
      </c>
      <c r="K491" t="s">
        <v>229</v>
      </c>
      <c r="L491">
        <v>7</v>
      </c>
      <c r="M491">
        <v>0</v>
      </c>
      <c r="N491" t="s">
        <v>259</v>
      </c>
      <c r="O491" t="s">
        <v>283</v>
      </c>
      <c r="P491">
        <v>12</v>
      </c>
      <c r="Q49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2C241195</v>
      </c>
      <c r="R491" t="s">
        <v>644</v>
      </c>
      <c r="S49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92" spans="1:20" x14ac:dyDescent="0.25">
      <c r="A492" t="s">
        <v>117</v>
      </c>
      <c r="B492">
        <v>202005</v>
      </c>
      <c r="C492" t="s">
        <v>151</v>
      </c>
      <c r="D492" t="s">
        <v>209</v>
      </c>
      <c r="E492">
        <v>350</v>
      </c>
      <c r="F492">
        <v>0</v>
      </c>
      <c r="G492" s="2">
        <v>25.26</v>
      </c>
      <c r="H492">
        <v>0</v>
      </c>
      <c r="I492">
        <v>1570</v>
      </c>
      <c r="K492" t="s">
        <v>229</v>
      </c>
      <c r="L492">
        <v>7</v>
      </c>
      <c r="M492">
        <v>0</v>
      </c>
      <c r="N492" t="s">
        <v>259</v>
      </c>
      <c r="O492" t="s">
        <v>283</v>
      </c>
      <c r="P492">
        <v>12</v>
      </c>
      <c r="Q49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2C241224</v>
      </c>
      <c r="R492" t="s">
        <v>644</v>
      </c>
      <c r="S49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93" spans="1:20" x14ac:dyDescent="0.25">
      <c r="A493" t="s">
        <v>117</v>
      </c>
      <c r="B493">
        <v>202005</v>
      </c>
      <c r="C493" t="s">
        <v>3</v>
      </c>
      <c r="D493" t="s">
        <v>58</v>
      </c>
      <c r="E493">
        <v>275</v>
      </c>
      <c r="F493">
        <v>0</v>
      </c>
      <c r="G493" s="2">
        <v>1.25</v>
      </c>
      <c r="H493">
        <v>0</v>
      </c>
      <c r="I493">
        <v>1570</v>
      </c>
      <c r="K493" t="s">
        <v>229</v>
      </c>
      <c r="L493">
        <v>7</v>
      </c>
      <c r="M493">
        <v>0</v>
      </c>
      <c r="N493" t="s">
        <v>259</v>
      </c>
      <c r="O493" t="s">
        <v>283</v>
      </c>
      <c r="P493">
        <v>12</v>
      </c>
      <c r="Q49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2C241229</v>
      </c>
      <c r="R493" t="s">
        <v>644</v>
      </c>
      <c r="S49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94" spans="1:20" x14ac:dyDescent="0.25">
      <c r="A494" t="s">
        <v>117</v>
      </c>
      <c r="B494">
        <v>202005</v>
      </c>
      <c r="C494" t="s">
        <v>4</v>
      </c>
      <c r="D494" t="s">
        <v>265</v>
      </c>
      <c r="E494">
        <v>115</v>
      </c>
      <c r="F494">
        <v>0</v>
      </c>
      <c r="G494" s="2">
        <v>3.76</v>
      </c>
      <c r="H494">
        <v>0</v>
      </c>
      <c r="I494">
        <v>1570</v>
      </c>
      <c r="K494" t="s">
        <v>229</v>
      </c>
      <c r="L494">
        <v>7</v>
      </c>
      <c r="M494">
        <v>0</v>
      </c>
      <c r="N494" t="s">
        <v>259</v>
      </c>
      <c r="O494" t="s">
        <v>283</v>
      </c>
      <c r="P494">
        <v>12</v>
      </c>
      <c r="Q49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2C241230</v>
      </c>
      <c r="R494" t="s">
        <v>644</v>
      </c>
      <c r="S49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95" spans="1:20" x14ac:dyDescent="0.25">
      <c r="A495" t="s">
        <v>117</v>
      </c>
      <c r="B495">
        <v>202005</v>
      </c>
      <c r="C495" t="s">
        <v>6</v>
      </c>
      <c r="D495" t="s">
        <v>60</v>
      </c>
      <c r="E495">
        <v>50</v>
      </c>
      <c r="F495">
        <v>0</v>
      </c>
      <c r="G495" s="2">
        <v>17.25</v>
      </c>
      <c r="H495">
        <v>0</v>
      </c>
      <c r="I495">
        <v>1570</v>
      </c>
      <c r="K495" t="s">
        <v>229</v>
      </c>
      <c r="L495">
        <v>7</v>
      </c>
      <c r="M495">
        <v>0</v>
      </c>
      <c r="N495" t="s">
        <v>259</v>
      </c>
      <c r="O495" t="s">
        <v>283</v>
      </c>
      <c r="P495">
        <v>12</v>
      </c>
      <c r="Q49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2C241245</v>
      </c>
      <c r="R495" t="s">
        <v>644</v>
      </c>
      <c r="S49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96" spans="1:20" x14ac:dyDescent="0.25">
      <c r="A496" t="s">
        <v>117</v>
      </c>
      <c r="B496">
        <v>202005</v>
      </c>
      <c r="C496" t="s">
        <v>260</v>
      </c>
      <c r="D496" t="s">
        <v>261</v>
      </c>
      <c r="E496">
        <v>50</v>
      </c>
      <c r="F496">
        <v>0</v>
      </c>
      <c r="G496" s="2">
        <v>8.1199999999999992</v>
      </c>
      <c r="H496">
        <v>0</v>
      </c>
      <c r="I496">
        <v>1570</v>
      </c>
      <c r="K496" t="s">
        <v>229</v>
      </c>
      <c r="L496">
        <v>7</v>
      </c>
      <c r="M496">
        <v>0</v>
      </c>
      <c r="N496" t="s">
        <v>259</v>
      </c>
      <c r="O496" t="s">
        <v>283</v>
      </c>
      <c r="P496">
        <v>12</v>
      </c>
      <c r="Q49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2C241334</v>
      </c>
      <c r="R496" t="s">
        <v>644</v>
      </c>
      <c r="S49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497" spans="1:20" x14ac:dyDescent="0.25">
      <c r="A497" t="s">
        <v>117</v>
      </c>
      <c r="B497">
        <v>202005</v>
      </c>
      <c r="C497" t="s">
        <v>56</v>
      </c>
      <c r="D497" t="s">
        <v>246</v>
      </c>
      <c r="E497">
        <v>0</v>
      </c>
      <c r="F497">
        <v>0</v>
      </c>
      <c r="G497" s="2">
        <v>0.31</v>
      </c>
      <c r="H497">
        <v>0</v>
      </c>
      <c r="K497" t="s">
        <v>229</v>
      </c>
      <c r="L497">
        <v>8</v>
      </c>
      <c r="M497">
        <v>0</v>
      </c>
      <c r="O497" t="s">
        <v>283</v>
      </c>
      <c r="P497">
        <v>12</v>
      </c>
      <c r="Q49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2C248999</v>
      </c>
      <c r="R497" t="s">
        <v>644</v>
      </c>
      <c r="S49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498" spans="1:20" x14ac:dyDescent="0.25">
      <c r="A498" t="s">
        <v>133</v>
      </c>
      <c r="B498">
        <v>202005</v>
      </c>
      <c r="C498" t="s">
        <v>141</v>
      </c>
      <c r="D498" t="s">
        <v>262</v>
      </c>
      <c r="E498">
        <v>433.66277000000002</v>
      </c>
      <c r="F498">
        <v>0</v>
      </c>
      <c r="G498" s="2">
        <v>100</v>
      </c>
      <c r="H498">
        <v>0</v>
      </c>
      <c r="I498">
        <v>1570</v>
      </c>
      <c r="K498" t="s">
        <v>229</v>
      </c>
      <c r="L498">
        <v>1</v>
      </c>
      <c r="M498">
        <v>0</v>
      </c>
      <c r="N498" t="s">
        <v>259</v>
      </c>
      <c r="O498" t="s">
        <v>284</v>
      </c>
      <c r="P498">
        <v>12</v>
      </c>
      <c r="Q49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2C251102</v>
      </c>
      <c r="R498" t="s">
        <v>644</v>
      </c>
      <c r="S49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499" spans="1:20" x14ac:dyDescent="0.25">
      <c r="A499" t="s">
        <v>133</v>
      </c>
      <c r="B499">
        <v>202005</v>
      </c>
      <c r="C499" t="s">
        <v>132</v>
      </c>
      <c r="D499" t="s">
        <v>234</v>
      </c>
      <c r="E499">
        <v>981.68124</v>
      </c>
      <c r="F499">
        <v>0</v>
      </c>
      <c r="G499" s="2">
        <v>28.15</v>
      </c>
      <c r="H499">
        <v>0</v>
      </c>
      <c r="I499">
        <v>1570</v>
      </c>
      <c r="K499" t="s">
        <v>229</v>
      </c>
      <c r="L499">
        <v>6</v>
      </c>
      <c r="M499">
        <v>0</v>
      </c>
      <c r="N499" t="s">
        <v>259</v>
      </c>
      <c r="O499" t="s">
        <v>284</v>
      </c>
      <c r="P499">
        <v>12</v>
      </c>
      <c r="Q49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2C251199</v>
      </c>
      <c r="R499" t="s">
        <v>644</v>
      </c>
      <c r="S49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  <c r="T499" t="s">
        <v>147</v>
      </c>
    </row>
    <row r="500" spans="1:20" x14ac:dyDescent="0.25">
      <c r="A500" t="s">
        <v>133</v>
      </c>
      <c r="B500">
        <v>202005</v>
      </c>
      <c r="C500" t="s">
        <v>142</v>
      </c>
      <c r="D500" t="s">
        <v>263</v>
      </c>
      <c r="E500">
        <v>330</v>
      </c>
      <c r="F500">
        <v>0</v>
      </c>
      <c r="G500" s="2">
        <v>9.4</v>
      </c>
      <c r="H500">
        <v>0</v>
      </c>
      <c r="I500">
        <v>1570</v>
      </c>
      <c r="K500" t="s">
        <v>229</v>
      </c>
      <c r="L500">
        <v>7</v>
      </c>
      <c r="M500">
        <v>0</v>
      </c>
      <c r="N500" t="s">
        <v>259</v>
      </c>
      <c r="O500" t="s">
        <v>284</v>
      </c>
      <c r="P500">
        <v>12</v>
      </c>
      <c r="Q50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2C251194</v>
      </c>
      <c r="R500" t="s">
        <v>644</v>
      </c>
      <c r="S50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01" spans="1:20" x14ac:dyDescent="0.25">
      <c r="A501" t="s">
        <v>133</v>
      </c>
      <c r="B501">
        <v>202005</v>
      </c>
      <c r="C501" t="s">
        <v>143</v>
      </c>
      <c r="D501" t="s">
        <v>264</v>
      </c>
      <c r="E501">
        <v>210</v>
      </c>
      <c r="F501">
        <v>0</v>
      </c>
      <c r="G501" s="2">
        <v>8.7899999999999991</v>
      </c>
      <c r="H501">
        <v>0</v>
      </c>
      <c r="I501">
        <v>1570</v>
      </c>
      <c r="K501" t="s">
        <v>229</v>
      </c>
      <c r="L501">
        <v>7</v>
      </c>
      <c r="M501">
        <v>0</v>
      </c>
      <c r="N501" t="s">
        <v>259</v>
      </c>
      <c r="O501" t="s">
        <v>284</v>
      </c>
      <c r="P501">
        <v>12</v>
      </c>
      <c r="Q50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2C251195</v>
      </c>
      <c r="R501" t="s">
        <v>644</v>
      </c>
      <c r="S50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02" spans="1:20" x14ac:dyDescent="0.25">
      <c r="A502" t="s">
        <v>133</v>
      </c>
      <c r="B502">
        <v>202005</v>
      </c>
      <c r="C502" t="s">
        <v>147</v>
      </c>
      <c r="D502" t="s">
        <v>207</v>
      </c>
      <c r="E502">
        <v>323.2</v>
      </c>
      <c r="F502">
        <v>0</v>
      </c>
      <c r="G502" s="2">
        <v>30.42</v>
      </c>
      <c r="H502">
        <v>0</v>
      </c>
      <c r="I502">
        <v>1570</v>
      </c>
      <c r="K502" t="s">
        <v>229</v>
      </c>
      <c r="L502">
        <v>7</v>
      </c>
      <c r="M502">
        <v>0</v>
      </c>
      <c r="N502" t="s">
        <v>259</v>
      </c>
      <c r="O502" t="s">
        <v>284</v>
      </c>
      <c r="P502">
        <v>12</v>
      </c>
      <c r="Q50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2C251222</v>
      </c>
      <c r="R502" t="s">
        <v>644</v>
      </c>
      <c r="S50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03" spans="1:20" x14ac:dyDescent="0.25">
      <c r="A503" t="s">
        <v>133</v>
      </c>
      <c r="B503">
        <v>202005</v>
      </c>
      <c r="C503" t="s">
        <v>3</v>
      </c>
      <c r="D503" t="s">
        <v>58</v>
      </c>
      <c r="E503">
        <v>275</v>
      </c>
      <c r="F503">
        <v>0</v>
      </c>
      <c r="G503" s="2">
        <v>1.49</v>
      </c>
      <c r="H503">
        <v>0</v>
      </c>
      <c r="I503">
        <v>1570</v>
      </c>
      <c r="K503" t="s">
        <v>229</v>
      </c>
      <c r="L503">
        <v>7</v>
      </c>
      <c r="M503">
        <v>0</v>
      </c>
      <c r="N503" t="s">
        <v>259</v>
      </c>
      <c r="O503" t="s">
        <v>284</v>
      </c>
      <c r="P503">
        <v>12</v>
      </c>
      <c r="Q50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2C251229</v>
      </c>
      <c r="R503" t="s">
        <v>644</v>
      </c>
      <c r="S50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04" spans="1:20" x14ac:dyDescent="0.25">
      <c r="A504" t="s">
        <v>133</v>
      </c>
      <c r="B504">
        <v>202005</v>
      </c>
      <c r="C504" t="s">
        <v>4</v>
      </c>
      <c r="D504" t="s">
        <v>265</v>
      </c>
      <c r="E504">
        <v>115</v>
      </c>
      <c r="F504">
        <v>0</v>
      </c>
      <c r="G504" s="2">
        <v>6.42</v>
      </c>
      <c r="H504">
        <v>0</v>
      </c>
      <c r="I504">
        <v>1570</v>
      </c>
      <c r="K504" t="s">
        <v>229</v>
      </c>
      <c r="L504">
        <v>7</v>
      </c>
      <c r="M504">
        <v>0</v>
      </c>
      <c r="N504" t="s">
        <v>259</v>
      </c>
      <c r="O504" t="s">
        <v>284</v>
      </c>
      <c r="P504">
        <v>12</v>
      </c>
      <c r="Q50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2C251230</v>
      </c>
      <c r="R504" t="s">
        <v>644</v>
      </c>
      <c r="S50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05" spans="1:20" x14ac:dyDescent="0.25">
      <c r="A505" t="s">
        <v>133</v>
      </c>
      <c r="B505">
        <v>202005</v>
      </c>
      <c r="C505" t="s">
        <v>6</v>
      </c>
      <c r="D505" t="s">
        <v>60</v>
      </c>
      <c r="E505">
        <v>50</v>
      </c>
      <c r="F505">
        <v>0</v>
      </c>
      <c r="G505" s="2">
        <v>7.68</v>
      </c>
      <c r="H505">
        <v>0</v>
      </c>
      <c r="I505">
        <v>1570</v>
      </c>
      <c r="K505" t="s">
        <v>229</v>
      </c>
      <c r="L505">
        <v>7</v>
      </c>
      <c r="M505">
        <v>0</v>
      </c>
      <c r="N505" t="s">
        <v>259</v>
      </c>
      <c r="O505" t="s">
        <v>284</v>
      </c>
      <c r="P505">
        <v>12</v>
      </c>
      <c r="Q50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2C251245</v>
      </c>
      <c r="R505" t="s">
        <v>644</v>
      </c>
      <c r="S50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06" spans="1:20" x14ac:dyDescent="0.25">
      <c r="A506" t="s">
        <v>133</v>
      </c>
      <c r="B506">
        <v>202005</v>
      </c>
      <c r="C506" t="s">
        <v>260</v>
      </c>
      <c r="D506" t="s">
        <v>261</v>
      </c>
      <c r="E506" s="1020">
        <v>50</v>
      </c>
      <c r="F506">
        <v>0</v>
      </c>
      <c r="G506" s="2">
        <v>7.56</v>
      </c>
      <c r="H506">
        <v>0</v>
      </c>
      <c r="I506">
        <v>1570</v>
      </c>
      <c r="K506" t="s">
        <v>229</v>
      </c>
      <c r="L506">
        <v>7</v>
      </c>
      <c r="M506">
        <v>0</v>
      </c>
      <c r="N506" t="s">
        <v>259</v>
      </c>
      <c r="O506" t="s">
        <v>284</v>
      </c>
      <c r="P506">
        <v>12</v>
      </c>
      <c r="Q50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2C251334</v>
      </c>
      <c r="R506" t="s">
        <v>644</v>
      </c>
      <c r="S50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07" spans="1:20" x14ac:dyDescent="0.25">
      <c r="A507" t="s">
        <v>133</v>
      </c>
      <c r="B507">
        <v>202005</v>
      </c>
      <c r="C507" t="s">
        <v>56</v>
      </c>
      <c r="D507" t="s">
        <v>246</v>
      </c>
      <c r="E507">
        <v>0</v>
      </c>
      <c r="F507">
        <v>0</v>
      </c>
      <c r="G507" s="2">
        <v>0.1</v>
      </c>
      <c r="H507">
        <v>0</v>
      </c>
      <c r="K507" t="s">
        <v>229</v>
      </c>
      <c r="L507">
        <v>8</v>
      </c>
      <c r="M507">
        <v>0</v>
      </c>
      <c r="O507" t="s">
        <v>284</v>
      </c>
      <c r="P507">
        <v>12</v>
      </c>
      <c r="Q50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2C258999</v>
      </c>
      <c r="R507" t="s">
        <v>644</v>
      </c>
      <c r="S50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508" spans="1:20" x14ac:dyDescent="0.25">
      <c r="A508" t="s">
        <v>134</v>
      </c>
      <c r="B508">
        <v>202005</v>
      </c>
      <c r="C508" t="s">
        <v>141</v>
      </c>
      <c r="D508" t="s">
        <v>262</v>
      </c>
      <c r="E508">
        <v>433.66277000000002</v>
      </c>
      <c r="F508">
        <v>0</v>
      </c>
      <c r="G508" s="2">
        <v>100</v>
      </c>
      <c r="H508">
        <v>0</v>
      </c>
      <c r="I508">
        <v>1570</v>
      </c>
      <c r="K508" t="s">
        <v>229</v>
      </c>
      <c r="L508">
        <v>1</v>
      </c>
      <c r="M508">
        <v>0</v>
      </c>
      <c r="N508" t="s">
        <v>259</v>
      </c>
      <c r="O508" t="s">
        <v>285</v>
      </c>
      <c r="P508">
        <v>12</v>
      </c>
      <c r="Q50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2C261102</v>
      </c>
      <c r="R508" t="s">
        <v>644</v>
      </c>
      <c r="S50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509" spans="1:20" x14ac:dyDescent="0.25">
      <c r="A509" t="s">
        <v>134</v>
      </c>
      <c r="B509">
        <v>202005</v>
      </c>
      <c r="C509" t="s">
        <v>132</v>
      </c>
      <c r="D509" t="s">
        <v>234</v>
      </c>
      <c r="E509">
        <v>981.68124</v>
      </c>
      <c r="F509">
        <v>0</v>
      </c>
      <c r="G509" s="2">
        <v>28.15</v>
      </c>
      <c r="H509">
        <v>0</v>
      </c>
      <c r="I509">
        <v>1570</v>
      </c>
      <c r="K509" t="s">
        <v>229</v>
      </c>
      <c r="L509">
        <v>6</v>
      </c>
      <c r="M509">
        <v>0</v>
      </c>
      <c r="N509" t="s">
        <v>259</v>
      </c>
      <c r="O509" t="s">
        <v>285</v>
      </c>
      <c r="P509">
        <v>12</v>
      </c>
      <c r="Q50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2C261199</v>
      </c>
      <c r="R509" t="s">
        <v>644</v>
      </c>
      <c r="S50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  <c r="T509" t="s">
        <v>144</v>
      </c>
    </row>
    <row r="510" spans="1:20" x14ac:dyDescent="0.25">
      <c r="A510" t="s">
        <v>134</v>
      </c>
      <c r="B510">
        <v>202005</v>
      </c>
      <c r="C510" t="s">
        <v>142</v>
      </c>
      <c r="D510" t="s">
        <v>263</v>
      </c>
      <c r="E510">
        <v>330</v>
      </c>
      <c r="F510">
        <v>0</v>
      </c>
      <c r="G510" s="2">
        <v>9.4</v>
      </c>
      <c r="H510">
        <v>0</v>
      </c>
      <c r="I510">
        <v>1570</v>
      </c>
      <c r="K510" t="s">
        <v>229</v>
      </c>
      <c r="L510">
        <v>7</v>
      </c>
      <c r="M510">
        <v>0</v>
      </c>
      <c r="N510" t="s">
        <v>259</v>
      </c>
      <c r="O510" t="s">
        <v>285</v>
      </c>
      <c r="P510">
        <v>12</v>
      </c>
      <c r="Q51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2C261194</v>
      </c>
      <c r="R510" t="s">
        <v>644</v>
      </c>
      <c r="S51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11" spans="1:20" x14ac:dyDescent="0.25">
      <c r="A511" t="s">
        <v>134</v>
      </c>
      <c r="B511">
        <v>202005</v>
      </c>
      <c r="C511" t="s">
        <v>143</v>
      </c>
      <c r="D511" t="s">
        <v>264</v>
      </c>
      <c r="E511">
        <v>210</v>
      </c>
      <c r="F511">
        <v>0</v>
      </c>
      <c r="G511" s="2">
        <v>8.7899999999999991</v>
      </c>
      <c r="H511">
        <v>0</v>
      </c>
      <c r="I511">
        <v>1570</v>
      </c>
      <c r="K511" t="s">
        <v>229</v>
      </c>
      <c r="L511">
        <v>7</v>
      </c>
      <c r="M511">
        <v>0</v>
      </c>
      <c r="N511" t="s">
        <v>259</v>
      </c>
      <c r="O511" t="s">
        <v>285</v>
      </c>
      <c r="P511">
        <v>12</v>
      </c>
      <c r="Q51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2C261195</v>
      </c>
      <c r="R511" t="s">
        <v>644</v>
      </c>
      <c r="S51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12" spans="1:20" x14ac:dyDescent="0.25">
      <c r="A512" t="s">
        <v>134</v>
      </c>
      <c r="B512">
        <v>202005</v>
      </c>
      <c r="C512" t="s">
        <v>144</v>
      </c>
      <c r="D512" t="s">
        <v>211</v>
      </c>
      <c r="E512">
        <v>350</v>
      </c>
      <c r="F512">
        <v>0</v>
      </c>
      <c r="G512" s="2">
        <v>24.350999999999999</v>
      </c>
      <c r="H512">
        <v>0</v>
      </c>
      <c r="I512">
        <v>1570</v>
      </c>
      <c r="K512" t="s">
        <v>229</v>
      </c>
      <c r="L512">
        <v>7</v>
      </c>
      <c r="M512">
        <v>0</v>
      </c>
      <c r="N512" t="s">
        <v>259</v>
      </c>
      <c r="O512" t="s">
        <v>285</v>
      </c>
      <c r="P512">
        <v>12</v>
      </c>
      <c r="Q51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2C261225</v>
      </c>
      <c r="R512" t="s">
        <v>644</v>
      </c>
      <c r="S51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13" spans="1:20" x14ac:dyDescent="0.25">
      <c r="A513" t="s">
        <v>134</v>
      </c>
      <c r="B513">
        <v>202005</v>
      </c>
      <c r="C513" t="s">
        <v>3</v>
      </c>
      <c r="D513" t="s">
        <v>58</v>
      </c>
      <c r="E513">
        <v>275</v>
      </c>
      <c r="F513">
        <v>0</v>
      </c>
      <c r="G513" s="2">
        <v>1.49</v>
      </c>
      <c r="H513">
        <v>0</v>
      </c>
      <c r="I513">
        <v>1570</v>
      </c>
      <c r="K513" t="s">
        <v>229</v>
      </c>
      <c r="L513">
        <v>7</v>
      </c>
      <c r="M513">
        <v>0</v>
      </c>
      <c r="N513" t="s">
        <v>259</v>
      </c>
      <c r="O513" t="s">
        <v>285</v>
      </c>
      <c r="P513">
        <v>12</v>
      </c>
      <c r="Q51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2C261229</v>
      </c>
      <c r="R513" t="s">
        <v>644</v>
      </c>
      <c r="S51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14" spans="1:20" x14ac:dyDescent="0.25">
      <c r="A514" t="s">
        <v>134</v>
      </c>
      <c r="B514">
        <v>202005</v>
      </c>
      <c r="C514" t="s">
        <v>4</v>
      </c>
      <c r="D514" t="s">
        <v>265</v>
      </c>
      <c r="E514">
        <v>115</v>
      </c>
      <c r="F514">
        <v>0</v>
      </c>
      <c r="G514" s="2">
        <v>6.42</v>
      </c>
      <c r="H514">
        <v>0</v>
      </c>
      <c r="I514">
        <v>1570</v>
      </c>
      <c r="K514" t="s">
        <v>229</v>
      </c>
      <c r="L514">
        <v>7</v>
      </c>
      <c r="M514">
        <v>0</v>
      </c>
      <c r="N514" t="s">
        <v>259</v>
      </c>
      <c r="O514" t="s">
        <v>285</v>
      </c>
      <c r="P514">
        <v>12</v>
      </c>
      <c r="Q51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2C261230</v>
      </c>
      <c r="R514" t="s">
        <v>644</v>
      </c>
      <c r="S51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15" spans="1:20" x14ac:dyDescent="0.25">
      <c r="A515" t="s">
        <v>134</v>
      </c>
      <c r="B515">
        <v>202005</v>
      </c>
      <c r="C515" t="s">
        <v>6</v>
      </c>
      <c r="D515" t="s">
        <v>60</v>
      </c>
      <c r="E515">
        <v>50</v>
      </c>
      <c r="F515">
        <v>0</v>
      </c>
      <c r="G515" s="2">
        <v>13.59</v>
      </c>
      <c r="H515">
        <v>0</v>
      </c>
      <c r="I515">
        <v>1570</v>
      </c>
      <c r="K515" t="s">
        <v>229</v>
      </c>
      <c r="L515">
        <v>7</v>
      </c>
      <c r="M515">
        <v>0</v>
      </c>
      <c r="N515" t="s">
        <v>259</v>
      </c>
      <c r="O515" t="s">
        <v>285</v>
      </c>
      <c r="P515">
        <v>12</v>
      </c>
      <c r="Q51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2C261245</v>
      </c>
      <c r="R515" t="s">
        <v>644</v>
      </c>
      <c r="S51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16" spans="1:20" x14ac:dyDescent="0.25">
      <c r="A516" t="s">
        <v>134</v>
      </c>
      <c r="B516">
        <v>202005</v>
      </c>
      <c r="C516" t="s">
        <v>260</v>
      </c>
      <c r="D516" t="s">
        <v>261</v>
      </c>
      <c r="E516">
        <v>50</v>
      </c>
      <c r="F516">
        <v>0</v>
      </c>
      <c r="G516" s="2">
        <v>7.56</v>
      </c>
      <c r="H516">
        <v>0</v>
      </c>
      <c r="I516">
        <v>1570</v>
      </c>
      <c r="K516" t="s">
        <v>229</v>
      </c>
      <c r="L516">
        <v>7</v>
      </c>
      <c r="M516">
        <v>0</v>
      </c>
      <c r="N516" t="s">
        <v>259</v>
      </c>
      <c r="O516" t="s">
        <v>285</v>
      </c>
      <c r="P516">
        <v>12</v>
      </c>
      <c r="Q51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2C261334</v>
      </c>
      <c r="R516" t="s">
        <v>644</v>
      </c>
      <c r="S51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17" spans="1:20" x14ac:dyDescent="0.25">
      <c r="A517" t="s">
        <v>134</v>
      </c>
      <c r="B517">
        <v>202005</v>
      </c>
      <c r="C517" t="s">
        <v>56</v>
      </c>
      <c r="D517" t="s">
        <v>246</v>
      </c>
      <c r="E517">
        <v>0</v>
      </c>
      <c r="F517">
        <v>0</v>
      </c>
      <c r="G517" s="2">
        <v>0.02</v>
      </c>
      <c r="H517">
        <v>0</v>
      </c>
      <c r="K517" t="s">
        <v>229</v>
      </c>
      <c r="L517">
        <v>8</v>
      </c>
      <c r="M517">
        <v>0</v>
      </c>
      <c r="O517" t="s">
        <v>285</v>
      </c>
      <c r="P517">
        <v>12</v>
      </c>
      <c r="Q51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2C268999</v>
      </c>
      <c r="R517" t="s">
        <v>644</v>
      </c>
      <c r="S51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518" spans="1:20" x14ac:dyDescent="0.25">
      <c r="A518" t="s">
        <v>135</v>
      </c>
      <c r="B518">
        <v>202005</v>
      </c>
      <c r="C518" t="s">
        <v>141</v>
      </c>
      <c r="D518" t="s">
        <v>262</v>
      </c>
      <c r="E518">
        <v>433.66277000000002</v>
      </c>
      <c r="F518">
        <v>0</v>
      </c>
      <c r="G518" s="2">
        <v>100</v>
      </c>
      <c r="H518">
        <v>0</v>
      </c>
      <c r="I518">
        <v>1570</v>
      </c>
      <c r="K518" t="s">
        <v>229</v>
      </c>
      <c r="L518">
        <v>1</v>
      </c>
      <c r="M518">
        <v>0</v>
      </c>
      <c r="N518" t="s">
        <v>259</v>
      </c>
      <c r="O518" t="s">
        <v>286</v>
      </c>
      <c r="P518">
        <v>12</v>
      </c>
      <c r="Q51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2C271102</v>
      </c>
      <c r="R518" t="s">
        <v>644</v>
      </c>
      <c r="S51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519" spans="1:20" x14ac:dyDescent="0.25">
      <c r="A519" t="s">
        <v>135</v>
      </c>
      <c r="B519">
        <v>202005</v>
      </c>
      <c r="C519" t="s">
        <v>132</v>
      </c>
      <c r="D519" t="s">
        <v>234</v>
      </c>
      <c r="E519">
        <v>981.68124</v>
      </c>
      <c r="F519">
        <v>0</v>
      </c>
      <c r="G519" s="2">
        <v>28.15</v>
      </c>
      <c r="H519">
        <v>0</v>
      </c>
      <c r="I519">
        <v>1570</v>
      </c>
      <c r="K519" t="s">
        <v>229</v>
      </c>
      <c r="L519">
        <v>6</v>
      </c>
      <c r="M519">
        <v>0</v>
      </c>
      <c r="N519" t="s">
        <v>259</v>
      </c>
      <c r="O519" t="s">
        <v>286</v>
      </c>
      <c r="P519">
        <v>12</v>
      </c>
      <c r="Q51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2C271199</v>
      </c>
      <c r="R519" t="s">
        <v>644</v>
      </c>
      <c r="S51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  <c r="T519" t="s">
        <v>149</v>
      </c>
    </row>
    <row r="520" spans="1:20" x14ac:dyDescent="0.25">
      <c r="A520" t="s">
        <v>135</v>
      </c>
      <c r="B520">
        <v>202005</v>
      </c>
      <c r="C520" t="s">
        <v>143</v>
      </c>
      <c r="D520" t="s">
        <v>264</v>
      </c>
      <c r="E520">
        <v>210</v>
      </c>
      <c r="F520">
        <v>0</v>
      </c>
      <c r="G520" s="2">
        <v>8.7899999999999991</v>
      </c>
      <c r="H520">
        <v>0</v>
      </c>
      <c r="I520">
        <v>1570</v>
      </c>
      <c r="K520" t="s">
        <v>229</v>
      </c>
      <c r="L520">
        <v>7</v>
      </c>
      <c r="M520">
        <v>0</v>
      </c>
      <c r="N520" t="s">
        <v>259</v>
      </c>
      <c r="O520" t="s">
        <v>286</v>
      </c>
      <c r="P520">
        <v>12</v>
      </c>
      <c r="Q52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2C271195</v>
      </c>
      <c r="R520" t="s">
        <v>644</v>
      </c>
      <c r="S52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21" spans="1:20" x14ac:dyDescent="0.25">
      <c r="A521" t="s">
        <v>135</v>
      </c>
      <c r="B521">
        <v>202005</v>
      </c>
      <c r="C521" t="s">
        <v>149</v>
      </c>
      <c r="D521" t="s">
        <v>206</v>
      </c>
      <c r="E521">
        <v>323.2</v>
      </c>
      <c r="F521">
        <v>0</v>
      </c>
      <c r="G521" s="2">
        <v>39.82</v>
      </c>
      <c r="H521">
        <v>0</v>
      </c>
      <c r="I521">
        <v>1570</v>
      </c>
      <c r="K521" t="s">
        <v>229</v>
      </c>
      <c r="L521">
        <v>7</v>
      </c>
      <c r="M521">
        <v>0</v>
      </c>
      <c r="N521" t="s">
        <v>259</v>
      </c>
      <c r="O521" t="s">
        <v>286</v>
      </c>
      <c r="P521">
        <v>12</v>
      </c>
      <c r="Q52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2C271221</v>
      </c>
      <c r="R521" t="s">
        <v>644</v>
      </c>
      <c r="S52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22" spans="1:20" x14ac:dyDescent="0.25">
      <c r="A522" t="s">
        <v>135</v>
      </c>
      <c r="B522">
        <v>202005</v>
      </c>
      <c r="C522" t="s">
        <v>3</v>
      </c>
      <c r="D522" t="s">
        <v>58</v>
      </c>
      <c r="E522">
        <v>275</v>
      </c>
      <c r="F522">
        <v>0</v>
      </c>
      <c r="G522" s="2">
        <v>1.49</v>
      </c>
      <c r="H522">
        <v>0</v>
      </c>
      <c r="I522">
        <v>1570</v>
      </c>
      <c r="K522" t="s">
        <v>229</v>
      </c>
      <c r="L522">
        <v>7</v>
      </c>
      <c r="M522">
        <v>0</v>
      </c>
      <c r="N522" t="s">
        <v>259</v>
      </c>
      <c r="O522" t="s">
        <v>286</v>
      </c>
      <c r="P522">
        <v>12</v>
      </c>
      <c r="Q52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2C271229</v>
      </c>
      <c r="R522" t="s">
        <v>644</v>
      </c>
      <c r="S52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23" spans="1:20" x14ac:dyDescent="0.25">
      <c r="A523" t="s">
        <v>135</v>
      </c>
      <c r="B523">
        <v>202005</v>
      </c>
      <c r="C523" t="s">
        <v>4</v>
      </c>
      <c r="D523" t="s">
        <v>265</v>
      </c>
      <c r="E523">
        <v>115</v>
      </c>
      <c r="F523">
        <v>0</v>
      </c>
      <c r="G523" s="2">
        <v>6.42</v>
      </c>
      <c r="H523">
        <v>0</v>
      </c>
      <c r="I523">
        <v>1570</v>
      </c>
      <c r="K523" t="s">
        <v>229</v>
      </c>
      <c r="L523">
        <v>7</v>
      </c>
      <c r="M523">
        <v>0</v>
      </c>
      <c r="N523" t="s">
        <v>259</v>
      </c>
      <c r="O523" t="s">
        <v>286</v>
      </c>
      <c r="P523">
        <v>12</v>
      </c>
      <c r="Q52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2C271230</v>
      </c>
      <c r="R523" t="s">
        <v>644</v>
      </c>
      <c r="S52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24" spans="1:20" x14ac:dyDescent="0.25">
      <c r="A524" t="s">
        <v>135</v>
      </c>
      <c r="B524">
        <v>202005</v>
      </c>
      <c r="C524" t="s">
        <v>6</v>
      </c>
      <c r="D524" t="s">
        <v>60</v>
      </c>
      <c r="E524">
        <v>50</v>
      </c>
      <c r="F524">
        <v>0</v>
      </c>
      <c r="G524" s="2">
        <v>7.68</v>
      </c>
      <c r="H524">
        <v>0</v>
      </c>
      <c r="I524">
        <v>1570</v>
      </c>
      <c r="K524" t="s">
        <v>229</v>
      </c>
      <c r="L524">
        <v>7</v>
      </c>
      <c r="M524">
        <v>0</v>
      </c>
      <c r="N524" t="s">
        <v>259</v>
      </c>
      <c r="O524" t="s">
        <v>286</v>
      </c>
      <c r="P524">
        <v>12</v>
      </c>
      <c r="Q52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2C271245</v>
      </c>
      <c r="R524" t="s">
        <v>644</v>
      </c>
      <c r="S52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25" spans="1:20" x14ac:dyDescent="0.25">
      <c r="A525" t="s">
        <v>135</v>
      </c>
      <c r="B525">
        <v>202005</v>
      </c>
      <c r="C525" t="s">
        <v>260</v>
      </c>
      <c r="D525" t="s">
        <v>261</v>
      </c>
      <c r="E525">
        <v>50</v>
      </c>
      <c r="F525">
        <v>0</v>
      </c>
      <c r="G525" s="2">
        <v>7.56</v>
      </c>
      <c r="H525">
        <v>0</v>
      </c>
      <c r="I525">
        <v>1570</v>
      </c>
      <c r="K525" t="s">
        <v>229</v>
      </c>
      <c r="L525">
        <v>7</v>
      </c>
      <c r="M525">
        <v>0</v>
      </c>
      <c r="N525" t="s">
        <v>259</v>
      </c>
      <c r="O525" t="s">
        <v>286</v>
      </c>
      <c r="P525">
        <v>12</v>
      </c>
      <c r="Q52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2C271334</v>
      </c>
      <c r="R525" t="s">
        <v>644</v>
      </c>
      <c r="S52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26" spans="1:20" x14ac:dyDescent="0.25">
      <c r="A526" t="s">
        <v>135</v>
      </c>
      <c r="B526">
        <v>202005</v>
      </c>
      <c r="C526" t="s">
        <v>56</v>
      </c>
      <c r="D526" t="s">
        <v>246</v>
      </c>
      <c r="E526">
        <v>0</v>
      </c>
      <c r="F526">
        <v>0</v>
      </c>
      <c r="G526" s="2">
        <v>0.1</v>
      </c>
      <c r="H526">
        <v>0</v>
      </c>
      <c r="K526" t="s">
        <v>229</v>
      </c>
      <c r="L526">
        <v>8</v>
      </c>
      <c r="M526">
        <v>0</v>
      </c>
      <c r="O526" t="s">
        <v>286</v>
      </c>
      <c r="P526">
        <v>12</v>
      </c>
      <c r="Q52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2C278999</v>
      </c>
      <c r="R526" t="s">
        <v>644</v>
      </c>
      <c r="S52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527" spans="1:20" x14ac:dyDescent="0.25">
      <c r="A527" t="s">
        <v>1341</v>
      </c>
      <c r="B527">
        <v>202005</v>
      </c>
      <c r="C527" t="s">
        <v>141</v>
      </c>
      <c r="D527" t="s">
        <v>262</v>
      </c>
      <c r="E527">
        <v>433.66277000000002</v>
      </c>
      <c r="F527">
        <v>0</v>
      </c>
      <c r="G527" s="2">
        <v>100</v>
      </c>
      <c r="H527">
        <v>0</v>
      </c>
      <c r="I527">
        <v>1570</v>
      </c>
      <c r="K527" t="s">
        <v>229</v>
      </c>
      <c r="L527">
        <v>1</v>
      </c>
      <c r="M527">
        <v>0</v>
      </c>
      <c r="N527" t="s">
        <v>259</v>
      </c>
      <c r="O527" t="s">
        <v>1342</v>
      </c>
      <c r="P527">
        <v>12</v>
      </c>
      <c r="Q52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2C281102</v>
      </c>
      <c r="R527" t="s">
        <v>644</v>
      </c>
      <c r="S52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528" spans="1:20" x14ac:dyDescent="0.25">
      <c r="A528" t="s">
        <v>1341</v>
      </c>
      <c r="B528">
        <v>202005</v>
      </c>
      <c r="C528" t="s">
        <v>132</v>
      </c>
      <c r="D528" t="s">
        <v>234</v>
      </c>
      <c r="E528">
        <v>981.68124</v>
      </c>
      <c r="F528">
        <v>0</v>
      </c>
      <c r="G528" s="2">
        <v>20.5</v>
      </c>
      <c r="H528">
        <v>0</v>
      </c>
      <c r="K528" t="s">
        <v>229</v>
      </c>
      <c r="L528">
        <v>6</v>
      </c>
      <c r="M528">
        <v>0</v>
      </c>
      <c r="N528" t="s">
        <v>259</v>
      </c>
      <c r="O528" t="s">
        <v>1342</v>
      </c>
      <c r="P528">
        <v>12</v>
      </c>
      <c r="Q52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2C281199</v>
      </c>
      <c r="R528" t="s">
        <v>644</v>
      </c>
      <c r="S52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  <c r="T528" t="s">
        <v>208</v>
      </c>
    </row>
    <row r="529" spans="1:20" x14ac:dyDescent="0.25">
      <c r="A529" t="s">
        <v>1341</v>
      </c>
      <c r="B529">
        <v>202005</v>
      </c>
      <c r="C529" t="s">
        <v>143</v>
      </c>
      <c r="D529" t="s">
        <v>264</v>
      </c>
      <c r="E529" s="1020">
        <v>210</v>
      </c>
      <c r="F529">
        <v>0</v>
      </c>
      <c r="G529" s="2">
        <v>6.4</v>
      </c>
      <c r="H529">
        <v>0</v>
      </c>
      <c r="K529" t="s">
        <v>229</v>
      </c>
      <c r="L529">
        <v>7</v>
      </c>
      <c r="M529">
        <v>0</v>
      </c>
      <c r="N529" t="s">
        <v>259</v>
      </c>
      <c r="O529" t="s">
        <v>1342</v>
      </c>
      <c r="P529">
        <v>12</v>
      </c>
      <c r="Q52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2C281195</v>
      </c>
      <c r="R529" t="s">
        <v>644</v>
      </c>
      <c r="S52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30" spans="1:20" x14ac:dyDescent="0.25">
      <c r="A530" t="s">
        <v>1341</v>
      </c>
      <c r="B530">
        <v>202005</v>
      </c>
      <c r="C530" t="s">
        <v>208</v>
      </c>
      <c r="D530" t="s">
        <v>210</v>
      </c>
      <c r="E530">
        <v>350</v>
      </c>
      <c r="F530">
        <v>0</v>
      </c>
      <c r="G530" s="2">
        <v>5.09</v>
      </c>
      <c r="H530">
        <v>0</v>
      </c>
      <c r="K530" t="s">
        <v>229</v>
      </c>
      <c r="L530">
        <v>7</v>
      </c>
      <c r="M530">
        <v>0</v>
      </c>
      <c r="N530" t="s">
        <v>259</v>
      </c>
      <c r="O530" t="s">
        <v>1342</v>
      </c>
      <c r="P530">
        <v>12</v>
      </c>
      <c r="Q53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2C281223</v>
      </c>
      <c r="R530" t="s">
        <v>644</v>
      </c>
      <c r="S53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31" spans="1:20" x14ac:dyDescent="0.25">
      <c r="A531" t="s">
        <v>1341</v>
      </c>
      <c r="B531">
        <v>202005</v>
      </c>
      <c r="C531" t="s">
        <v>3</v>
      </c>
      <c r="D531" t="s">
        <v>58</v>
      </c>
      <c r="E531">
        <v>275</v>
      </c>
      <c r="F531">
        <v>0</v>
      </c>
      <c r="G531" s="2">
        <v>1.65</v>
      </c>
      <c r="H531">
        <v>0</v>
      </c>
      <c r="K531" t="s">
        <v>229</v>
      </c>
      <c r="L531">
        <v>7</v>
      </c>
      <c r="M531">
        <v>0</v>
      </c>
      <c r="N531" t="s">
        <v>259</v>
      </c>
      <c r="O531" t="s">
        <v>1342</v>
      </c>
      <c r="P531">
        <v>12</v>
      </c>
      <c r="Q53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2C281229</v>
      </c>
      <c r="R531" t="s">
        <v>644</v>
      </c>
      <c r="S53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32" spans="1:20" x14ac:dyDescent="0.25">
      <c r="A532" t="s">
        <v>1341</v>
      </c>
      <c r="B532">
        <v>202005</v>
      </c>
      <c r="C532" t="s">
        <v>4</v>
      </c>
      <c r="D532" t="s">
        <v>265</v>
      </c>
      <c r="E532">
        <v>115</v>
      </c>
      <c r="F532">
        <v>0</v>
      </c>
      <c r="G532" s="2">
        <v>19.899999999999999</v>
      </c>
      <c r="H532">
        <v>0</v>
      </c>
      <c r="K532" t="s">
        <v>229</v>
      </c>
      <c r="L532">
        <v>7</v>
      </c>
      <c r="M532">
        <v>0</v>
      </c>
      <c r="N532" t="s">
        <v>259</v>
      </c>
      <c r="O532" t="s">
        <v>1342</v>
      </c>
      <c r="P532">
        <v>12</v>
      </c>
      <c r="Q53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2C281230</v>
      </c>
      <c r="R532" t="s">
        <v>644</v>
      </c>
      <c r="S53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33" spans="1:20" x14ac:dyDescent="0.25">
      <c r="A533" t="s">
        <v>1341</v>
      </c>
      <c r="B533">
        <v>202005</v>
      </c>
      <c r="C533" t="s">
        <v>5</v>
      </c>
      <c r="D533" t="s">
        <v>59</v>
      </c>
      <c r="E533">
        <v>8.56</v>
      </c>
      <c r="F533">
        <v>0</v>
      </c>
      <c r="G533" s="2">
        <v>9.7200000000000006</v>
      </c>
      <c r="H533">
        <v>0</v>
      </c>
      <c r="K533" t="s">
        <v>229</v>
      </c>
      <c r="L533">
        <v>7</v>
      </c>
      <c r="M533">
        <v>0</v>
      </c>
      <c r="N533" t="s">
        <v>259</v>
      </c>
      <c r="O533" t="s">
        <v>1342</v>
      </c>
      <c r="P533">
        <v>12</v>
      </c>
      <c r="Q53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2C281231</v>
      </c>
      <c r="R533" t="s">
        <v>644</v>
      </c>
      <c r="S53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34" spans="1:20" x14ac:dyDescent="0.25">
      <c r="A534" t="s">
        <v>1341</v>
      </c>
      <c r="B534">
        <v>202005</v>
      </c>
      <c r="C534" t="s">
        <v>6</v>
      </c>
      <c r="D534" t="s">
        <v>60</v>
      </c>
      <c r="E534">
        <v>50</v>
      </c>
      <c r="F534">
        <v>0</v>
      </c>
      <c r="G534" s="2">
        <v>36.72</v>
      </c>
      <c r="H534">
        <v>0</v>
      </c>
      <c r="I534">
        <v>1570</v>
      </c>
      <c r="K534" t="s">
        <v>229</v>
      </c>
      <c r="L534">
        <v>7</v>
      </c>
      <c r="M534">
        <v>0</v>
      </c>
      <c r="N534" t="s">
        <v>259</v>
      </c>
      <c r="O534" t="s">
        <v>1342</v>
      </c>
      <c r="P534">
        <v>12</v>
      </c>
      <c r="Q53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2C281245</v>
      </c>
      <c r="R534" t="s">
        <v>644</v>
      </c>
      <c r="S53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35" spans="1:20" x14ac:dyDescent="0.25">
      <c r="A535" t="s">
        <v>1341</v>
      </c>
      <c r="B535">
        <v>202005</v>
      </c>
      <c r="C535" t="s">
        <v>56</v>
      </c>
      <c r="D535" t="s">
        <v>246</v>
      </c>
      <c r="E535">
        <v>0</v>
      </c>
      <c r="F535">
        <v>0</v>
      </c>
      <c r="G535" s="2">
        <v>0.02</v>
      </c>
      <c r="H535">
        <v>0</v>
      </c>
      <c r="K535" t="s">
        <v>229</v>
      </c>
      <c r="L535">
        <v>8</v>
      </c>
      <c r="M535">
        <v>0</v>
      </c>
      <c r="O535" t="s">
        <v>1342</v>
      </c>
      <c r="P535">
        <v>12</v>
      </c>
      <c r="Q53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2C288999</v>
      </c>
      <c r="R535" t="s">
        <v>644</v>
      </c>
      <c r="S53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536" spans="1:20" x14ac:dyDescent="0.25">
      <c r="A536" t="s">
        <v>1118</v>
      </c>
      <c r="B536">
        <v>202005</v>
      </c>
      <c r="C536" t="s">
        <v>141</v>
      </c>
      <c r="D536" t="s">
        <v>262</v>
      </c>
      <c r="E536" s="1020">
        <v>433.66277000000002</v>
      </c>
      <c r="F536">
        <v>0</v>
      </c>
      <c r="G536" s="2">
        <v>100</v>
      </c>
      <c r="H536">
        <v>0</v>
      </c>
      <c r="I536">
        <v>1570</v>
      </c>
      <c r="K536" t="s">
        <v>229</v>
      </c>
      <c r="L536">
        <v>1</v>
      </c>
      <c r="M536">
        <v>0</v>
      </c>
      <c r="N536" t="s">
        <v>259</v>
      </c>
      <c r="O536" t="s">
        <v>1191</v>
      </c>
      <c r="P536">
        <v>12</v>
      </c>
      <c r="Q53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2C291102</v>
      </c>
      <c r="R536" t="s">
        <v>644</v>
      </c>
      <c r="S53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537" spans="1:20" x14ac:dyDescent="0.25">
      <c r="A537" t="s">
        <v>1118</v>
      </c>
      <c r="B537">
        <v>202005</v>
      </c>
      <c r="C537" t="s">
        <v>138</v>
      </c>
      <c r="D537" t="s">
        <v>269</v>
      </c>
      <c r="E537">
        <v>603.71</v>
      </c>
      <c r="F537">
        <v>0</v>
      </c>
      <c r="G537" s="2">
        <v>53.36</v>
      </c>
      <c r="H537">
        <v>0</v>
      </c>
      <c r="I537">
        <v>1570</v>
      </c>
      <c r="K537" t="s">
        <v>229</v>
      </c>
      <c r="L537">
        <v>6</v>
      </c>
      <c r="M537">
        <v>0</v>
      </c>
      <c r="N537" t="s">
        <v>259</v>
      </c>
      <c r="O537" t="s">
        <v>1191</v>
      </c>
      <c r="P537">
        <v>12</v>
      </c>
      <c r="Q53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2C291204</v>
      </c>
      <c r="R537" t="s">
        <v>644</v>
      </c>
      <c r="S53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  <c r="T537" t="s">
        <v>149</v>
      </c>
    </row>
    <row r="538" spans="1:20" x14ac:dyDescent="0.25">
      <c r="A538" t="s">
        <v>1118</v>
      </c>
      <c r="B538">
        <v>202005</v>
      </c>
      <c r="C538" t="s">
        <v>149</v>
      </c>
      <c r="D538" t="s">
        <v>206</v>
      </c>
      <c r="E538">
        <v>323.2</v>
      </c>
      <c r="F538">
        <v>0</v>
      </c>
      <c r="G538" s="2">
        <v>32.99</v>
      </c>
      <c r="H538">
        <v>0</v>
      </c>
      <c r="I538">
        <v>1570</v>
      </c>
      <c r="K538" t="s">
        <v>229</v>
      </c>
      <c r="L538">
        <v>7</v>
      </c>
      <c r="M538">
        <v>0</v>
      </c>
      <c r="N538" t="s">
        <v>259</v>
      </c>
      <c r="O538" t="s">
        <v>1191</v>
      </c>
      <c r="P538">
        <v>12</v>
      </c>
      <c r="Q53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2C291221</v>
      </c>
      <c r="R538" t="s">
        <v>644</v>
      </c>
      <c r="S53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39" spans="1:20" x14ac:dyDescent="0.25">
      <c r="A539" t="s">
        <v>1118</v>
      </c>
      <c r="B539">
        <v>202005</v>
      </c>
      <c r="C539" t="s">
        <v>3</v>
      </c>
      <c r="D539" t="s">
        <v>58</v>
      </c>
      <c r="E539">
        <v>275</v>
      </c>
      <c r="F539">
        <v>0</v>
      </c>
      <c r="G539" s="2">
        <v>2.12</v>
      </c>
      <c r="H539">
        <v>0</v>
      </c>
      <c r="I539">
        <v>1570</v>
      </c>
      <c r="K539" t="s">
        <v>229</v>
      </c>
      <c r="L539">
        <v>7</v>
      </c>
      <c r="M539">
        <v>0</v>
      </c>
      <c r="N539" t="s">
        <v>259</v>
      </c>
      <c r="O539" t="s">
        <v>1191</v>
      </c>
      <c r="P539">
        <v>12</v>
      </c>
      <c r="Q53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2C291229</v>
      </c>
      <c r="R539" t="s">
        <v>644</v>
      </c>
      <c r="S53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40" spans="1:20" x14ac:dyDescent="0.25">
      <c r="A540" t="s">
        <v>1118</v>
      </c>
      <c r="B540">
        <v>202005</v>
      </c>
      <c r="C540" t="s">
        <v>4</v>
      </c>
      <c r="D540" t="s">
        <v>265</v>
      </c>
      <c r="E540">
        <v>115</v>
      </c>
      <c r="F540">
        <v>0</v>
      </c>
      <c r="G540" s="2">
        <v>2.0099999999999998</v>
      </c>
      <c r="H540">
        <v>0</v>
      </c>
      <c r="I540">
        <v>1570</v>
      </c>
      <c r="K540" t="s">
        <v>229</v>
      </c>
      <c r="L540">
        <v>7</v>
      </c>
      <c r="M540">
        <v>0</v>
      </c>
      <c r="N540" t="s">
        <v>259</v>
      </c>
      <c r="O540" t="s">
        <v>1191</v>
      </c>
      <c r="P540">
        <v>12</v>
      </c>
      <c r="Q54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2C291230</v>
      </c>
      <c r="R540" t="s">
        <v>644</v>
      </c>
      <c r="S54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41" spans="1:20" x14ac:dyDescent="0.25">
      <c r="A541" t="s">
        <v>1118</v>
      </c>
      <c r="B541">
        <v>202005</v>
      </c>
      <c r="C541" t="s">
        <v>6</v>
      </c>
      <c r="D541" t="s">
        <v>60</v>
      </c>
      <c r="E541">
        <v>50</v>
      </c>
      <c r="F541">
        <v>0</v>
      </c>
      <c r="G541" s="2">
        <v>7.97</v>
      </c>
      <c r="H541">
        <v>0</v>
      </c>
      <c r="I541">
        <v>1570</v>
      </c>
      <c r="K541" t="s">
        <v>229</v>
      </c>
      <c r="L541">
        <v>7</v>
      </c>
      <c r="M541">
        <v>0</v>
      </c>
      <c r="N541" t="s">
        <v>259</v>
      </c>
      <c r="O541" t="s">
        <v>1191</v>
      </c>
      <c r="P541">
        <v>12</v>
      </c>
      <c r="Q54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2C291245</v>
      </c>
      <c r="R541" t="s">
        <v>644</v>
      </c>
      <c r="S54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42" spans="1:20" x14ac:dyDescent="0.25">
      <c r="A542" t="s">
        <v>1118</v>
      </c>
      <c r="B542">
        <v>202005</v>
      </c>
      <c r="C542" t="s">
        <v>260</v>
      </c>
      <c r="D542" t="s">
        <v>261</v>
      </c>
      <c r="E542">
        <v>50</v>
      </c>
      <c r="F542">
        <v>0</v>
      </c>
      <c r="G542" s="2">
        <v>1.1499999999999999</v>
      </c>
      <c r="H542">
        <v>0</v>
      </c>
      <c r="I542">
        <v>1570</v>
      </c>
      <c r="K542" t="s">
        <v>229</v>
      </c>
      <c r="L542">
        <v>7</v>
      </c>
      <c r="M542">
        <v>0</v>
      </c>
      <c r="N542" t="s">
        <v>259</v>
      </c>
      <c r="O542" t="s">
        <v>1191</v>
      </c>
      <c r="P542">
        <v>12</v>
      </c>
      <c r="Q54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2C291334</v>
      </c>
      <c r="R542" t="s">
        <v>644</v>
      </c>
      <c r="S54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43" spans="1:20" x14ac:dyDescent="0.25">
      <c r="A543" t="s">
        <v>1118</v>
      </c>
      <c r="B543">
        <v>202005</v>
      </c>
      <c r="C543" t="s">
        <v>56</v>
      </c>
      <c r="D543" t="s">
        <v>246</v>
      </c>
      <c r="E543">
        <v>0</v>
      </c>
      <c r="F543">
        <v>0</v>
      </c>
      <c r="G543" s="2">
        <v>0.4</v>
      </c>
      <c r="H543">
        <v>0</v>
      </c>
      <c r="K543" t="s">
        <v>229</v>
      </c>
      <c r="L543">
        <v>8</v>
      </c>
      <c r="M543">
        <v>0</v>
      </c>
      <c r="O543" t="s">
        <v>1191</v>
      </c>
      <c r="P543">
        <v>12</v>
      </c>
      <c r="Q54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2C298999</v>
      </c>
      <c r="R543" t="s">
        <v>644</v>
      </c>
      <c r="S54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544" spans="1:20" x14ac:dyDescent="0.25">
      <c r="A544" t="s">
        <v>1343</v>
      </c>
      <c r="B544">
        <v>202005</v>
      </c>
      <c r="C544" t="s">
        <v>141</v>
      </c>
      <c r="D544" t="s">
        <v>262</v>
      </c>
      <c r="E544">
        <v>433.66277000000002</v>
      </c>
      <c r="F544">
        <v>0</v>
      </c>
      <c r="G544" s="2">
        <v>100</v>
      </c>
      <c r="H544">
        <v>0</v>
      </c>
      <c r="I544">
        <v>1570</v>
      </c>
      <c r="K544" t="s">
        <v>229</v>
      </c>
      <c r="L544">
        <v>1</v>
      </c>
      <c r="M544">
        <v>0</v>
      </c>
      <c r="N544" t="s">
        <v>259</v>
      </c>
      <c r="O544" t="s">
        <v>1344</v>
      </c>
      <c r="P544">
        <v>12</v>
      </c>
      <c r="Q54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2C301102</v>
      </c>
      <c r="R544" t="s">
        <v>644</v>
      </c>
      <c r="S54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545" spans="1:20" x14ac:dyDescent="0.25">
      <c r="A545" t="s">
        <v>1343</v>
      </c>
      <c r="B545">
        <v>202005</v>
      </c>
      <c r="C545" t="s">
        <v>119</v>
      </c>
      <c r="D545" t="s">
        <v>274</v>
      </c>
      <c r="E545" s="1020">
        <v>1090.1350199999999</v>
      </c>
      <c r="F545">
        <v>0</v>
      </c>
      <c r="G545" s="2">
        <v>20</v>
      </c>
      <c r="H545">
        <v>0</v>
      </c>
      <c r="I545">
        <v>1570</v>
      </c>
      <c r="K545" t="s">
        <v>229</v>
      </c>
      <c r="L545">
        <v>6</v>
      </c>
      <c r="M545">
        <v>0</v>
      </c>
      <c r="N545" t="s">
        <v>259</v>
      </c>
      <c r="O545" t="s">
        <v>1344</v>
      </c>
      <c r="P545">
        <v>12</v>
      </c>
      <c r="Q54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2C301193</v>
      </c>
      <c r="R545" t="s">
        <v>644</v>
      </c>
      <c r="S54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  <c r="T545" t="s">
        <v>147</v>
      </c>
    </row>
    <row r="546" spans="1:20" x14ac:dyDescent="0.25">
      <c r="A546" t="s">
        <v>1343</v>
      </c>
      <c r="B546">
        <v>202005</v>
      </c>
      <c r="C546" t="s">
        <v>142</v>
      </c>
      <c r="D546" t="s">
        <v>263</v>
      </c>
      <c r="E546">
        <v>330</v>
      </c>
      <c r="F546">
        <v>0</v>
      </c>
      <c r="G546" s="2">
        <v>7.37</v>
      </c>
      <c r="H546">
        <v>0</v>
      </c>
      <c r="I546">
        <v>1570</v>
      </c>
      <c r="K546" t="s">
        <v>229</v>
      </c>
      <c r="L546">
        <v>7</v>
      </c>
      <c r="M546">
        <v>0</v>
      </c>
      <c r="N546" t="s">
        <v>259</v>
      </c>
      <c r="O546" t="s">
        <v>1344</v>
      </c>
      <c r="P546">
        <v>12</v>
      </c>
      <c r="Q54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2C301194</v>
      </c>
      <c r="R546" t="s">
        <v>644</v>
      </c>
      <c r="S54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47" spans="1:20" x14ac:dyDescent="0.25">
      <c r="A547" t="s">
        <v>1343</v>
      </c>
      <c r="B547">
        <v>202005</v>
      </c>
      <c r="C547" t="s">
        <v>143</v>
      </c>
      <c r="D547" t="s">
        <v>264</v>
      </c>
      <c r="E547">
        <v>210</v>
      </c>
      <c r="F547">
        <v>0</v>
      </c>
      <c r="G547" s="2">
        <v>7.39</v>
      </c>
      <c r="H547">
        <v>0</v>
      </c>
      <c r="I547">
        <v>1570</v>
      </c>
      <c r="K547" t="s">
        <v>229</v>
      </c>
      <c r="L547">
        <v>7</v>
      </c>
      <c r="M547">
        <v>0</v>
      </c>
      <c r="N547" t="s">
        <v>259</v>
      </c>
      <c r="O547" t="s">
        <v>1344</v>
      </c>
      <c r="P547">
        <v>12</v>
      </c>
      <c r="Q54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2C301195</v>
      </c>
      <c r="R547" t="s">
        <v>644</v>
      </c>
      <c r="S54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48" spans="1:20" x14ac:dyDescent="0.25">
      <c r="A548" t="s">
        <v>1343</v>
      </c>
      <c r="B548">
        <v>202005</v>
      </c>
      <c r="C548" t="s">
        <v>147</v>
      </c>
      <c r="D548" t="s">
        <v>207</v>
      </c>
      <c r="E548">
        <v>323.2</v>
      </c>
      <c r="F548">
        <v>0</v>
      </c>
      <c r="G548" s="2">
        <v>29.13</v>
      </c>
      <c r="H548">
        <v>0</v>
      </c>
      <c r="I548">
        <v>1570</v>
      </c>
      <c r="K548" t="s">
        <v>229</v>
      </c>
      <c r="L548">
        <v>7</v>
      </c>
      <c r="M548">
        <v>0</v>
      </c>
      <c r="N548" t="s">
        <v>259</v>
      </c>
      <c r="O548" t="s">
        <v>1344</v>
      </c>
      <c r="P548">
        <v>12</v>
      </c>
      <c r="Q54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2C301222</v>
      </c>
      <c r="R548" t="s">
        <v>644</v>
      </c>
      <c r="S54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49" spans="1:20" x14ac:dyDescent="0.25">
      <c r="A549" t="s">
        <v>1343</v>
      </c>
      <c r="B549">
        <v>202005</v>
      </c>
      <c r="C549" t="s">
        <v>3</v>
      </c>
      <c r="D549" t="s">
        <v>58</v>
      </c>
      <c r="E549">
        <v>275</v>
      </c>
      <c r="F549">
        <v>0</v>
      </c>
      <c r="G549" s="2">
        <v>2.46</v>
      </c>
      <c r="H549">
        <v>0</v>
      </c>
      <c r="I549">
        <v>1570</v>
      </c>
      <c r="K549" t="s">
        <v>229</v>
      </c>
      <c r="L549">
        <v>7</v>
      </c>
      <c r="M549">
        <v>0</v>
      </c>
      <c r="N549" t="s">
        <v>259</v>
      </c>
      <c r="O549" t="s">
        <v>1344</v>
      </c>
      <c r="P549">
        <v>12</v>
      </c>
      <c r="Q54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2C301229</v>
      </c>
      <c r="R549" t="s">
        <v>644</v>
      </c>
      <c r="S54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50" spans="1:20" x14ac:dyDescent="0.25">
      <c r="A550" t="s">
        <v>1343</v>
      </c>
      <c r="B550">
        <v>202005</v>
      </c>
      <c r="C550" t="s">
        <v>4</v>
      </c>
      <c r="D550" t="s">
        <v>265</v>
      </c>
      <c r="E550">
        <v>115</v>
      </c>
      <c r="F550">
        <v>0</v>
      </c>
      <c r="G550" s="2">
        <v>10.14</v>
      </c>
      <c r="H550">
        <v>0</v>
      </c>
      <c r="I550">
        <v>1570</v>
      </c>
      <c r="K550" t="s">
        <v>229</v>
      </c>
      <c r="L550">
        <v>7</v>
      </c>
      <c r="M550">
        <v>0</v>
      </c>
      <c r="N550" t="s">
        <v>259</v>
      </c>
      <c r="O550" t="s">
        <v>1344</v>
      </c>
      <c r="P550">
        <v>12</v>
      </c>
      <c r="Q55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2C301230</v>
      </c>
      <c r="R550" t="s">
        <v>644</v>
      </c>
      <c r="S55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51" spans="1:20" x14ac:dyDescent="0.25">
      <c r="A551" t="s">
        <v>1343</v>
      </c>
      <c r="B551">
        <v>202005</v>
      </c>
      <c r="C551" t="s">
        <v>5</v>
      </c>
      <c r="D551" t="s">
        <v>59</v>
      </c>
      <c r="E551">
        <v>8.56</v>
      </c>
      <c r="F551">
        <v>0</v>
      </c>
      <c r="G551" s="2">
        <v>4.57</v>
      </c>
      <c r="H551">
        <v>0</v>
      </c>
      <c r="I551">
        <v>1570</v>
      </c>
      <c r="K551" t="s">
        <v>229</v>
      </c>
      <c r="L551">
        <v>7</v>
      </c>
      <c r="M551">
        <v>0</v>
      </c>
      <c r="N551" t="s">
        <v>259</v>
      </c>
      <c r="O551" t="s">
        <v>1344</v>
      </c>
      <c r="P551">
        <v>12</v>
      </c>
      <c r="Q55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2C301231</v>
      </c>
      <c r="R551" t="s">
        <v>644</v>
      </c>
      <c r="S55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52" spans="1:20" x14ac:dyDescent="0.25">
      <c r="A552" t="s">
        <v>1343</v>
      </c>
      <c r="B552">
        <v>202005</v>
      </c>
      <c r="C552" t="s">
        <v>6</v>
      </c>
      <c r="D552" t="s">
        <v>60</v>
      </c>
      <c r="E552">
        <v>50</v>
      </c>
      <c r="F552">
        <v>0</v>
      </c>
      <c r="G552" s="2">
        <v>18.77</v>
      </c>
      <c r="H552">
        <v>0</v>
      </c>
      <c r="I552">
        <v>1570</v>
      </c>
      <c r="K552" t="s">
        <v>229</v>
      </c>
      <c r="L552">
        <v>7</v>
      </c>
      <c r="M552">
        <v>0</v>
      </c>
      <c r="N552" t="s">
        <v>259</v>
      </c>
      <c r="O552" t="s">
        <v>1344</v>
      </c>
      <c r="P552">
        <v>12</v>
      </c>
      <c r="Q55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2C301245</v>
      </c>
      <c r="R552" t="s">
        <v>644</v>
      </c>
      <c r="S55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53" spans="1:20" x14ac:dyDescent="0.25">
      <c r="A553" t="s">
        <v>1343</v>
      </c>
      <c r="B553">
        <v>202005</v>
      </c>
      <c r="C553" t="s">
        <v>56</v>
      </c>
      <c r="D553" t="s">
        <v>246</v>
      </c>
      <c r="E553">
        <v>0</v>
      </c>
      <c r="F553">
        <v>0</v>
      </c>
      <c r="G553" s="2">
        <v>0</v>
      </c>
      <c r="H553">
        <v>0</v>
      </c>
      <c r="K553" t="s">
        <v>229</v>
      </c>
      <c r="L553">
        <v>8</v>
      </c>
      <c r="M553">
        <v>0</v>
      </c>
      <c r="O553" t="s">
        <v>1344</v>
      </c>
      <c r="P553">
        <v>12</v>
      </c>
      <c r="Q55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2C308999</v>
      </c>
      <c r="R553" t="s">
        <v>644</v>
      </c>
      <c r="S55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554" spans="1:20" x14ac:dyDescent="0.25">
      <c r="A554" t="s">
        <v>1345</v>
      </c>
      <c r="B554">
        <v>202005</v>
      </c>
      <c r="C554" t="s">
        <v>141</v>
      </c>
      <c r="D554" t="s">
        <v>262</v>
      </c>
      <c r="E554">
        <v>433.66277000000002</v>
      </c>
      <c r="F554">
        <v>0</v>
      </c>
      <c r="G554" s="2">
        <v>100</v>
      </c>
      <c r="H554">
        <v>0</v>
      </c>
      <c r="I554">
        <v>1570</v>
      </c>
      <c r="K554" t="s">
        <v>229</v>
      </c>
      <c r="L554">
        <v>1</v>
      </c>
      <c r="M554">
        <v>0</v>
      </c>
      <c r="N554" t="s">
        <v>259</v>
      </c>
      <c r="O554" t="s">
        <v>1346</v>
      </c>
      <c r="P554">
        <v>12</v>
      </c>
      <c r="Q55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2C311102</v>
      </c>
      <c r="R554" t="s">
        <v>644</v>
      </c>
      <c r="S55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555" spans="1:20" x14ac:dyDescent="0.25">
      <c r="A555" t="s">
        <v>1345</v>
      </c>
      <c r="B555">
        <v>202005</v>
      </c>
      <c r="C555" t="s">
        <v>1322</v>
      </c>
      <c r="D555" t="s">
        <v>1323</v>
      </c>
      <c r="E555">
        <v>662.41</v>
      </c>
      <c r="F555">
        <v>0</v>
      </c>
      <c r="G555" s="2">
        <v>29</v>
      </c>
      <c r="H555">
        <v>0</v>
      </c>
      <c r="K555" t="s">
        <v>229</v>
      </c>
      <c r="L555">
        <v>6</v>
      </c>
      <c r="M555">
        <v>0</v>
      </c>
      <c r="N555" t="s">
        <v>259</v>
      </c>
      <c r="O555" t="s">
        <v>1346</v>
      </c>
      <c r="P555">
        <v>12</v>
      </c>
      <c r="Q55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2C311151</v>
      </c>
      <c r="R555" t="s">
        <v>644</v>
      </c>
      <c r="S55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  <c r="T555" t="s">
        <v>144</v>
      </c>
    </row>
    <row r="556" spans="1:20" x14ac:dyDescent="0.25">
      <c r="A556" t="s">
        <v>1345</v>
      </c>
      <c r="B556">
        <v>202005</v>
      </c>
      <c r="C556" t="s">
        <v>142</v>
      </c>
      <c r="D556" t="s">
        <v>263</v>
      </c>
      <c r="E556">
        <v>330</v>
      </c>
      <c r="F556">
        <v>0</v>
      </c>
      <c r="G556" s="2">
        <v>8.15</v>
      </c>
      <c r="H556">
        <v>0</v>
      </c>
      <c r="K556" t="s">
        <v>229</v>
      </c>
      <c r="L556">
        <v>7</v>
      </c>
      <c r="M556">
        <v>0</v>
      </c>
      <c r="N556" t="s">
        <v>259</v>
      </c>
      <c r="O556" t="s">
        <v>1346</v>
      </c>
      <c r="P556">
        <v>12</v>
      </c>
      <c r="Q55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2C311194</v>
      </c>
      <c r="R556" t="s">
        <v>644</v>
      </c>
      <c r="S55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57" spans="1:20" x14ac:dyDescent="0.25">
      <c r="A557" t="s">
        <v>1345</v>
      </c>
      <c r="B557">
        <v>202005</v>
      </c>
      <c r="C557" t="s">
        <v>143</v>
      </c>
      <c r="D557" t="s">
        <v>264</v>
      </c>
      <c r="E557">
        <v>210</v>
      </c>
      <c r="F557">
        <v>0</v>
      </c>
      <c r="G557" s="2">
        <v>5.99</v>
      </c>
      <c r="H557">
        <v>0</v>
      </c>
      <c r="K557" t="s">
        <v>229</v>
      </c>
      <c r="L557">
        <v>7</v>
      </c>
      <c r="M557">
        <v>0</v>
      </c>
      <c r="N557" t="s">
        <v>259</v>
      </c>
      <c r="O557" t="s">
        <v>1346</v>
      </c>
      <c r="P557">
        <v>12</v>
      </c>
      <c r="Q55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2C311195</v>
      </c>
      <c r="R557" t="s">
        <v>644</v>
      </c>
      <c r="S55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58" spans="1:20" x14ac:dyDescent="0.25">
      <c r="A558" t="s">
        <v>1345</v>
      </c>
      <c r="B558">
        <v>202005</v>
      </c>
      <c r="C558" t="s">
        <v>144</v>
      </c>
      <c r="D558" t="s">
        <v>211</v>
      </c>
      <c r="E558">
        <v>350</v>
      </c>
      <c r="F558">
        <v>0</v>
      </c>
      <c r="G558" s="2">
        <v>14.96</v>
      </c>
      <c r="H558">
        <v>0</v>
      </c>
      <c r="K558" t="s">
        <v>229</v>
      </c>
      <c r="L558">
        <v>7</v>
      </c>
      <c r="M558">
        <v>0</v>
      </c>
      <c r="N558" t="s">
        <v>259</v>
      </c>
      <c r="O558" t="s">
        <v>1346</v>
      </c>
      <c r="P558">
        <v>12</v>
      </c>
      <c r="Q55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2C311225</v>
      </c>
      <c r="R558" t="s">
        <v>644</v>
      </c>
      <c r="S55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59" spans="1:20" x14ac:dyDescent="0.25">
      <c r="A559" t="s">
        <v>1345</v>
      </c>
      <c r="B559">
        <v>202005</v>
      </c>
      <c r="C559" t="s">
        <v>3</v>
      </c>
      <c r="D559" t="s">
        <v>58</v>
      </c>
      <c r="E559" s="1020">
        <v>275</v>
      </c>
      <c r="F559">
        <v>0</v>
      </c>
      <c r="G559" s="2">
        <v>3.25</v>
      </c>
      <c r="H559">
        <v>0</v>
      </c>
      <c r="K559" t="s">
        <v>229</v>
      </c>
      <c r="L559">
        <v>7</v>
      </c>
      <c r="M559">
        <v>0</v>
      </c>
      <c r="N559" t="s">
        <v>259</v>
      </c>
      <c r="O559" t="s">
        <v>1346</v>
      </c>
      <c r="P559">
        <v>12</v>
      </c>
      <c r="Q55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2C311229</v>
      </c>
      <c r="R559" t="s">
        <v>644</v>
      </c>
      <c r="S55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60" spans="1:20" x14ac:dyDescent="0.25">
      <c r="A560" t="s">
        <v>1345</v>
      </c>
      <c r="B560">
        <v>202005</v>
      </c>
      <c r="C560" t="s">
        <v>4</v>
      </c>
      <c r="D560" t="s">
        <v>265</v>
      </c>
      <c r="E560">
        <v>115</v>
      </c>
      <c r="F560">
        <v>0</v>
      </c>
      <c r="G560" s="2">
        <v>8.39</v>
      </c>
      <c r="H560">
        <v>0</v>
      </c>
      <c r="K560" t="s">
        <v>229</v>
      </c>
      <c r="L560">
        <v>7</v>
      </c>
      <c r="M560">
        <v>0</v>
      </c>
      <c r="N560" t="s">
        <v>259</v>
      </c>
      <c r="O560" t="s">
        <v>1346</v>
      </c>
      <c r="P560">
        <v>12</v>
      </c>
      <c r="Q56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2C311230</v>
      </c>
      <c r="R560" t="s">
        <v>644</v>
      </c>
      <c r="S56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61" spans="1:20" x14ac:dyDescent="0.25">
      <c r="A561" t="s">
        <v>1345</v>
      </c>
      <c r="B561">
        <v>202005</v>
      </c>
      <c r="C561" t="s">
        <v>5</v>
      </c>
      <c r="D561" t="s">
        <v>59</v>
      </c>
      <c r="E561">
        <v>8.56</v>
      </c>
      <c r="F561">
        <v>0</v>
      </c>
      <c r="G561" s="2">
        <v>7.59</v>
      </c>
      <c r="H561">
        <v>0</v>
      </c>
      <c r="K561" t="s">
        <v>229</v>
      </c>
      <c r="L561">
        <v>7</v>
      </c>
      <c r="M561">
        <v>0</v>
      </c>
      <c r="N561" t="s">
        <v>259</v>
      </c>
      <c r="O561" t="s">
        <v>1346</v>
      </c>
      <c r="P561">
        <v>12</v>
      </c>
      <c r="Q56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2C311231</v>
      </c>
      <c r="R561" t="s">
        <v>644</v>
      </c>
      <c r="S56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62" spans="1:20" x14ac:dyDescent="0.25">
      <c r="A562" t="s">
        <v>1345</v>
      </c>
      <c r="B562">
        <v>202005</v>
      </c>
      <c r="C562" t="s">
        <v>6</v>
      </c>
      <c r="D562" t="s">
        <v>60</v>
      </c>
      <c r="E562">
        <v>50</v>
      </c>
      <c r="F562">
        <v>0</v>
      </c>
      <c r="G562" s="2">
        <v>22.64</v>
      </c>
      <c r="H562">
        <v>0</v>
      </c>
      <c r="I562">
        <v>1570</v>
      </c>
      <c r="K562" t="s">
        <v>229</v>
      </c>
      <c r="L562">
        <v>7</v>
      </c>
      <c r="M562">
        <v>0</v>
      </c>
      <c r="N562" t="s">
        <v>259</v>
      </c>
      <c r="O562" t="s">
        <v>1346</v>
      </c>
      <c r="P562">
        <v>12</v>
      </c>
      <c r="Q56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2C311245</v>
      </c>
      <c r="R562" t="s">
        <v>644</v>
      </c>
      <c r="S56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63" spans="1:20" x14ac:dyDescent="0.25">
      <c r="A563" t="s">
        <v>1345</v>
      </c>
      <c r="B563">
        <v>202005</v>
      </c>
      <c r="C563" t="s">
        <v>56</v>
      </c>
      <c r="D563" t="s">
        <v>246</v>
      </c>
      <c r="E563">
        <v>0</v>
      </c>
      <c r="F563">
        <v>0</v>
      </c>
      <c r="G563" s="2">
        <v>0.03</v>
      </c>
      <c r="H563">
        <v>0</v>
      </c>
      <c r="K563" t="s">
        <v>229</v>
      </c>
      <c r="L563">
        <v>8</v>
      </c>
      <c r="M563">
        <v>0</v>
      </c>
      <c r="O563" t="s">
        <v>1346</v>
      </c>
      <c r="P563">
        <v>12</v>
      </c>
      <c r="Q56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2C318999</v>
      </c>
      <c r="R563" t="s">
        <v>644</v>
      </c>
      <c r="S56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564" spans="1:20" x14ac:dyDescent="0.25">
      <c r="A564" t="s">
        <v>1347</v>
      </c>
      <c r="B564">
        <v>202005</v>
      </c>
      <c r="C564" t="s">
        <v>141</v>
      </c>
      <c r="D564" t="s">
        <v>262</v>
      </c>
      <c r="E564">
        <v>433.66277000000002</v>
      </c>
      <c r="F564">
        <v>0</v>
      </c>
      <c r="G564" s="2">
        <v>100</v>
      </c>
      <c r="H564">
        <v>0</v>
      </c>
      <c r="I564">
        <v>1570</v>
      </c>
      <c r="K564" t="s">
        <v>229</v>
      </c>
      <c r="L564">
        <v>1</v>
      </c>
      <c r="M564">
        <v>0</v>
      </c>
      <c r="N564" t="s">
        <v>259</v>
      </c>
      <c r="O564" t="s">
        <v>1348</v>
      </c>
      <c r="P564">
        <v>12</v>
      </c>
      <c r="Q56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2C321102</v>
      </c>
      <c r="R564" t="s">
        <v>644</v>
      </c>
      <c r="S56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565" spans="1:20" x14ac:dyDescent="0.25">
      <c r="A565" t="s">
        <v>1347</v>
      </c>
      <c r="B565">
        <v>202005</v>
      </c>
      <c r="C565" t="s">
        <v>1322</v>
      </c>
      <c r="D565" t="s">
        <v>1323</v>
      </c>
      <c r="E565">
        <v>662.41</v>
      </c>
      <c r="F565">
        <v>0</v>
      </c>
      <c r="G565" s="2">
        <v>36.4</v>
      </c>
      <c r="H565">
        <v>0</v>
      </c>
      <c r="K565" t="s">
        <v>229</v>
      </c>
      <c r="L565">
        <v>6</v>
      </c>
      <c r="M565">
        <v>0</v>
      </c>
      <c r="N565" t="s">
        <v>259</v>
      </c>
      <c r="O565" t="s">
        <v>1348</v>
      </c>
      <c r="P565">
        <v>12</v>
      </c>
      <c r="Q56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2C321151</v>
      </c>
      <c r="R565" t="s">
        <v>644</v>
      </c>
      <c r="S56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  <c r="T565" t="s">
        <v>147</v>
      </c>
    </row>
    <row r="566" spans="1:20" x14ac:dyDescent="0.25">
      <c r="A566" t="s">
        <v>1347</v>
      </c>
      <c r="B566">
        <v>202005</v>
      </c>
      <c r="C566" t="s">
        <v>142</v>
      </c>
      <c r="D566" t="s">
        <v>263</v>
      </c>
      <c r="E566">
        <v>330</v>
      </c>
      <c r="F566">
        <v>0</v>
      </c>
      <c r="G566" s="2">
        <v>4.8</v>
      </c>
      <c r="H566">
        <v>0</v>
      </c>
      <c r="K566" t="s">
        <v>229</v>
      </c>
      <c r="L566">
        <v>7</v>
      </c>
      <c r="M566">
        <v>0</v>
      </c>
      <c r="N566" t="s">
        <v>259</v>
      </c>
      <c r="O566" t="s">
        <v>1348</v>
      </c>
      <c r="P566">
        <v>12</v>
      </c>
      <c r="Q56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2C321194</v>
      </c>
      <c r="R566" t="s">
        <v>644</v>
      </c>
      <c r="S56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67" spans="1:20" x14ac:dyDescent="0.25">
      <c r="A567" t="s">
        <v>1347</v>
      </c>
      <c r="B567">
        <v>202005</v>
      </c>
      <c r="C567" t="s">
        <v>143</v>
      </c>
      <c r="D567" t="s">
        <v>264</v>
      </c>
      <c r="E567">
        <v>210</v>
      </c>
      <c r="F567">
        <v>0</v>
      </c>
      <c r="G567" s="2">
        <v>1.7</v>
      </c>
      <c r="H567">
        <v>0</v>
      </c>
      <c r="K567" t="s">
        <v>229</v>
      </c>
      <c r="L567">
        <v>7</v>
      </c>
      <c r="M567">
        <v>0</v>
      </c>
      <c r="N567" t="s">
        <v>259</v>
      </c>
      <c r="O567" t="s">
        <v>1348</v>
      </c>
      <c r="P567">
        <v>12</v>
      </c>
      <c r="Q56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2C321195</v>
      </c>
      <c r="R567" t="s">
        <v>644</v>
      </c>
      <c r="S56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68" spans="1:20" x14ac:dyDescent="0.25">
      <c r="A568" t="s">
        <v>1347</v>
      </c>
      <c r="B568">
        <v>202005</v>
      </c>
      <c r="C568" t="s">
        <v>147</v>
      </c>
      <c r="D568" t="s">
        <v>207</v>
      </c>
      <c r="E568">
        <v>323.2</v>
      </c>
      <c r="F568">
        <v>0</v>
      </c>
      <c r="G568" s="2">
        <v>23.2</v>
      </c>
      <c r="H568">
        <v>0</v>
      </c>
      <c r="K568" t="s">
        <v>229</v>
      </c>
      <c r="L568">
        <v>7</v>
      </c>
      <c r="M568">
        <v>0</v>
      </c>
      <c r="N568" t="s">
        <v>259</v>
      </c>
      <c r="O568" t="s">
        <v>1348</v>
      </c>
      <c r="P568">
        <v>12</v>
      </c>
      <c r="Q56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2C321222</v>
      </c>
      <c r="R568" t="s">
        <v>644</v>
      </c>
      <c r="S56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69" spans="1:20" x14ac:dyDescent="0.25">
      <c r="A569" t="s">
        <v>1347</v>
      </c>
      <c r="B569">
        <v>202005</v>
      </c>
      <c r="C569" t="s">
        <v>3</v>
      </c>
      <c r="D569" t="s">
        <v>58</v>
      </c>
      <c r="E569">
        <v>275</v>
      </c>
      <c r="F569">
        <v>0</v>
      </c>
      <c r="G569" s="2">
        <v>2.6</v>
      </c>
      <c r="H569">
        <v>0</v>
      </c>
      <c r="K569" t="s">
        <v>229</v>
      </c>
      <c r="L569">
        <v>7</v>
      </c>
      <c r="M569">
        <v>0</v>
      </c>
      <c r="N569" t="s">
        <v>259</v>
      </c>
      <c r="O569" t="s">
        <v>1348</v>
      </c>
      <c r="P569">
        <v>12</v>
      </c>
      <c r="Q56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2C321229</v>
      </c>
      <c r="R569" t="s">
        <v>644</v>
      </c>
      <c r="S56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70" spans="1:20" x14ac:dyDescent="0.25">
      <c r="A570" t="s">
        <v>1347</v>
      </c>
      <c r="B570">
        <v>202005</v>
      </c>
      <c r="C570" t="s">
        <v>4</v>
      </c>
      <c r="D570" t="s">
        <v>265</v>
      </c>
      <c r="E570">
        <v>115</v>
      </c>
      <c r="F570">
        <v>0</v>
      </c>
      <c r="G570" s="2">
        <v>4.2</v>
      </c>
      <c r="H570">
        <v>0</v>
      </c>
      <c r="K570" t="s">
        <v>229</v>
      </c>
      <c r="L570">
        <v>7</v>
      </c>
      <c r="M570">
        <v>0</v>
      </c>
      <c r="N570" t="s">
        <v>259</v>
      </c>
      <c r="O570" t="s">
        <v>1348</v>
      </c>
      <c r="P570">
        <v>12</v>
      </c>
      <c r="Q57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2C321230</v>
      </c>
      <c r="R570" t="s">
        <v>644</v>
      </c>
      <c r="S57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71" spans="1:20" x14ac:dyDescent="0.25">
      <c r="A571" t="s">
        <v>1347</v>
      </c>
      <c r="B571">
        <v>202005</v>
      </c>
      <c r="C571" t="s">
        <v>5</v>
      </c>
      <c r="D571" t="s">
        <v>59</v>
      </c>
      <c r="E571">
        <v>8.56</v>
      </c>
      <c r="F571">
        <v>0</v>
      </c>
      <c r="G571" s="2">
        <v>5</v>
      </c>
      <c r="H571">
        <v>0</v>
      </c>
      <c r="K571" t="s">
        <v>229</v>
      </c>
      <c r="L571">
        <v>7</v>
      </c>
      <c r="M571">
        <v>0</v>
      </c>
      <c r="N571" t="s">
        <v>259</v>
      </c>
      <c r="O571" t="s">
        <v>1348</v>
      </c>
      <c r="P571">
        <v>12</v>
      </c>
      <c r="Q57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2C321231</v>
      </c>
      <c r="R571" t="s">
        <v>644</v>
      </c>
      <c r="S57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72" spans="1:20" x14ac:dyDescent="0.25">
      <c r="A572" t="s">
        <v>1347</v>
      </c>
      <c r="B572">
        <v>202005</v>
      </c>
      <c r="C572" t="s">
        <v>6</v>
      </c>
      <c r="D572" t="s">
        <v>60</v>
      </c>
      <c r="E572">
        <v>50</v>
      </c>
      <c r="F572">
        <v>0</v>
      </c>
      <c r="G572" s="2">
        <v>21.8</v>
      </c>
      <c r="H572">
        <v>0</v>
      </c>
      <c r="I572">
        <v>1570</v>
      </c>
      <c r="K572" t="s">
        <v>229</v>
      </c>
      <c r="L572">
        <v>7</v>
      </c>
      <c r="M572">
        <v>0</v>
      </c>
      <c r="N572" t="s">
        <v>259</v>
      </c>
      <c r="O572" t="s">
        <v>1348</v>
      </c>
      <c r="P572">
        <v>12</v>
      </c>
      <c r="Q57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2C321245</v>
      </c>
      <c r="R572" t="s">
        <v>644</v>
      </c>
      <c r="S57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73" spans="1:20" x14ac:dyDescent="0.25">
      <c r="A573" t="s">
        <v>1347</v>
      </c>
      <c r="B573">
        <v>202005</v>
      </c>
      <c r="C573" t="s">
        <v>56</v>
      </c>
      <c r="D573" t="s">
        <v>246</v>
      </c>
      <c r="E573">
        <v>0</v>
      </c>
      <c r="F573">
        <v>0</v>
      </c>
      <c r="G573" s="2">
        <v>0.3</v>
      </c>
      <c r="H573">
        <v>0</v>
      </c>
      <c r="K573" t="s">
        <v>229</v>
      </c>
      <c r="L573">
        <v>8</v>
      </c>
      <c r="M573">
        <v>0</v>
      </c>
      <c r="O573" t="s">
        <v>1348</v>
      </c>
      <c r="P573">
        <v>12</v>
      </c>
      <c r="Q57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2C328999</v>
      </c>
      <c r="R573" t="s">
        <v>644</v>
      </c>
      <c r="S57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574" spans="1:20" x14ac:dyDescent="0.25">
      <c r="A574" t="s">
        <v>1349</v>
      </c>
      <c r="B574">
        <v>202005</v>
      </c>
      <c r="C574" t="s">
        <v>141</v>
      </c>
      <c r="D574" t="s">
        <v>262</v>
      </c>
      <c r="E574" s="1020">
        <v>433.66277000000002</v>
      </c>
      <c r="F574">
        <v>0</v>
      </c>
      <c r="G574" s="2">
        <v>100</v>
      </c>
      <c r="H574">
        <v>0</v>
      </c>
      <c r="I574">
        <v>1570</v>
      </c>
      <c r="K574" t="s">
        <v>229</v>
      </c>
      <c r="L574">
        <v>1</v>
      </c>
      <c r="M574">
        <v>0</v>
      </c>
      <c r="N574" t="s">
        <v>259</v>
      </c>
      <c r="O574" t="s">
        <v>1350</v>
      </c>
      <c r="P574">
        <v>12</v>
      </c>
      <c r="Q57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2C331102</v>
      </c>
      <c r="R574" t="s">
        <v>644</v>
      </c>
      <c r="S57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575" spans="1:20" x14ac:dyDescent="0.25">
      <c r="A575" t="s">
        <v>1349</v>
      </c>
      <c r="B575">
        <v>202005</v>
      </c>
      <c r="C575" t="s">
        <v>114</v>
      </c>
      <c r="D575" t="s">
        <v>276</v>
      </c>
      <c r="E575" s="1020">
        <v>1053.69</v>
      </c>
      <c r="F575">
        <v>0</v>
      </c>
      <c r="G575" s="2">
        <v>29.3</v>
      </c>
      <c r="H575">
        <v>0</v>
      </c>
      <c r="K575" t="s">
        <v>229</v>
      </c>
      <c r="L575">
        <v>6</v>
      </c>
      <c r="M575">
        <v>0</v>
      </c>
      <c r="N575" t="s">
        <v>259</v>
      </c>
      <c r="O575" t="s">
        <v>1350</v>
      </c>
      <c r="P575">
        <v>12</v>
      </c>
      <c r="Q57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2C331191</v>
      </c>
      <c r="R575" t="s">
        <v>644</v>
      </c>
      <c r="S57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  <c r="T575" t="s">
        <v>161</v>
      </c>
    </row>
    <row r="576" spans="1:20" x14ac:dyDescent="0.25">
      <c r="A576" t="s">
        <v>1349</v>
      </c>
      <c r="B576">
        <v>202005</v>
      </c>
      <c r="C576" t="s">
        <v>161</v>
      </c>
      <c r="D576" t="s">
        <v>205</v>
      </c>
      <c r="E576">
        <v>294.75</v>
      </c>
      <c r="F576">
        <v>0</v>
      </c>
      <c r="G576" s="2">
        <v>16.899999999999999</v>
      </c>
      <c r="H576">
        <v>0</v>
      </c>
      <c r="K576" t="s">
        <v>229</v>
      </c>
      <c r="L576">
        <v>7</v>
      </c>
      <c r="M576">
        <v>0</v>
      </c>
      <c r="N576" t="s">
        <v>259</v>
      </c>
      <c r="O576" t="s">
        <v>1350</v>
      </c>
      <c r="P576">
        <v>12</v>
      </c>
      <c r="Q57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2C331152</v>
      </c>
      <c r="R576" t="s">
        <v>644</v>
      </c>
      <c r="S57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77" spans="1:20" x14ac:dyDescent="0.25">
      <c r="A577" t="s">
        <v>1349</v>
      </c>
      <c r="B577">
        <v>202005</v>
      </c>
      <c r="C577" t="s">
        <v>142</v>
      </c>
      <c r="D577" t="s">
        <v>263</v>
      </c>
      <c r="E577">
        <v>330</v>
      </c>
      <c r="F577">
        <v>0</v>
      </c>
      <c r="G577" s="2">
        <v>5</v>
      </c>
      <c r="H577">
        <v>0</v>
      </c>
      <c r="K577" t="s">
        <v>229</v>
      </c>
      <c r="L577">
        <v>7</v>
      </c>
      <c r="M577">
        <v>0</v>
      </c>
      <c r="N577" t="s">
        <v>259</v>
      </c>
      <c r="O577" t="s">
        <v>1350</v>
      </c>
      <c r="P577">
        <v>12</v>
      </c>
      <c r="Q57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2C331194</v>
      </c>
      <c r="R577" t="s">
        <v>644</v>
      </c>
      <c r="S57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78" spans="1:20" x14ac:dyDescent="0.25">
      <c r="A578" t="s">
        <v>1349</v>
      </c>
      <c r="B578">
        <v>202005</v>
      </c>
      <c r="C578" t="s">
        <v>143</v>
      </c>
      <c r="D578" t="s">
        <v>264</v>
      </c>
      <c r="E578">
        <v>210</v>
      </c>
      <c r="F578">
        <v>0</v>
      </c>
      <c r="G578" s="2">
        <v>6.4</v>
      </c>
      <c r="H578">
        <v>0</v>
      </c>
      <c r="K578" t="s">
        <v>229</v>
      </c>
      <c r="L578">
        <v>7</v>
      </c>
      <c r="M578">
        <v>0</v>
      </c>
      <c r="N578" t="s">
        <v>259</v>
      </c>
      <c r="O578" t="s">
        <v>1350</v>
      </c>
      <c r="P578">
        <v>12</v>
      </c>
      <c r="Q57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2C331195</v>
      </c>
      <c r="R578" t="s">
        <v>644</v>
      </c>
      <c r="S57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79" spans="1:20" x14ac:dyDescent="0.25">
      <c r="A579" t="s">
        <v>1349</v>
      </c>
      <c r="B579">
        <v>202005</v>
      </c>
      <c r="C579" t="s">
        <v>3</v>
      </c>
      <c r="D579" t="s">
        <v>58</v>
      </c>
      <c r="E579">
        <v>275</v>
      </c>
      <c r="F579">
        <v>0</v>
      </c>
      <c r="G579" s="2">
        <v>3.1</v>
      </c>
      <c r="H579">
        <v>0</v>
      </c>
      <c r="K579" t="s">
        <v>229</v>
      </c>
      <c r="L579">
        <v>7</v>
      </c>
      <c r="M579">
        <v>0</v>
      </c>
      <c r="N579" t="s">
        <v>259</v>
      </c>
      <c r="O579" t="s">
        <v>1350</v>
      </c>
      <c r="P579">
        <v>12</v>
      </c>
      <c r="Q57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2C331229</v>
      </c>
      <c r="R579" t="s">
        <v>644</v>
      </c>
      <c r="S57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80" spans="1:20" x14ac:dyDescent="0.25">
      <c r="A580" t="s">
        <v>1349</v>
      </c>
      <c r="B580">
        <v>202005</v>
      </c>
      <c r="C580" t="s">
        <v>4</v>
      </c>
      <c r="D580" t="s">
        <v>265</v>
      </c>
      <c r="E580">
        <v>115</v>
      </c>
      <c r="F580">
        <v>0</v>
      </c>
      <c r="G580" s="2">
        <v>13.9</v>
      </c>
      <c r="H580">
        <v>0</v>
      </c>
      <c r="K580" t="s">
        <v>229</v>
      </c>
      <c r="L580">
        <v>7</v>
      </c>
      <c r="M580">
        <v>0</v>
      </c>
      <c r="N580" t="s">
        <v>259</v>
      </c>
      <c r="O580" t="s">
        <v>1350</v>
      </c>
      <c r="P580">
        <v>12</v>
      </c>
      <c r="Q58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2C331230</v>
      </c>
      <c r="R580" t="s">
        <v>644</v>
      </c>
      <c r="S58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81" spans="1:20" x14ac:dyDescent="0.25">
      <c r="A581" t="s">
        <v>1349</v>
      </c>
      <c r="B581">
        <v>202005</v>
      </c>
      <c r="C581" t="s">
        <v>5</v>
      </c>
      <c r="D581" t="s">
        <v>59</v>
      </c>
      <c r="E581">
        <v>8.56</v>
      </c>
      <c r="F581">
        <v>0</v>
      </c>
      <c r="G581" s="2">
        <v>6.1</v>
      </c>
      <c r="H581">
        <v>0</v>
      </c>
      <c r="K581" t="s">
        <v>229</v>
      </c>
      <c r="L581">
        <v>7</v>
      </c>
      <c r="M581">
        <v>0</v>
      </c>
      <c r="N581" t="s">
        <v>259</v>
      </c>
      <c r="O581" t="s">
        <v>1350</v>
      </c>
      <c r="P581">
        <v>12</v>
      </c>
      <c r="Q58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2C331231</v>
      </c>
      <c r="R581" t="s">
        <v>644</v>
      </c>
      <c r="S58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82" spans="1:20" x14ac:dyDescent="0.25">
      <c r="A582" t="s">
        <v>1349</v>
      </c>
      <c r="B582">
        <v>202005</v>
      </c>
      <c r="C582" t="s">
        <v>6</v>
      </c>
      <c r="D582" t="s">
        <v>60</v>
      </c>
      <c r="E582">
        <v>50</v>
      </c>
      <c r="F582">
        <v>0</v>
      </c>
      <c r="G582" s="2">
        <v>19.2</v>
      </c>
      <c r="H582">
        <v>0</v>
      </c>
      <c r="I582">
        <v>1570</v>
      </c>
      <c r="K582" t="s">
        <v>229</v>
      </c>
      <c r="L582">
        <v>7</v>
      </c>
      <c r="M582">
        <v>0</v>
      </c>
      <c r="N582" t="s">
        <v>259</v>
      </c>
      <c r="O582" t="s">
        <v>1350</v>
      </c>
      <c r="P582">
        <v>12</v>
      </c>
      <c r="Q58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2C331245</v>
      </c>
      <c r="R582" t="s">
        <v>644</v>
      </c>
      <c r="S58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83" spans="1:20" x14ac:dyDescent="0.25">
      <c r="A583" t="s">
        <v>1349</v>
      </c>
      <c r="B583">
        <v>202005</v>
      </c>
      <c r="C583" t="s">
        <v>56</v>
      </c>
      <c r="D583" t="s">
        <v>246</v>
      </c>
      <c r="E583">
        <v>0</v>
      </c>
      <c r="F583">
        <v>0</v>
      </c>
      <c r="G583" s="2">
        <v>0.1</v>
      </c>
      <c r="H583">
        <v>0</v>
      </c>
      <c r="K583" t="s">
        <v>229</v>
      </c>
      <c r="L583">
        <v>8</v>
      </c>
      <c r="M583">
        <v>0</v>
      </c>
      <c r="O583" t="s">
        <v>1350</v>
      </c>
      <c r="P583">
        <v>12</v>
      </c>
      <c r="Q58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2C338999</v>
      </c>
      <c r="R583" t="s">
        <v>644</v>
      </c>
      <c r="S58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584" spans="1:20" x14ac:dyDescent="0.25">
      <c r="A584" t="s">
        <v>130</v>
      </c>
      <c r="B584">
        <v>202005</v>
      </c>
      <c r="C584" t="s">
        <v>141</v>
      </c>
      <c r="D584" t="s">
        <v>262</v>
      </c>
      <c r="E584">
        <v>433.66277000000002</v>
      </c>
      <c r="F584">
        <v>0</v>
      </c>
      <c r="G584" s="2">
        <v>100</v>
      </c>
      <c r="H584">
        <v>0</v>
      </c>
      <c r="I584">
        <v>1570</v>
      </c>
      <c r="K584" t="s">
        <v>229</v>
      </c>
      <c r="L584">
        <v>1</v>
      </c>
      <c r="M584">
        <v>0</v>
      </c>
      <c r="N584" t="s">
        <v>259</v>
      </c>
      <c r="O584" t="s">
        <v>287</v>
      </c>
      <c r="P584">
        <v>12</v>
      </c>
      <c r="Q58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2C341102</v>
      </c>
      <c r="R584" t="s">
        <v>644</v>
      </c>
      <c r="S58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585" spans="1:20" x14ac:dyDescent="0.25">
      <c r="A585" t="s">
        <v>130</v>
      </c>
      <c r="B585">
        <v>202005</v>
      </c>
      <c r="C585" t="s">
        <v>129</v>
      </c>
      <c r="D585" t="s">
        <v>267</v>
      </c>
      <c r="E585">
        <v>830.39238</v>
      </c>
      <c r="F585">
        <v>0</v>
      </c>
      <c r="G585" s="2">
        <v>33.200000000000003</v>
      </c>
      <c r="H585">
        <v>0</v>
      </c>
      <c r="I585">
        <v>1570</v>
      </c>
      <c r="K585" t="s">
        <v>229</v>
      </c>
      <c r="L585">
        <v>6</v>
      </c>
      <c r="M585">
        <v>0</v>
      </c>
      <c r="N585" t="s">
        <v>259</v>
      </c>
      <c r="O585" t="s">
        <v>287</v>
      </c>
      <c r="P585">
        <v>12</v>
      </c>
      <c r="Q58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2C341198</v>
      </c>
      <c r="R585" t="s">
        <v>644</v>
      </c>
      <c r="S58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  <c r="T585" t="s">
        <v>147</v>
      </c>
    </row>
    <row r="586" spans="1:20" x14ac:dyDescent="0.25">
      <c r="A586" t="s">
        <v>130</v>
      </c>
      <c r="B586">
        <v>202005</v>
      </c>
      <c r="C586" t="s">
        <v>143</v>
      </c>
      <c r="D586" t="s">
        <v>264</v>
      </c>
      <c r="E586">
        <v>210</v>
      </c>
      <c r="F586">
        <v>0</v>
      </c>
      <c r="G586" s="2">
        <v>6.46</v>
      </c>
      <c r="H586">
        <v>0</v>
      </c>
      <c r="I586">
        <v>1570</v>
      </c>
      <c r="K586" t="s">
        <v>229</v>
      </c>
      <c r="L586">
        <v>7</v>
      </c>
      <c r="M586">
        <v>0</v>
      </c>
      <c r="N586" t="s">
        <v>259</v>
      </c>
      <c r="O586" t="s">
        <v>287</v>
      </c>
      <c r="P586">
        <v>12</v>
      </c>
      <c r="Q58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2C341195</v>
      </c>
      <c r="R586" t="s">
        <v>644</v>
      </c>
      <c r="S58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87" spans="1:20" x14ac:dyDescent="0.25">
      <c r="A587" t="s">
        <v>130</v>
      </c>
      <c r="B587">
        <v>202005</v>
      </c>
      <c r="C587" t="s">
        <v>142</v>
      </c>
      <c r="D587" t="s">
        <v>263</v>
      </c>
      <c r="E587">
        <v>330</v>
      </c>
      <c r="F587">
        <v>0</v>
      </c>
      <c r="G587" s="2">
        <v>9.98</v>
      </c>
      <c r="H587">
        <v>0</v>
      </c>
      <c r="I587">
        <v>1570</v>
      </c>
      <c r="K587" t="s">
        <v>229</v>
      </c>
      <c r="L587">
        <v>7</v>
      </c>
      <c r="M587">
        <v>0</v>
      </c>
      <c r="N587" t="s">
        <v>259</v>
      </c>
      <c r="O587" t="s">
        <v>287</v>
      </c>
      <c r="P587">
        <v>12</v>
      </c>
      <c r="Q58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2C341194</v>
      </c>
      <c r="R587" t="s">
        <v>644</v>
      </c>
      <c r="S58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88" spans="1:20" x14ac:dyDescent="0.25">
      <c r="A588" t="s">
        <v>130</v>
      </c>
      <c r="B588">
        <v>202005</v>
      </c>
      <c r="C588" t="s">
        <v>147</v>
      </c>
      <c r="D588" t="s">
        <v>207</v>
      </c>
      <c r="E588">
        <v>323.2</v>
      </c>
      <c r="F588">
        <v>0</v>
      </c>
      <c r="G588" s="2">
        <v>32.79</v>
      </c>
      <c r="H588">
        <v>0</v>
      </c>
      <c r="I588">
        <v>1570</v>
      </c>
      <c r="K588" t="s">
        <v>229</v>
      </c>
      <c r="L588">
        <v>7</v>
      </c>
      <c r="M588">
        <v>0</v>
      </c>
      <c r="N588" t="s">
        <v>259</v>
      </c>
      <c r="O588" t="s">
        <v>287</v>
      </c>
      <c r="P588">
        <v>12</v>
      </c>
      <c r="Q58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2C341222</v>
      </c>
      <c r="R588" t="s">
        <v>644</v>
      </c>
      <c r="S58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89" spans="1:20" x14ac:dyDescent="0.25">
      <c r="A589" t="s">
        <v>130</v>
      </c>
      <c r="B589">
        <v>202005</v>
      </c>
      <c r="C589" t="s">
        <v>3</v>
      </c>
      <c r="D589" t="s">
        <v>58</v>
      </c>
      <c r="E589">
        <v>275</v>
      </c>
      <c r="F589">
        <v>0</v>
      </c>
      <c r="G589" s="2">
        <v>3.04</v>
      </c>
      <c r="H589">
        <v>0</v>
      </c>
      <c r="I589">
        <v>1570</v>
      </c>
      <c r="K589" t="s">
        <v>229</v>
      </c>
      <c r="L589">
        <v>7</v>
      </c>
      <c r="M589">
        <v>0</v>
      </c>
      <c r="N589" t="s">
        <v>259</v>
      </c>
      <c r="O589" t="s">
        <v>287</v>
      </c>
      <c r="P589">
        <v>12</v>
      </c>
      <c r="Q58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2C341229</v>
      </c>
      <c r="R589" t="s">
        <v>644</v>
      </c>
      <c r="S58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90" spans="1:20" x14ac:dyDescent="0.25">
      <c r="A590" t="s">
        <v>130</v>
      </c>
      <c r="B590">
        <v>202005</v>
      </c>
      <c r="C590" t="s">
        <v>4</v>
      </c>
      <c r="D590" t="s">
        <v>265</v>
      </c>
      <c r="E590">
        <v>115</v>
      </c>
      <c r="F590">
        <v>0</v>
      </c>
      <c r="G590" s="2">
        <v>4.55</v>
      </c>
      <c r="H590">
        <v>0</v>
      </c>
      <c r="I590">
        <v>1570</v>
      </c>
      <c r="K590" t="s">
        <v>229</v>
      </c>
      <c r="L590">
        <v>7</v>
      </c>
      <c r="M590">
        <v>0</v>
      </c>
      <c r="N590" t="s">
        <v>259</v>
      </c>
      <c r="O590" t="s">
        <v>287</v>
      </c>
      <c r="P590">
        <v>12</v>
      </c>
      <c r="Q59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2C341230</v>
      </c>
      <c r="R590" t="s">
        <v>644</v>
      </c>
      <c r="S59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91" spans="1:20" x14ac:dyDescent="0.25">
      <c r="A591" t="s">
        <v>130</v>
      </c>
      <c r="B591">
        <v>202005</v>
      </c>
      <c r="C591" t="s">
        <v>6</v>
      </c>
      <c r="D591" t="s">
        <v>60</v>
      </c>
      <c r="E591">
        <v>50</v>
      </c>
      <c r="F591">
        <v>0</v>
      </c>
      <c r="G591" s="2">
        <v>2.67</v>
      </c>
      <c r="H591">
        <v>0</v>
      </c>
      <c r="I591">
        <v>1570</v>
      </c>
      <c r="K591" t="s">
        <v>229</v>
      </c>
      <c r="L591">
        <v>7</v>
      </c>
      <c r="M591">
        <v>0</v>
      </c>
      <c r="N591" t="s">
        <v>259</v>
      </c>
      <c r="O591" t="s">
        <v>287</v>
      </c>
      <c r="P591">
        <v>12</v>
      </c>
      <c r="Q59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2C341245</v>
      </c>
      <c r="R591" t="s">
        <v>644</v>
      </c>
      <c r="S59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92" spans="1:20" x14ac:dyDescent="0.25">
      <c r="A592" t="s">
        <v>130</v>
      </c>
      <c r="B592">
        <v>202005</v>
      </c>
      <c r="C592" t="s">
        <v>260</v>
      </c>
      <c r="D592" t="s">
        <v>261</v>
      </c>
      <c r="E592">
        <v>50</v>
      </c>
      <c r="F592">
        <v>0</v>
      </c>
      <c r="G592" s="2">
        <v>7.25</v>
      </c>
      <c r="H592">
        <v>0</v>
      </c>
      <c r="I592">
        <v>1570</v>
      </c>
      <c r="K592" t="s">
        <v>229</v>
      </c>
      <c r="L592">
        <v>7</v>
      </c>
      <c r="M592">
        <v>0</v>
      </c>
      <c r="N592" t="s">
        <v>259</v>
      </c>
      <c r="O592" t="s">
        <v>287</v>
      </c>
      <c r="P592">
        <v>12</v>
      </c>
      <c r="Q59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2C341334</v>
      </c>
      <c r="R592" t="s">
        <v>644</v>
      </c>
      <c r="S59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93" spans="1:20" x14ac:dyDescent="0.25">
      <c r="A593" t="s">
        <v>130</v>
      </c>
      <c r="B593">
        <v>202005</v>
      </c>
      <c r="C593" t="s">
        <v>56</v>
      </c>
      <c r="D593" t="s">
        <v>246</v>
      </c>
      <c r="E593">
        <v>0</v>
      </c>
      <c r="F593">
        <v>0</v>
      </c>
      <c r="G593" s="2">
        <v>7.0000000000000007E-2</v>
      </c>
      <c r="H593">
        <v>0</v>
      </c>
      <c r="K593" t="s">
        <v>229</v>
      </c>
      <c r="L593">
        <v>8</v>
      </c>
      <c r="M593">
        <v>0</v>
      </c>
      <c r="O593" t="s">
        <v>287</v>
      </c>
      <c r="P593">
        <v>12</v>
      </c>
      <c r="Q59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2C348999</v>
      </c>
      <c r="R593" t="s">
        <v>644</v>
      </c>
      <c r="S59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594" spans="1:20" x14ac:dyDescent="0.25">
      <c r="A594" t="s">
        <v>139</v>
      </c>
      <c r="B594">
        <v>202005</v>
      </c>
      <c r="C594" t="s">
        <v>141</v>
      </c>
      <c r="D594" t="s">
        <v>262</v>
      </c>
      <c r="E594">
        <v>433.66277000000002</v>
      </c>
      <c r="F594">
        <v>0</v>
      </c>
      <c r="G594" s="2">
        <v>100</v>
      </c>
      <c r="H594">
        <v>0</v>
      </c>
      <c r="I594">
        <v>1570</v>
      </c>
      <c r="K594" t="s">
        <v>229</v>
      </c>
      <c r="L594">
        <v>1</v>
      </c>
      <c r="M594">
        <v>0</v>
      </c>
      <c r="N594" t="s">
        <v>259</v>
      </c>
      <c r="O594" t="s">
        <v>288</v>
      </c>
      <c r="P594">
        <v>12</v>
      </c>
      <c r="Q59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2C351102</v>
      </c>
      <c r="R594" t="s">
        <v>644</v>
      </c>
      <c r="S59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595" spans="1:20" x14ac:dyDescent="0.25">
      <c r="A595" t="s">
        <v>139</v>
      </c>
      <c r="B595">
        <v>202005</v>
      </c>
      <c r="C595" t="s">
        <v>138</v>
      </c>
      <c r="D595" t="s">
        <v>269</v>
      </c>
      <c r="E595" s="1020">
        <v>603.71</v>
      </c>
      <c r="F595">
        <v>0</v>
      </c>
      <c r="G595" s="2">
        <v>53.36</v>
      </c>
      <c r="H595">
        <v>0</v>
      </c>
      <c r="I595">
        <v>1570</v>
      </c>
      <c r="K595" t="s">
        <v>229</v>
      </c>
      <c r="L595">
        <v>6</v>
      </c>
      <c r="M595">
        <v>0</v>
      </c>
      <c r="N595" t="s">
        <v>259</v>
      </c>
      <c r="O595" t="s">
        <v>288</v>
      </c>
      <c r="P595">
        <v>12</v>
      </c>
      <c r="Q59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2C351204</v>
      </c>
      <c r="R595" t="s">
        <v>644</v>
      </c>
      <c r="S59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  <c r="T595" t="s">
        <v>147</v>
      </c>
    </row>
    <row r="596" spans="1:20" x14ac:dyDescent="0.25">
      <c r="A596" t="s">
        <v>139</v>
      </c>
      <c r="B596">
        <v>202005</v>
      </c>
      <c r="C596" t="s">
        <v>260</v>
      </c>
      <c r="D596" t="s">
        <v>261</v>
      </c>
      <c r="E596">
        <v>50</v>
      </c>
      <c r="F596">
        <v>0</v>
      </c>
      <c r="G596" s="2">
        <v>1.1499999999999999</v>
      </c>
      <c r="H596">
        <v>0</v>
      </c>
      <c r="I596">
        <v>1570</v>
      </c>
      <c r="K596" t="s">
        <v>229</v>
      </c>
      <c r="L596">
        <v>7</v>
      </c>
      <c r="M596">
        <v>0</v>
      </c>
      <c r="N596" t="s">
        <v>259</v>
      </c>
      <c r="O596" t="s">
        <v>288</v>
      </c>
      <c r="P596">
        <v>12</v>
      </c>
      <c r="Q59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2C351334</v>
      </c>
      <c r="R596" t="s">
        <v>644</v>
      </c>
      <c r="S59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97" spans="1:20" x14ac:dyDescent="0.25">
      <c r="A597" t="s">
        <v>139</v>
      </c>
      <c r="B597">
        <v>202005</v>
      </c>
      <c r="C597" t="s">
        <v>142</v>
      </c>
      <c r="D597" t="s">
        <v>263</v>
      </c>
      <c r="E597">
        <v>330</v>
      </c>
      <c r="F597">
        <v>0</v>
      </c>
      <c r="G597" s="2">
        <v>6.02</v>
      </c>
      <c r="H597">
        <v>0</v>
      </c>
      <c r="I597">
        <v>1570</v>
      </c>
      <c r="K597" t="s">
        <v>229</v>
      </c>
      <c r="L597">
        <v>7</v>
      </c>
      <c r="M597">
        <v>0</v>
      </c>
      <c r="N597" t="s">
        <v>259</v>
      </c>
      <c r="O597" t="s">
        <v>288</v>
      </c>
      <c r="P597">
        <v>12</v>
      </c>
      <c r="Q59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2C351194</v>
      </c>
      <c r="R597" t="s">
        <v>644</v>
      </c>
      <c r="S59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98" spans="1:20" x14ac:dyDescent="0.25">
      <c r="A598" t="s">
        <v>139</v>
      </c>
      <c r="B598">
        <v>202005</v>
      </c>
      <c r="C598" t="s">
        <v>147</v>
      </c>
      <c r="D598" t="s">
        <v>207</v>
      </c>
      <c r="E598">
        <v>323.2</v>
      </c>
      <c r="F598">
        <v>0</v>
      </c>
      <c r="G598" s="2">
        <v>27.08</v>
      </c>
      <c r="H598">
        <v>0</v>
      </c>
      <c r="I598">
        <v>1570</v>
      </c>
      <c r="K598" t="s">
        <v>229</v>
      </c>
      <c r="L598">
        <v>7</v>
      </c>
      <c r="M598">
        <v>0</v>
      </c>
      <c r="N598" t="s">
        <v>259</v>
      </c>
      <c r="O598" t="s">
        <v>288</v>
      </c>
      <c r="P598">
        <v>12</v>
      </c>
      <c r="Q59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2C351222</v>
      </c>
      <c r="R598" t="s">
        <v>644</v>
      </c>
      <c r="S59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599" spans="1:20" x14ac:dyDescent="0.25">
      <c r="A599" t="s">
        <v>139</v>
      </c>
      <c r="B599">
        <v>202005</v>
      </c>
      <c r="C599" t="s">
        <v>3</v>
      </c>
      <c r="D599" t="s">
        <v>58</v>
      </c>
      <c r="E599">
        <v>275</v>
      </c>
      <c r="F599">
        <v>0</v>
      </c>
      <c r="G599" s="2">
        <v>2.12</v>
      </c>
      <c r="H599">
        <v>0</v>
      </c>
      <c r="I599">
        <v>1570</v>
      </c>
      <c r="K599" t="s">
        <v>229</v>
      </c>
      <c r="L599">
        <v>7</v>
      </c>
      <c r="M599">
        <v>0</v>
      </c>
      <c r="N599" t="s">
        <v>259</v>
      </c>
      <c r="O599" t="s">
        <v>288</v>
      </c>
      <c r="P599">
        <v>12</v>
      </c>
      <c r="Q59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2C351229</v>
      </c>
      <c r="R599" t="s">
        <v>644</v>
      </c>
      <c r="S59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00" spans="1:20" x14ac:dyDescent="0.25">
      <c r="A600" t="s">
        <v>139</v>
      </c>
      <c r="B600">
        <v>202005</v>
      </c>
      <c r="C600" t="s">
        <v>4</v>
      </c>
      <c r="D600" t="s">
        <v>265</v>
      </c>
      <c r="E600">
        <v>115</v>
      </c>
      <c r="F600">
        <v>0</v>
      </c>
      <c r="G600" s="2">
        <v>2.0099999999999998</v>
      </c>
      <c r="H600">
        <v>0</v>
      </c>
      <c r="I600">
        <v>1570</v>
      </c>
      <c r="K600" t="s">
        <v>229</v>
      </c>
      <c r="L600">
        <v>7</v>
      </c>
      <c r="M600">
        <v>0</v>
      </c>
      <c r="N600" t="s">
        <v>259</v>
      </c>
      <c r="O600" t="s">
        <v>288</v>
      </c>
      <c r="P600">
        <v>12</v>
      </c>
      <c r="Q60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2C351230</v>
      </c>
      <c r="R600" t="s">
        <v>644</v>
      </c>
      <c r="S60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01" spans="1:20" x14ac:dyDescent="0.25">
      <c r="A601" t="s">
        <v>139</v>
      </c>
      <c r="B601">
        <v>202005</v>
      </c>
      <c r="C601" t="s">
        <v>6</v>
      </c>
      <c r="D601" t="s">
        <v>60</v>
      </c>
      <c r="E601">
        <v>50</v>
      </c>
      <c r="F601">
        <v>0</v>
      </c>
      <c r="G601" s="2">
        <v>7.86</v>
      </c>
      <c r="H601">
        <v>0</v>
      </c>
      <c r="I601">
        <v>1570</v>
      </c>
      <c r="K601" t="s">
        <v>229</v>
      </c>
      <c r="L601">
        <v>7</v>
      </c>
      <c r="M601">
        <v>0</v>
      </c>
      <c r="N601" t="s">
        <v>259</v>
      </c>
      <c r="O601" t="s">
        <v>288</v>
      </c>
      <c r="P601">
        <v>12</v>
      </c>
      <c r="Q60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2C351245</v>
      </c>
      <c r="R601" t="s">
        <v>644</v>
      </c>
      <c r="S60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02" spans="1:20" x14ac:dyDescent="0.25">
      <c r="A602" t="s">
        <v>139</v>
      </c>
      <c r="B602">
        <v>202005</v>
      </c>
      <c r="C602" t="s">
        <v>56</v>
      </c>
      <c r="D602" t="s">
        <v>246</v>
      </c>
      <c r="E602" s="1020">
        <v>0</v>
      </c>
      <c r="F602">
        <v>0</v>
      </c>
      <c r="G602" s="2">
        <v>0.4</v>
      </c>
      <c r="H602">
        <v>0</v>
      </c>
      <c r="K602" t="s">
        <v>229</v>
      </c>
      <c r="L602">
        <v>8</v>
      </c>
      <c r="M602">
        <v>0</v>
      </c>
      <c r="O602" t="s">
        <v>288</v>
      </c>
      <c r="P602">
        <v>12</v>
      </c>
      <c r="Q60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2C358999</v>
      </c>
      <c r="R602" t="s">
        <v>644</v>
      </c>
      <c r="S60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603" spans="1:20" x14ac:dyDescent="0.25">
      <c r="A603" t="s">
        <v>554</v>
      </c>
      <c r="B603">
        <v>202005</v>
      </c>
      <c r="C603" t="s">
        <v>141</v>
      </c>
      <c r="D603" t="s">
        <v>262</v>
      </c>
      <c r="E603">
        <v>433.66277000000002</v>
      </c>
      <c r="F603">
        <v>0</v>
      </c>
      <c r="G603" s="2">
        <v>100</v>
      </c>
      <c r="H603">
        <v>0</v>
      </c>
      <c r="I603">
        <v>1570</v>
      </c>
      <c r="K603" t="s">
        <v>229</v>
      </c>
      <c r="L603">
        <v>1</v>
      </c>
      <c r="M603">
        <v>0</v>
      </c>
      <c r="N603" t="s">
        <v>259</v>
      </c>
      <c r="O603" t="s">
        <v>555</v>
      </c>
      <c r="P603">
        <v>12</v>
      </c>
      <c r="Q60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2C361102</v>
      </c>
      <c r="R603" t="s">
        <v>644</v>
      </c>
      <c r="S60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604" spans="1:20" x14ac:dyDescent="0.25">
      <c r="A604" t="s">
        <v>554</v>
      </c>
      <c r="B604">
        <v>202005</v>
      </c>
      <c r="C604" t="s">
        <v>122</v>
      </c>
      <c r="D604" t="s">
        <v>294</v>
      </c>
      <c r="E604">
        <v>703.05</v>
      </c>
      <c r="F604">
        <v>0</v>
      </c>
      <c r="G604" s="2">
        <v>41.04</v>
      </c>
      <c r="H604">
        <v>0</v>
      </c>
      <c r="I604">
        <v>1570</v>
      </c>
      <c r="K604" t="s">
        <v>229</v>
      </c>
      <c r="L604">
        <v>6</v>
      </c>
      <c r="M604">
        <v>0</v>
      </c>
      <c r="N604" t="s">
        <v>259</v>
      </c>
      <c r="O604" t="s">
        <v>555</v>
      </c>
      <c r="P604">
        <v>12</v>
      </c>
      <c r="Q60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2C361196</v>
      </c>
      <c r="R604" t="s">
        <v>644</v>
      </c>
      <c r="S60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  <c r="T604" t="s">
        <v>144</v>
      </c>
    </row>
    <row r="605" spans="1:20" x14ac:dyDescent="0.25">
      <c r="A605" t="s">
        <v>554</v>
      </c>
      <c r="B605">
        <v>202005</v>
      </c>
      <c r="C605" t="s">
        <v>144</v>
      </c>
      <c r="D605" t="s">
        <v>211</v>
      </c>
      <c r="E605">
        <v>350</v>
      </c>
      <c r="F605">
        <v>0</v>
      </c>
      <c r="G605" s="2">
        <v>26.89</v>
      </c>
      <c r="H605">
        <v>0</v>
      </c>
      <c r="I605">
        <v>1570</v>
      </c>
      <c r="K605" t="s">
        <v>229</v>
      </c>
      <c r="L605">
        <v>7</v>
      </c>
      <c r="M605">
        <v>0</v>
      </c>
      <c r="N605" t="s">
        <v>259</v>
      </c>
      <c r="O605" t="s">
        <v>555</v>
      </c>
      <c r="P605">
        <v>12</v>
      </c>
      <c r="Q60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2C361225</v>
      </c>
      <c r="R605" t="s">
        <v>644</v>
      </c>
      <c r="S60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06" spans="1:20" x14ac:dyDescent="0.25">
      <c r="A606" t="s">
        <v>554</v>
      </c>
      <c r="B606">
        <v>202005</v>
      </c>
      <c r="C606" t="s">
        <v>142</v>
      </c>
      <c r="D606" t="s">
        <v>263</v>
      </c>
      <c r="E606">
        <v>330</v>
      </c>
      <c r="F606">
        <v>0</v>
      </c>
      <c r="G606" s="2">
        <v>9.49</v>
      </c>
      <c r="H606">
        <v>0</v>
      </c>
      <c r="I606">
        <v>1570</v>
      </c>
      <c r="K606" t="s">
        <v>229</v>
      </c>
      <c r="L606">
        <v>7</v>
      </c>
      <c r="M606">
        <v>0</v>
      </c>
      <c r="N606" t="s">
        <v>259</v>
      </c>
      <c r="O606" t="s">
        <v>555</v>
      </c>
      <c r="P606">
        <v>12</v>
      </c>
      <c r="Q60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2C361194</v>
      </c>
      <c r="R606" t="s">
        <v>644</v>
      </c>
      <c r="S60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07" spans="1:20" x14ac:dyDescent="0.25">
      <c r="A607" t="s">
        <v>554</v>
      </c>
      <c r="B607">
        <v>202005</v>
      </c>
      <c r="C607" t="s">
        <v>3</v>
      </c>
      <c r="D607" t="s">
        <v>58</v>
      </c>
      <c r="E607">
        <v>275</v>
      </c>
      <c r="F607">
        <v>0</v>
      </c>
      <c r="G607" s="2">
        <v>1.03</v>
      </c>
      <c r="H607">
        <v>0</v>
      </c>
      <c r="I607">
        <v>1570</v>
      </c>
      <c r="K607" t="s">
        <v>229</v>
      </c>
      <c r="L607">
        <v>7</v>
      </c>
      <c r="M607">
        <v>0</v>
      </c>
      <c r="N607" t="s">
        <v>259</v>
      </c>
      <c r="O607" t="s">
        <v>555</v>
      </c>
      <c r="P607">
        <v>12</v>
      </c>
      <c r="Q60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2C361229</v>
      </c>
      <c r="R607" t="s">
        <v>644</v>
      </c>
      <c r="S60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08" spans="1:20" x14ac:dyDescent="0.25">
      <c r="A608" t="s">
        <v>554</v>
      </c>
      <c r="B608">
        <v>202005</v>
      </c>
      <c r="C608" t="s">
        <v>4</v>
      </c>
      <c r="D608" t="s">
        <v>265</v>
      </c>
      <c r="E608">
        <v>115</v>
      </c>
      <c r="F608">
        <v>0</v>
      </c>
      <c r="G608" s="2">
        <v>9.42</v>
      </c>
      <c r="H608">
        <v>0</v>
      </c>
      <c r="I608">
        <v>1570</v>
      </c>
      <c r="K608" t="s">
        <v>229</v>
      </c>
      <c r="L608">
        <v>7</v>
      </c>
      <c r="M608">
        <v>0</v>
      </c>
      <c r="N608" t="s">
        <v>259</v>
      </c>
      <c r="O608" t="s">
        <v>555</v>
      </c>
      <c r="P608">
        <v>12</v>
      </c>
      <c r="Q60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2C361230</v>
      </c>
      <c r="R608" t="s">
        <v>644</v>
      </c>
      <c r="S60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09" spans="1:20" x14ac:dyDescent="0.25">
      <c r="A609" t="s">
        <v>554</v>
      </c>
      <c r="B609">
        <v>202005</v>
      </c>
      <c r="C609" t="s">
        <v>6</v>
      </c>
      <c r="D609" t="s">
        <v>60</v>
      </c>
      <c r="E609">
        <v>50</v>
      </c>
      <c r="F609">
        <v>0</v>
      </c>
      <c r="G609" s="2">
        <v>4.25</v>
      </c>
      <c r="H609">
        <v>0</v>
      </c>
      <c r="I609">
        <v>1570</v>
      </c>
      <c r="K609" t="s">
        <v>229</v>
      </c>
      <c r="L609">
        <v>7</v>
      </c>
      <c r="M609">
        <v>0</v>
      </c>
      <c r="N609" t="s">
        <v>259</v>
      </c>
      <c r="O609" t="s">
        <v>555</v>
      </c>
      <c r="P609">
        <v>12</v>
      </c>
      <c r="Q60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2C361245</v>
      </c>
      <c r="R609" t="s">
        <v>644</v>
      </c>
      <c r="S60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10" spans="1:20" x14ac:dyDescent="0.25">
      <c r="A610" t="s">
        <v>554</v>
      </c>
      <c r="B610">
        <v>202005</v>
      </c>
      <c r="C610" t="s">
        <v>260</v>
      </c>
      <c r="D610" t="s">
        <v>261</v>
      </c>
      <c r="E610" s="1020">
        <v>50</v>
      </c>
      <c r="F610">
        <v>0</v>
      </c>
      <c r="G610" s="2">
        <v>7.82</v>
      </c>
      <c r="H610">
        <v>0</v>
      </c>
      <c r="I610">
        <v>1570</v>
      </c>
      <c r="K610" t="s">
        <v>229</v>
      </c>
      <c r="L610">
        <v>7</v>
      </c>
      <c r="M610">
        <v>0</v>
      </c>
      <c r="N610" t="s">
        <v>259</v>
      </c>
      <c r="O610" t="s">
        <v>555</v>
      </c>
      <c r="P610">
        <v>12</v>
      </c>
      <c r="Q61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2C361334</v>
      </c>
      <c r="R610" t="s">
        <v>644</v>
      </c>
      <c r="S61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11" spans="1:20" x14ac:dyDescent="0.25">
      <c r="A611" t="s">
        <v>554</v>
      </c>
      <c r="B611">
        <v>202005</v>
      </c>
      <c r="C611" t="s">
        <v>56</v>
      </c>
      <c r="D611" t="s">
        <v>246</v>
      </c>
      <c r="E611">
        <v>0</v>
      </c>
      <c r="F611">
        <v>0</v>
      </c>
      <c r="G611" s="2">
        <v>0.06</v>
      </c>
      <c r="H611">
        <v>0</v>
      </c>
      <c r="K611" t="s">
        <v>229</v>
      </c>
      <c r="L611">
        <v>8</v>
      </c>
      <c r="M611">
        <v>0</v>
      </c>
      <c r="O611" t="s">
        <v>555</v>
      </c>
      <c r="P611">
        <v>12</v>
      </c>
      <c r="Q61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2C368999</v>
      </c>
      <c r="R611" t="s">
        <v>644</v>
      </c>
      <c r="S61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612" spans="1:20" x14ac:dyDescent="0.25">
      <c r="A612" t="s">
        <v>120</v>
      </c>
      <c r="B612">
        <v>202005</v>
      </c>
      <c r="C612" t="s">
        <v>141</v>
      </c>
      <c r="D612" t="s">
        <v>262</v>
      </c>
      <c r="E612">
        <v>433.66277000000002</v>
      </c>
      <c r="F612">
        <v>0</v>
      </c>
      <c r="G612" s="2">
        <v>100</v>
      </c>
      <c r="H612">
        <v>0</v>
      </c>
      <c r="I612">
        <v>1570</v>
      </c>
      <c r="K612" t="s">
        <v>229</v>
      </c>
      <c r="L612">
        <v>1</v>
      </c>
      <c r="M612">
        <v>0</v>
      </c>
      <c r="N612" t="s">
        <v>259</v>
      </c>
      <c r="O612" t="s">
        <v>289</v>
      </c>
      <c r="P612">
        <v>12</v>
      </c>
      <c r="Q61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2C371102</v>
      </c>
      <c r="R612" t="s">
        <v>644</v>
      </c>
      <c r="S61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613" spans="1:20" x14ac:dyDescent="0.25">
      <c r="A613" t="s">
        <v>120</v>
      </c>
      <c r="B613">
        <v>202005</v>
      </c>
      <c r="C613" t="s">
        <v>119</v>
      </c>
      <c r="D613" t="s">
        <v>274</v>
      </c>
      <c r="E613" s="1020">
        <v>1090.1350199999999</v>
      </c>
      <c r="F613">
        <v>0</v>
      </c>
      <c r="G613" s="2">
        <v>23.53</v>
      </c>
      <c r="H613">
        <v>0</v>
      </c>
      <c r="I613">
        <v>1570</v>
      </c>
      <c r="K613" t="s">
        <v>229</v>
      </c>
      <c r="L613">
        <v>6</v>
      </c>
      <c r="M613">
        <v>0</v>
      </c>
      <c r="N613" t="s">
        <v>259</v>
      </c>
      <c r="O613" t="s">
        <v>289</v>
      </c>
      <c r="P613">
        <v>12</v>
      </c>
      <c r="Q61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2C371193</v>
      </c>
      <c r="R613" t="s">
        <v>644</v>
      </c>
      <c r="S61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  <c r="T613" t="s">
        <v>151</v>
      </c>
    </row>
    <row r="614" spans="1:20" x14ac:dyDescent="0.25">
      <c r="A614" t="s">
        <v>120</v>
      </c>
      <c r="B614">
        <v>202005</v>
      </c>
      <c r="C614" t="s">
        <v>142</v>
      </c>
      <c r="D614" t="s">
        <v>263</v>
      </c>
      <c r="E614">
        <v>330</v>
      </c>
      <c r="F614">
        <v>0</v>
      </c>
      <c r="G614" s="2">
        <v>9.9700000000000006</v>
      </c>
      <c r="H614">
        <v>0</v>
      </c>
      <c r="I614">
        <v>1570</v>
      </c>
      <c r="K614" t="s">
        <v>229</v>
      </c>
      <c r="L614">
        <v>7</v>
      </c>
      <c r="M614">
        <v>0</v>
      </c>
      <c r="N614" t="s">
        <v>259</v>
      </c>
      <c r="O614" t="s">
        <v>289</v>
      </c>
      <c r="P614">
        <v>12</v>
      </c>
      <c r="Q61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2C371194</v>
      </c>
      <c r="R614" t="s">
        <v>644</v>
      </c>
      <c r="S61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15" spans="1:20" x14ac:dyDescent="0.25">
      <c r="A615" t="s">
        <v>120</v>
      </c>
      <c r="B615">
        <v>202005</v>
      </c>
      <c r="C615" t="s">
        <v>143</v>
      </c>
      <c r="D615" t="s">
        <v>264</v>
      </c>
      <c r="E615">
        <v>210</v>
      </c>
      <c r="F615">
        <v>0</v>
      </c>
      <c r="G615" s="2">
        <v>7.81</v>
      </c>
      <c r="H615">
        <v>0</v>
      </c>
      <c r="I615">
        <v>1570</v>
      </c>
      <c r="K615" t="s">
        <v>229</v>
      </c>
      <c r="L615">
        <v>7</v>
      </c>
      <c r="M615">
        <v>0</v>
      </c>
      <c r="N615" t="s">
        <v>259</v>
      </c>
      <c r="O615" t="s">
        <v>289</v>
      </c>
      <c r="P615">
        <v>12</v>
      </c>
      <c r="Q61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2C371195</v>
      </c>
      <c r="R615" t="s">
        <v>644</v>
      </c>
      <c r="S61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16" spans="1:20" x14ac:dyDescent="0.25">
      <c r="A616" t="s">
        <v>120</v>
      </c>
      <c r="B616">
        <v>202005</v>
      </c>
      <c r="C616" t="s">
        <v>151</v>
      </c>
      <c r="D616" t="s">
        <v>209</v>
      </c>
      <c r="E616">
        <v>350</v>
      </c>
      <c r="F616">
        <v>0</v>
      </c>
      <c r="G616" s="2">
        <v>26.59</v>
      </c>
      <c r="H616">
        <v>0</v>
      </c>
      <c r="I616">
        <v>1570</v>
      </c>
      <c r="K616" t="s">
        <v>229</v>
      </c>
      <c r="L616">
        <v>7</v>
      </c>
      <c r="M616">
        <v>0</v>
      </c>
      <c r="N616" t="s">
        <v>259</v>
      </c>
      <c r="O616" t="s">
        <v>289</v>
      </c>
      <c r="P616">
        <v>12</v>
      </c>
      <c r="Q61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2C371224</v>
      </c>
      <c r="R616" t="s">
        <v>644</v>
      </c>
      <c r="S61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17" spans="1:20" x14ac:dyDescent="0.25">
      <c r="A617" t="s">
        <v>120</v>
      </c>
      <c r="B617">
        <v>202005</v>
      </c>
      <c r="C617" t="s">
        <v>3</v>
      </c>
      <c r="D617" t="s">
        <v>58</v>
      </c>
      <c r="E617">
        <v>275</v>
      </c>
      <c r="F617">
        <v>0</v>
      </c>
      <c r="G617" s="2">
        <v>6.84</v>
      </c>
      <c r="H617">
        <v>0</v>
      </c>
      <c r="I617">
        <v>1570</v>
      </c>
      <c r="K617" t="s">
        <v>229</v>
      </c>
      <c r="L617">
        <v>7</v>
      </c>
      <c r="M617">
        <v>0</v>
      </c>
      <c r="N617" t="s">
        <v>259</v>
      </c>
      <c r="O617" t="s">
        <v>289</v>
      </c>
      <c r="P617">
        <v>12</v>
      </c>
      <c r="Q61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2C371229</v>
      </c>
      <c r="R617" t="s">
        <v>644</v>
      </c>
      <c r="S61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18" spans="1:20" x14ac:dyDescent="0.25">
      <c r="A618" t="s">
        <v>120</v>
      </c>
      <c r="B618">
        <v>202005</v>
      </c>
      <c r="C618" t="s">
        <v>4</v>
      </c>
      <c r="D618" t="s">
        <v>265</v>
      </c>
      <c r="E618">
        <v>115</v>
      </c>
      <c r="F618">
        <v>0</v>
      </c>
      <c r="G618" s="2">
        <v>5.18</v>
      </c>
      <c r="H618">
        <v>0</v>
      </c>
      <c r="I618">
        <v>1570</v>
      </c>
      <c r="K618" t="s">
        <v>229</v>
      </c>
      <c r="L618">
        <v>7</v>
      </c>
      <c r="M618">
        <v>0</v>
      </c>
      <c r="N618" t="s">
        <v>259</v>
      </c>
      <c r="O618" t="s">
        <v>289</v>
      </c>
      <c r="P618">
        <v>12</v>
      </c>
      <c r="Q61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2C371230</v>
      </c>
      <c r="R618" t="s">
        <v>644</v>
      </c>
      <c r="S61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19" spans="1:20" x14ac:dyDescent="0.25">
      <c r="A619" t="s">
        <v>120</v>
      </c>
      <c r="B619">
        <v>202005</v>
      </c>
      <c r="C619" t="s">
        <v>6</v>
      </c>
      <c r="D619" t="s">
        <v>60</v>
      </c>
      <c r="E619">
        <v>50</v>
      </c>
      <c r="F619">
        <v>0</v>
      </c>
      <c r="G619" s="2">
        <v>12.95</v>
      </c>
      <c r="H619">
        <v>0</v>
      </c>
      <c r="I619">
        <v>1570</v>
      </c>
      <c r="K619" t="s">
        <v>229</v>
      </c>
      <c r="L619">
        <v>7</v>
      </c>
      <c r="M619">
        <v>0</v>
      </c>
      <c r="N619" t="s">
        <v>259</v>
      </c>
      <c r="O619" t="s">
        <v>289</v>
      </c>
      <c r="P619">
        <v>12</v>
      </c>
      <c r="Q61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2C371245</v>
      </c>
      <c r="R619" t="s">
        <v>644</v>
      </c>
      <c r="S61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20" spans="1:20" x14ac:dyDescent="0.25">
      <c r="A620" t="s">
        <v>120</v>
      </c>
      <c r="B620">
        <v>202005</v>
      </c>
      <c r="C620" t="s">
        <v>260</v>
      </c>
      <c r="D620" t="s">
        <v>261</v>
      </c>
      <c r="E620" s="1020">
        <v>50</v>
      </c>
      <c r="F620">
        <v>0</v>
      </c>
      <c r="G620" s="2">
        <v>7.09</v>
      </c>
      <c r="H620">
        <v>0</v>
      </c>
      <c r="I620">
        <v>1570</v>
      </c>
      <c r="K620" t="s">
        <v>229</v>
      </c>
      <c r="L620">
        <v>7</v>
      </c>
      <c r="M620">
        <v>0</v>
      </c>
      <c r="N620" t="s">
        <v>259</v>
      </c>
      <c r="O620" t="s">
        <v>289</v>
      </c>
      <c r="P620">
        <v>12</v>
      </c>
      <c r="Q62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2C371334</v>
      </c>
      <c r="R620" t="s">
        <v>644</v>
      </c>
      <c r="S62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21" spans="1:20" x14ac:dyDescent="0.25">
      <c r="A621" t="s">
        <v>120</v>
      </c>
      <c r="B621">
        <v>202005</v>
      </c>
      <c r="C621" t="s">
        <v>56</v>
      </c>
      <c r="D621" t="s">
        <v>246</v>
      </c>
      <c r="E621">
        <v>0</v>
      </c>
      <c r="F621">
        <v>0</v>
      </c>
      <c r="G621" s="2">
        <v>0.04</v>
      </c>
      <c r="H621">
        <v>0</v>
      </c>
      <c r="K621" t="s">
        <v>229</v>
      </c>
      <c r="L621">
        <v>8</v>
      </c>
      <c r="M621">
        <v>0</v>
      </c>
      <c r="O621" t="s">
        <v>289</v>
      </c>
      <c r="P621">
        <v>12</v>
      </c>
      <c r="Q62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2C378999</v>
      </c>
      <c r="R621" t="s">
        <v>644</v>
      </c>
      <c r="S62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622" spans="1:20" x14ac:dyDescent="0.25">
      <c r="A622" t="s">
        <v>1351</v>
      </c>
      <c r="B622">
        <v>202005</v>
      </c>
      <c r="C622" t="s">
        <v>141</v>
      </c>
      <c r="D622" t="s">
        <v>262</v>
      </c>
      <c r="E622">
        <v>433.66277000000002</v>
      </c>
      <c r="F622">
        <v>0</v>
      </c>
      <c r="G622" s="2">
        <v>100</v>
      </c>
      <c r="H622">
        <v>0</v>
      </c>
      <c r="I622">
        <v>1570</v>
      </c>
      <c r="K622" t="s">
        <v>229</v>
      </c>
      <c r="L622">
        <v>1</v>
      </c>
      <c r="M622">
        <v>0</v>
      </c>
      <c r="N622" t="s">
        <v>259</v>
      </c>
      <c r="O622" t="s">
        <v>1352</v>
      </c>
      <c r="P622">
        <v>12</v>
      </c>
      <c r="Q62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2C381102</v>
      </c>
      <c r="R622" t="s">
        <v>644</v>
      </c>
      <c r="S62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623" spans="1:20" x14ac:dyDescent="0.25">
      <c r="A623" t="s">
        <v>1351</v>
      </c>
      <c r="B623">
        <v>202005</v>
      </c>
      <c r="C623" t="s">
        <v>124</v>
      </c>
      <c r="D623" t="s">
        <v>272</v>
      </c>
      <c r="E623">
        <v>806.2</v>
      </c>
      <c r="F623">
        <v>0</v>
      </c>
      <c r="G623" s="2">
        <v>53.35</v>
      </c>
      <c r="H623">
        <v>0</v>
      </c>
      <c r="K623" t="s">
        <v>229</v>
      </c>
      <c r="L623">
        <v>6</v>
      </c>
      <c r="M623">
        <v>0</v>
      </c>
      <c r="N623" t="s">
        <v>259</v>
      </c>
      <c r="O623" t="s">
        <v>1352</v>
      </c>
      <c r="P623">
        <v>12</v>
      </c>
      <c r="Q62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2C381197</v>
      </c>
      <c r="R623" t="s">
        <v>644</v>
      </c>
      <c r="S62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  <c r="T623" t="s">
        <v>161</v>
      </c>
    </row>
    <row r="624" spans="1:20" x14ac:dyDescent="0.25">
      <c r="A624" t="s">
        <v>1351</v>
      </c>
      <c r="B624">
        <v>202005</v>
      </c>
      <c r="C624" t="s">
        <v>161</v>
      </c>
      <c r="D624" t="s">
        <v>205</v>
      </c>
      <c r="E624">
        <v>294.75</v>
      </c>
      <c r="F624">
        <v>0</v>
      </c>
      <c r="G624" s="2">
        <v>13.53</v>
      </c>
      <c r="H624">
        <v>0</v>
      </c>
      <c r="K624" t="s">
        <v>229</v>
      </c>
      <c r="L624">
        <v>7</v>
      </c>
      <c r="M624">
        <v>0</v>
      </c>
      <c r="N624" t="s">
        <v>259</v>
      </c>
      <c r="O624" t="s">
        <v>1352</v>
      </c>
      <c r="P624">
        <v>12</v>
      </c>
      <c r="Q62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2C381152</v>
      </c>
      <c r="R624" t="s">
        <v>644</v>
      </c>
      <c r="S62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25" spans="1:20" x14ac:dyDescent="0.25">
      <c r="A625" t="s">
        <v>1351</v>
      </c>
      <c r="B625">
        <v>202005</v>
      </c>
      <c r="C625" t="s">
        <v>142</v>
      </c>
      <c r="D625" t="s">
        <v>263</v>
      </c>
      <c r="E625">
        <v>330</v>
      </c>
      <c r="F625">
        <v>0</v>
      </c>
      <c r="G625" s="2">
        <v>4.6100000000000003</v>
      </c>
      <c r="H625">
        <v>0</v>
      </c>
      <c r="K625" t="s">
        <v>229</v>
      </c>
      <c r="L625">
        <v>7</v>
      </c>
      <c r="M625">
        <v>0</v>
      </c>
      <c r="N625" t="s">
        <v>259</v>
      </c>
      <c r="O625" t="s">
        <v>1352</v>
      </c>
      <c r="P625">
        <v>12</v>
      </c>
      <c r="Q62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2C381194</v>
      </c>
      <c r="R625" t="s">
        <v>644</v>
      </c>
      <c r="S62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26" spans="1:20" x14ac:dyDescent="0.25">
      <c r="A626" t="s">
        <v>1351</v>
      </c>
      <c r="B626">
        <v>202005</v>
      </c>
      <c r="C626" t="s">
        <v>3</v>
      </c>
      <c r="D626" t="s">
        <v>58</v>
      </c>
      <c r="E626">
        <v>275</v>
      </c>
      <c r="F626">
        <v>0</v>
      </c>
      <c r="G626" s="2">
        <v>0.77</v>
      </c>
      <c r="H626">
        <v>0</v>
      </c>
      <c r="K626" t="s">
        <v>229</v>
      </c>
      <c r="L626">
        <v>7</v>
      </c>
      <c r="M626">
        <v>0</v>
      </c>
      <c r="N626" t="s">
        <v>259</v>
      </c>
      <c r="O626" t="s">
        <v>1352</v>
      </c>
      <c r="P626">
        <v>12</v>
      </c>
      <c r="Q62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2C381229</v>
      </c>
      <c r="R626" t="s">
        <v>644</v>
      </c>
      <c r="S62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27" spans="1:20" x14ac:dyDescent="0.25">
      <c r="A627" t="s">
        <v>1351</v>
      </c>
      <c r="B627">
        <v>202005</v>
      </c>
      <c r="C627" t="s">
        <v>4</v>
      </c>
      <c r="D627" t="s">
        <v>265</v>
      </c>
      <c r="E627">
        <v>115</v>
      </c>
      <c r="F627">
        <v>0</v>
      </c>
      <c r="G627" s="2">
        <v>7.63</v>
      </c>
      <c r="H627">
        <v>0</v>
      </c>
      <c r="K627" t="s">
        <v>229</v>
      </c>
      <c r="L627">
        <v>7</v>
      </c>
      <c r="M627">
        <v>0</v>
      </c>
      <c r="N627" t="s">
        <v>259</v>
      </c>
      <c r="O627" t="s">
        <v>1352</v>
      </c>
      <c r="P627">
        <v>12</v>
      </c>
      <c r="Q62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2C381230</v>
      </c>
      <c r="R627" t="s">
        <v>644</v>
      </c>
      <c r="S62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28" spans="1:20" x14ac:dyDescent="0.25">
      <c r="A628" t="s">
        <v>1351</v>
      </c>
      <c r="B628">
        <v>202005</v>
      </c>
      <c r="C628" t="s">
        <v>5</v>
      </c>
      <c r="D628" t="s">
        <v>59</v>
      </c>
      <c r="E628">
        <v>8.56</v>
      </c>
      <c r="F628">
        <v>0</v>
      </c>
      <c r="G628" s="2">
        <v>2.98</v>
      </c>
      <c r="H628">
        <v>0</v>
      </c>
      <c r="K628" t="s">
        <v>229</v>
      </c>
      <c r="L628">
        <v>7</v>
      </c>
      <c r="M628">
        <v>0</v>
      </c>
      <c r="N628" t="s">
        <v>259</v>
      </c>
      <c r="O628" t="s">
        <v>1352</v>
      </c>
      <c r="P628">
        <v>12</v>
      </c>
      <c r="Q62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2C381231</v>
      </c>
      <c r="R628" t="s">
        <v>644</v>
      </c>
      <c r="S62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29" spans="1:20" x14ac:dyDescent="0.25">
      <c r="A629" t="s">
        <v>1351</v>
      </c>
      <c r="B629">
        <v>202005</v>
      </c>
      <c r="C629" t="s">
        <v>6</v>
      </c>
      <c r="D629" t="s">
        <v>60</v>
      </c>
      <c r="E629">
        <v>50</v>
      </c>
      <c r="F629">
        <v>0</v>
      </c>
      <c r="G629" s="2">
        <v>16.829999999999998</v>
      </c>
      <c r="H629">
        <v>0</v>
      </c>
      <c r="I629">
        <v>1570</v>
      </c>
      <c r="K629" t="s">
        <v>229</v>
      </c>
      <c r="L629">
        <v>7</v>
      </c>
      <c r="M629">
        <v>0</v>
      </c>
      <c r="N629" t="s">
        <v>259</v>
      </c>
      <c r="O629" t="s">
        <v>1352</v>
      </c>
      <c r="P629">
        <v>12</v>
      </c>
      <c r="Q62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2C381245</v>
      </c>
      <c r="R629" t="s">
        <v>644</v>
      </c>
      <c r="S62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30" spans="1:20" x14ac:dyDescent="0.25">
      <c r="A630" t="s">
        <v>1351</v>
      </c>
      <c r="B630">
        <v>202005</v>
      </c>
      <c r="C630" t="s">
        <v>56</v>
      </c>
      <c r="D630" t="s">
        <v>246</v>
      </c>
      <c r="E630" s="1020">
        <v>0</v>
      </c>
      <c r="F630">
        <v>0</v>
      </c>
      <c r="G630" s="2">
        <v>0.3</v>
      </c>
      <c r="H630">
        <v>0</v>
      </c>
      <c r="K630" t="s">
        <v>229</v>
      </c>
      <c r="L630">
        <v>8</v>
      </c>
      <c r="M630">
        <v>0</v>
      </c>
      <c r="O630" t="s">
        <v>1352</v>
      </c>
      <c r="P630">
        <v>12</v>
      </c>
      <c r="Q63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2C388999</v>
      </c>
      <c r="R630" t="s">
        <v>644</v>
      </c>
      <c r="S63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631" spans="1:20" x14ac:dyDescent="0.25">
      <c r="A631" t="s">
        <v>1353</v>
      </c>
      <c r="B631">
        <v>202005</v>
      </c>
      <c r="C631" t="s">
        <v>141</v>
      </c>
      <c r="D631" t="s">
        <v>262</v>
      </c>
      <c r="E631" s="1020">
        <v>433.66277000000002</v>
      </c>
      <c r="F631">
        <v>0</v>
      </c>
      <c r="G631" s="2">
        <v>100</v>
      </c>
      <c r="H631">
        <v>0</v>
      </c>
      <c r="I631">
        <v>1570</v>
      </c>
      <c r="K631" t="s">
        <v>229</v>
      </c>
      <c r="L631">
        <v>1</v>
      </c>
      <c r="M631">
        <v>0</v>
      </c>
      <c r="N631" t="s">
        <v>259</v>
      </c>
      <c r="O631" t="s">
        <v>1354</v>
      </c>
      <c r="P631">
        <v>12</v>
      </c>
      <c r="Q63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2C391102</v>
      </c>
      <c r="R631" t="s">
        <v>644</v>
      </c>
      <c r="S63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632" spans="1:20" x14ac:dyDescent="0.25">
      <c r="A632" t="s">
        <v>1353</v>
      </c>
      <c r="B632">
        <v>202005</v>
      </c>
      <c r="C632" t="s">
        <v>1329</v>
      </c>
      <c r="D632" t="s">
        <v>1330</v>
      </c>
      <c r="E632">
        <v>752.28772000000004</v>
      </c>
      <c r="F632">
        <v>0</v>
      </c>
      <c r="G632" s="2">
        <v>31.5</v>
      </c>
      <c r="H632">
        <v>0</v>
      </c>
      <c r="K632" t="s">
        <v>229</v>
      </c>
      <c r="L632">
        <v>6</v>
      </c>
      <c r="M632">
        <v>0</v>
      </c>
      <c r="N632" t="s">
        <v>259</v>
      </c>
      <c r="O632" t="s">
        <v>1354</v>
      </c>
      <c r="P632">
        <v>12</v>
      </c>
      <c r="Q63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2C391205</v>
      </c>
      <c r="R632" t="s">
        <v>644</v>
      </c>
      <c r="S63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  <c r="T632" t="s">
        <v>161</v>
      </c>
    </row>
    <row r="633" spans="1:20" x14ac:dyDescent="0.25">
      <c r="A633" t="s">
        <v>1353</v>
      </c>
      <c r="B633">
        <v>202005</v>
      </c>
      <c r="C633" t="s">
        <v>161</v>
      </c>
      <c r="D633" t="s">
        <v>205</v>
      </c>
      <c r="E633">
        <v>294.75</v>
      </c>
      <c r="F633">
        <v>0</v>
      </c>
      <c r="G633" s="2">
        <v>21.1</v>
      </c>
      <c r="H633">
        <v>0</v>
      </c>
      <c r="K633" t="s">
        <v>229</v>
      </c>
      <c r="L633">
        <v>7</v>
      </c>
      <c r="M633">
        <v>0</v>
      </c>
      <c r="N633" t="s">
        <v>259</v>
      </c>
      <c r="O633" t="s">
        <v>1354</v>
      </c>
      <c r="P633">
        <v>12</v>
      </c>
      <c r="Q63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2C391152</v>
      </c>
      <c r="R633" t="s">
        <v>644</v>
      </c>
      <c r="S63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34" spans="1:20" x14ac:dyDescent="0.25">
      <c r="A634" t="s">
        <v>1353</v>
      </c>
      <c r="B634">
        <v>202005</v>
      </c>
      <c r="C634" t="s">
        <v>142</v>
      </c>
      <c r="D634" t="s">
        <v>263</v>
      </c>
      <c r="E634">
        <v>330</v>
      </c>
      <c r="F634">
        <v>0</v>
      </c>
      <c r="G634" s="2">
        <v>6.6</v>
      </c>
      <c r="H634">
        <v>0</v>
      </c>
      <c r="K634" t="s">
        <v>229</v>
      </c>
      <c r="L634">
        <v>7</v>
      </c>
      <c r="M634">
        <v>0</v>
      </c>
      <c r="N634" t="s">
        <v>259</v>
      </c>
      <c r="O634" t="s">
        <v>1354</v>
      </c>
      <c r="P634">
        <v>12</v>
      </c>
      <c r="Q63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2C391194</v>
      </c>
      <c r="R634" t="s">
        <v>644</v>
      </c>
      <c r="S63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35" spans="1:20" x14ac:dyDescent="0.25">
      <c r="A635" t="s">
        <v>1353</v>
      </c>
      <c r="B635">
        <v>202005</v>
      </c>
      <c r="C635" t="s">
        <v>3</v>
      </c>
      <c r="D635" t="s">
        <v>58</v>
      </c>
      <c r="E635">
        <v>275</v>
      </c>
      <c r="F635">
        <v>0</v>
      </c>
      <c r="G635" s="2">
        <v>4.5</v>
      </c>
      <c r="H635">
        <v>0</v>
      </c>
      <c r="K635" t="s">
        <v>229</v>
      </c>
      <c r="L635">
        <v>7</v>
      </c>
      <c r="M635">
        <v>0</v>
      </c>
      <c r="N635" t="s">
        <v>259</v>
      </c>
      <c r="O635" t="s">
        <v>1354</v>
      </c>
      <c r="P635">
        <v>12</v>
      </c>
      <c r="Q63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2C391229</v>
      </c>
      <c r="R635" t="s">
        <v>644</v>
      </c>
      <c r="S63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36" spans="1:20" x14ac:dyDescent="0.25">
      <c r="A636" t="s">
        <v>1353</v>
      </c>
      <c r="B636">
        <v>202005</v>
      </c>
      <c r="C636" t="s">
        <v>4</v>
      </c>
      <c r="D636" t="s">
        <v>265</v>
      </c>
      <c r="E636">
        <v>115</v>
      </c>
      <c r="F636">
        <v>0</v>
      </c>
      <c r="G636" s="2">
        <v>10.6</v>
      </c>
      <c r="H636">
        <v>0</v>
      </c>
      <c r="K636" t="s">
        <v>229</v>
      </c>
      <c r="L636">
        <v>7</v>
      </c>
      <c r="M636">
        <v>0</v>
      </c>
      <c r="N636" t="s">
        <v>259</v>
      </c>
      <c r="O636" t="s">
        <v>1354</v>
      </c>
      <c r="P636">
        <v>12</v>
      </c>
      <c r="Q63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2C391230</v>
      </c>
      <c r="R636" t="s">
        <v>644</v>
      </c>
      <c r="S63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37" spans="1:20" x14ac:dyDescent="0.25">
      <c r="A637" t="s">
        <v>1353</v>
      </c>
      <c r="B637">
        <v>202005</v>
      </c>
      <c r="C637" t="s">
        <v>5</v>
      </c>
      <c r="D637" t="s">
        <v>59</v>
      </c>
      <c r="E637">
        <v>8.56</v>
      </c>
      <c r="F637">
        <v>0</v>
      </c>
      <c r="G637" s="2">
        <v>5.5</v>
      </c>
      <c r="H637">
        <v>0</v>
      </c>
      <c r="K637" t="s">
        <v>229</v>
      </c>
      <c r="L637">
        <v>7</v>
      </c>
      <c r="M637">
        <v>0</v>
      </c>
      <c r="N637" t="s">
        <v>259</v>
      </c>
      <c r="O637" t="s">
        <v>1354</v>
      </c>
      <c r="P637">
        <v>12</v>
      </c>
      <c r="Q63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2C391231</v>
      </c>
      <c r="R637" t="s">
        <v>644</v>
      </c>
      <c r="S63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38" spans="1:20" x14ac:dyDescent="0.25">
      <c r="A638" t="s">
        <v>1353</v>
      </c>
      <c r="B638">
        <v>202005</v>
      </c>
      <c r="C638" t="s">
        <v>6</v>
      </c>
      <c r="D638" t="s">
        <v>60</v>
      </c>
      <c r="E638">
        <v>50</v>
      </c>
      <c r="F638">
        <v>0</v>
      </c>
      <c r="G638" s="2">
        <v>20</v>
      </c>
      <c r="H638">
        <v>0</v>
      </c>
      <c r="I638">
        <v>1570</v>
      </c>
      <c r="K638" t="s">
        <v>229</v>
      </c>
      <c r="L638">
        <v>7</v>
      </c>
      <c r="M638">
        <v>0</v>
      </c>
      <c r="N638" t="s">
        <v>259</v>
      </c>
      <c r="O638" t="s">
        <v>1354</v>
      </c>
      <c r="P638">
        <v>12</v>
      </c>
      <c r="Q63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2C391245</v>
      </c>
      <c r="R638" t="s">
        <v>644</v>
      </c>
      <c r="S63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39" spans="1:20" x14ac:dyDescent="0.25">
      <c r="A639" t="s">
        <v>1353</v>
      </c>
      <c r="B639">
        <v>202005</v>
      </c>
      <c r="C639" t="s">
        <v>56</v>
      </c>
      <c r="D639" t="s">
        <v>246</v>
      </c>
      <c r="E639" s="1020">
        <v>0</v>
      </c>
      <c r="F639">
        <v>0</v>
      </c>
      <c r="G639" s="2">
        <v>0.2</v>
      </c>
      <c r="H639">
        <v>0</v>
      </c>
      <c r="K639" t="s">
        <v>229</v>
      </c>
      <c r="L639">
        <v>8</v>
      </c>
      <c r="M639">
        <v>0</v>
      </c>
      <c r="O639" t="s">
        <v>1354</v>
      </c>
      <c r="P639">
        <v>12</v>
      </c>
      <c r="Q63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2C398999</v>
      </c>
      <c r="R639" t="s">
        <v>644</v>
      </c>
      <c r="S63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640" spans="1:20" x14ac:dyDescent="0.25">
      <c r="A640" t="s">
        <v>136</v>
      </c>
      <c r="B640">
        <v>202005</v>
      </c>
      <c r="C640" t="s">
        <v>141</v>
      </c>
      <c r="D640" t="s">
        <v>262</v>
      </c>
      <c r="E640">
        <v>433.66277000000002</v>
      </c>
      <c r="F640">
        <v>0</v>
      </c>
      <c r="G640" s="2">
        <v>100</v>
      </c>
      <c r="H640">
        <v>0</v>
      </c>
      <c r="I640">
        <v>1570</v>
      </c>
      <c r="K640" t="s">
        <v>229</v>
      </c>
      <c r="L640">
        <v>1</v>
      </c>
      <c r="M640">
        <v>0</v>
      </c>
      <c r="N640" t="s">
        <v>259</v>
      </c>
      <c r="O640" t="s">
        <v>290</v>
      </c>
      <c r="P640">
        <v>12</v>
      </c>
      <c r="Q64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2C401102</v>
      </c>
      <c r="R640" t="s">
        <v>644</v>
      </c>
      <c r="S64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641" spans="1:20" x14ac:dyDescent="0.25">
      <c r="A641" t="s">
        <v>136</v>
      </c>
      <c r="B641">
        <v>202005</v>
      </c>
      <c r="C641" t="s">
        <v>132</v>
      </c>
      <c r="D641" t="s">
        <v>234</v>
      </c>
      <c r="E641">
        <v>981.68124</v>
      </c>
      <c r="F641">
        <v>0</v>
      </c>
      <c r="G641" s="2">
        <v>25.49</v>
      </c>
      <c r="H641">
        <v>0</v>
      </c>
      <c r="I641">
        <v>1570</v>
      </c>
      <c r="K641" t="s">
        <v>229</v>
      </c>
      <c r="L641">
        <v>6</v>
      </c>
      <c r="M641">
        <v>0</v>
      </c>
      <c r="N641" t="s">
        <v>259</v>
      </c>
      <c r="O641" t="s">
        <v>290</v>
      </c>
      <c r="P641">
        <v>12</v>
      </c>
      <c r="Q64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2C401199</v>
      </c>
      <c r="R641" t="s">
        <v>644</v>
      </c>
      <c r="S64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  <c r="T641" t="s">
        <v>617</v>
      </c>
    </row>
    <row r="642" spans="1:20" x14ac:dyDescent="0.25">
      <c r="A642" t="s">
        <v>136</v>
      </c>
      <c r="B642">
        <v>202005</v>
      </c>
      <c r="C642" t="s">
        <v>142</v>
      </c>
      <c r="D642" t="s">
        <v>263</v>
      </c>
      <c r="E642" s="1020">
        <v>330</v>
      </c>
      <c r="F642">
        <v>0</v>
      </c>
      <c r="G642" s="2">
        <v>7.69</v>
      </c>
      <c r="H642">
        <v>0</v>
      </c>
      <c r="I642">
        <v>1570</v>
      </c>
      <c r="K642" t="s">
        <v>229</v>
      </c>
      <c r="L642">
        <v>7</v>
      </c>
      <c r="M642">
        <v>0</v>
      </c>
      <c r="N642" t="s">
        <v>259</v>
      </c>
      <c r="O642" t="s">
        <v>290</v>
      </c>
      <c r="P642">
        <v>12</v>
      </c>
      <c r="Q64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2C401194</v>
      </c>
      <c r="R642" t="s">
        <v>644</v>
      </c>
      <c r="S64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43" spans="1:20" x14ac:dyDescent="0.25">
      <c r="A643" t="s">
        <v>136</v>
      </c>
      <c r="B643">
        <v>202005</v>
      </c>
      <c r="C643" t="s">
        <v>3</v>
      </c>
      <c r="D643" t="s">
        <v>58</v>
      </c>
      <c r="E643">
        <v>275</v>
      </c>
      <c r="F643">
        <v>0</v>
      </c>
      <c r="G643" s="2">
        <v>3.86</v>
      </c>
      <c r="H643">
        <v>0</v>
      </c>
      <c r="I643">
        <v>1570</v>
      </c>
      <c r="K643" t="s">
        <v>229</v>
      </c>
      <c r="L643">
        <v>7</v>
      </c>
      <c r="M643">
        <v>0</v>
      </c>
      <c r="N643" t="s">
        <v>259</v>
      </c>
      <c r="O643" t="s">
        <v>290</v>
      </c>
      <c r="P643">
        <v>12</v>
      </c>
      <c r="Q64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2C401229</v>
      </c>
      <c r="R643" t="s">
        <v>644</v>
      </c>
      <c r="S64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44" spans="1:20" x14ac:dyDescent="0.25">
      <c r="A644" t="s">
        <v>136</v>
      </c>
      <c r="B644">
        <v>202005</v>
      </c>
      <c r="C644" t="s">
        <v>4</v>
      </c>
      <c r="D644" t="s">
        <v>265</v>
      </c>
      <c r="E644">
        <v>115</v>
      </c>
      <c r="F644">
        <v>0</v>
      </c>
      <c r="G644" s="2">
        <v>19.63</v>
      </c>
      <c r="H644">
        <v>0</v>
      </c>
      <c r="I644">
        <v>1570</v>
      </c>
      <c r="K644" t="s">
        <v>229</v>
      </c>
      <c r="L644">
        <v>7</v>
      </c>
      <c r="M644">
        <v>0</v>
      </c>
      <c r="N644" t="s">
        <v>259</v>
      </c>
      <c r="O644" t="s">
        <v>290</v>
      </c>
      <c r="P644">
        <v>12</v>
      </c>
      <c r="Q64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2C401230</v>
      </c>
      <c r="R644" t="s">
        <v>644</v>
      </c>
      <c r="S64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45" spans="1:20" x14ac:dyDescent="0.25">
      <c r="A645" t="s">
        <v>136</v>
      </c>
      <c r="B645">
        <v>202005</v>
      </c>
      <c r="C645" t="s">
        <v>6</v>
      </c>
      <c r="D645" t="s">
        <v>60</v>
      </c>
      <c r="E645">
        <v>50</v>
      </c>
      <c r="F645">
        <v>0</v>
      </c>
      <c r="G645" s="2">
        <v>34.67</v>
      </c>
      <c r="H645">
        <v>0</v>
      </c>
      <c r="I645">
        <v>1570</v>
      </c>
      <c r="K645" t="s">
        <v>229</v>
      </c>
      <c r="L645">
        <v>7</v>
      </c>
      <c r="M645">
        <v>0</v>
      </c>
      <c r="N645" t="s">
        <v>259</v>
      </c>
      <c r="O645" t="s">
        <v>290</v>
      </c>
      <c r="P645">
        <v>12</v>
      </c>
      <c r="Q64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2C401245</v>
      </c>
      <c r="R645" t="s">
        <v>644</v>
      </c>
      <c r="S64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46" spans="1:20" x14ac:dyDescent="0.25">
      <c r="A646" t="s">
        <v>136</v>
      </c>
      <c r="B646">
        <v>202005</v>
      </c>
      <c r="C646" t="s">
        <v>260</v>
      </c>
      <c r="D646" t="s">
        <v>261</v>
      </c>
      <c r="E646">
        <v>50</v>
      </c>
      <c r="F646">
        <v>0</v>
      </c>
      <c r="G646" s="2">
        <v>8.24</v>
      </c>
      <c r="H646">
        <v>0</v>
      </c>
      <c r="I646">
        <v>1570</v>
      </c>
      <c r="K646" t="s">
        <v>229</v>
      </c>
      <c r="L646">
        <v>7</v>
      </c>
      <c r="M646">
        <v>0</v>
      </c>
      <c r="N646" t="s">
        <v>259</v>
      </c>
      <c r="O646" t="s">
        <v>290</v>
      </c>
      <c r="P646">
        <v>12</v>
      </c>
      <c r="Q64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2C401334</v>
      </c>
      <c r="R646" t="s">
        <v>644</v>
      </c>
      <c r="S64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47" spans="1:20" x14ac:dyDescent="0.25">
      <c r="A647" t="s">
        <v>136</v>
      </c>
      <c r="B647">
        <v>202005</v>
      </c>
      <c r="C647" t="s">
        <v>56</v>
      </c>
      <c r="D647" t="s">
        <v>246</v>
      </c>
      <c r="E647">
        <v>0</v>
      </c>
      <c r="F647">
        <v>0</v>
      </c>
      <c r="G647" s="2">
        <v>0</v>
      </c>
      <c r="H647">
        <v>0</v>
      </c>
      <c r="K647" t="s">
        <v>229</v>
      </c>
      <c r="L647">
        <v>8</v>
      </c>
      <c r="M647">
        <v>0</v>
      </c>
      <c r="O647" t="s">
        <v>290</v>
      </c>
      <c r="P647">
        <v>12</v>
      </c>
      <c r="Q64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2C408999</v>
      </c>
      <c r="R647" t="s">
        <v>644</v>
      </c>
      <c r="S64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648" spans="1:20" x14ac:dyDescent="0.25">
      <c r="A648" t="s">
        <v>556</v>
      </c>
      <c r="B648">
        <v>202005</v>
      </c>
      <c r="C648" t="s">
        <v>141</v>
      </c>
      <c r="D648" t="s">
        <v>262</v>
      </c>
      <c r="E648">
        <v>433.66277000000002</v>
      </c>
      <c r="F648">
        <v>0</v>
      </c>
      <c r="G648" s="2">
        <v>100</v>
      </c>
      <c r="H648">
        <v>0</v>
      </c>
      <c r="I648">
        <v>1570</v>
      </c>
      <c r="K648" t="s">
        <v>229</v>
      </c>
      <c r="L648">
        <v>1</v>
      </c>
      <c r="M648">
        <v>0</v>
      </c>
      <c r="N648" t="s">
        <v>259</v>
      </c>
      <c r="O648" t="s">
        <v>557</v>
      </c>
      <c r="P648">
        <v>12</v>
      </c>
      <c r="Q64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2C411102</v>
      </c>
      <c r="R648" t="s">
        <v>644</v>
      </c>
      <c r="S64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649" spans="1:20" x14ac:dyDescent="0.25">
      <c r="A649" t="s">
        <v>556</v>
      </c>
      <c r="B649">
        <v>202005</v>
      </c>
      <c r="C649" t="s">
        <v>112</v>
      </c>
      <c r="D649" t="s">
        <v>292</v>
      </c>
      <c r="E649" s="1020">
        <v>1056.4609800000001</v>
      </c>
      <c r="F649">
        <v>0</v>
      </c>
      <c r="G649" s="2">
        <v>25.96</v>
      </c>
      <c r="H649">
        <v>0</v>
      </c>
      <c r="I649">
        <v>1570</v>
      </c>
      <c r="K649" t="s">
        <v>229</v>
      </c>
      <c r="L649">
        <v>6</v>
      </c>
      <c r="M649">
        <v>0</v>
      </c>
      <c r="N649" t="s">
        <v>259</v>
      </c>
      <c r="O649" t="s">
        <v>557</v>
      </c>
      <c r="P649">
        <v>12</v>
      </c>
      <c r="Q64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2C411189</v>
      </c>
      <c r="R649" t="s">
        <v>644</v>
      </c>
      <c r="S64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  <c r="T649" t="s">
        <v>151</v>
      </c>
    </row>
    <row r="650" spans="1:20" x14ac:dyDescent="0.25">
      <c r="A650" t="s">
        <v>556</v>
      </c>
      <c r="B650">
        <v>202005</v>
      </c>
      <c r="C650" t="s">
        <v>142</v>
      </c>
      <c r="D650" t="s">
        <v>263</v>
      </c>
      <c r="E650" s="1020">
        <v>330</v>
      </c>
      <c r="F650">
        <v>0</v>
      </c>
      <c r="G650" s="2">
        <v>9.34</v>
      </c>
      <c r="H650">
        <v>0</v>
      </c>
      <c r="I650">
        <v>1570</v>
      </c>
      <c r="K650" t="s">
        <v>229</v>
      </c>
      <c r="L650">
        <v>7</v>
      </c>
      <c r="M650">
        <v>0</v>
      </c>
      <c r="N650" t="s">
        <v>259</v>
      </c>
      <c r="O650" t="s">
        <v>557</v>
      </c>
      <c r="P650">
        <v>12</v>
      </c>
      <c r="Q65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2C411194</v>
      </c>
      <c r="R650" t="s">
        <v>644</v>
      </c>
      <c r="S65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51" spans="1:20" x14ac:dyDescent="0.25">
      <c r="A651" t="s">
        <v>556</v>
      </c>
      <c r="B651">
        <v>202005</v>
      </c>
      <c r="C651" t="s">
        <v>143</v>
      </c>
      <c r="D651" t="s">
        <v>264</v>
      </c>
      <c r="E651">
        <v>210</v>
      </c>
      <c r="F651">
        <v>0</v>
      </c>
      <c r="G651" s="2">
        <v>7.35</v>
      </c>
      <c r="H651">
        <v>0</v>
      </c>
      <c r="I651">
        <v>1570</v>
      </c>
      <c r="K651" t="s">
        <v>229</v>
      </c>
      <c r="L651">
        <v>7</v>
      </c>
      <c r="M651">
        <v>0</v>
      </c>
      <c r="N651" t="s">
        <v>259</v>
      </c>
      <c r="O651" t="s">
        <v>557</v>
      </c>
      <c r="P651">
        <v>12</v>
      </c>
      <c r="Q65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2C411195</v>
      </c>
      <c r="R651" t="s">
        <v>644</v>
      </c>
      <c r="S65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52" spans="1:20" x14ac:dyDescent="0.25">
      <c r="A652" t="s">
        <v>556</v>
      </c>
      <c r="B652">
        <v>202005</v>
      </c>
      <c r="C652" t="s">
        <v>151</v>
      </c>
      <c r="D652" t="s">
        <v>209</v>
      </c>
      <c r="E652">
        <v>350</v>
      </c>
      <c r="F652">
        <v>0</v>
      </c>
      <c r="G652" s="2">
        <v>25.15</v>
      </c>
      <c r="H652">
        <v>0</v>
      </c>
      <c r="I652">
        <v>1570</v>
      </c>
      <c r="K652" t="s">
        <v>229</v>
      </c>
      <c r="L652">
        <v>7</v>
      </c>
      <c r="M652">
        <v>0</v>
      </c>
      <c r="N652" t="s">
        <v>259</v>
      </c>
      <c r="O652" t="s">
        <v>557</v>
      </c>
      <c r="P652">
        <v>12</v>
      </c>
      <c r="Q65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2C411224</v>
      </c>
      <c r="R652" t="s">
        <v>644</v>
      </c>
      <c r="S65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53" spans="1:20" x14ac:dyDescent="0.25">
      <c r="A653" t="s">
        <v>556</v>
      </c>
      <c r="B653">
        <v>202005</v>
      </c>
      <c r="C653" t="s">
        <v>3</v>
      </c>
      <c r="D653" t="s">
        <v>58</v>
      </c>
      <c r="E653" s="1020">
        <v>275</v>
      </c>
      <c r="F653">
        <v>0</v>
      </c>
      <c r="G653" s="2">
        <v>1.57</v>
      </c>
      <c r="H653">
        <v>0</v>
      </c>
      <c r="I653">
        <v>1570</v>
      </c>
      <c r="K653" t="s">
        <v>229</v>
      </c>
      <c r="L653">
        <v>7</v>
      </c>
      <c r="M653">
        <v>0</v>
      </c>
      <c r="N653" t="s">
        <v>259</v>
      </c>
      <c r="O653" t="s">
        <v>557</v>
      </c>
      <c r="P653">
        <v>12</v>
      </c>
      <c r="Q65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2C411229</v>
      </c>
      <c r="R653" t="s">
        <v>644</v>
      </c>
      <c r="S65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54" spans="1:20" x14ac:dyDescent="0.25">
      <c r="A654" t="s">
        <v>556</v>
      </c>
      <c r="B654">
        <v>202005</v>
      </c>
      <c r="C654" t="s">
        <v>4</v>
      </c>
      <c r="D654" t="s">
        <v>265</v>
      </c>
      <c r="E654">
        <v>115</v>
      </c>
      <c r="F654">
        <v>0</v>
      </c>
      <c r="G654" s="2">
        <v>8.5399999999999991</v>
      </c>
      <c r="H654">
        <v>0</v>
      </c>
      <c r="I654">
        <v>1570</v>
      </c>
      <c r="K654" t="s">
        <v>229</v>
      </c>
      <c r="L654">
        <v>7</v>
      </c>
      <c r="M654">
        <v>0</v>
      </c>
      <c r="N654" t="s">
        <v>259</v>
      </c>
      <c r="O654" t="s">
        <v>557</v>
      </c>
      <c r="P654">
        <v>12</v>
      </c>
      <c r="Q65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2C411230</v>
      </c>
      <c r="R654" t="s">
        <v>644</v>
      </c>
      <c r="S65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55" spans="1:20" x14ac:dyDescent="0.25">
      <c r="A655" t="s">
        <v>556</v>
      </c>
      <c r="B655">
        <v>202005</v>
      </c>
      <c r="C655" t="s">
        <v>6</v>
      </c>
      <c r="D655" t="s">
        <v>60</v>
      </c>
      <c r="E655">
        <v>50</v>
      </c>
      <c r="F655">
        <v>0</v>
      </c>
      <c r="G655" s="2">
        <v>14.69</v>
      </c>
      <c r="H655">
        <v>0</v>
      </c>
      <c r="I655">
        <v>1570</v>
      </c>
      <c r="K655" t="s">
        <v>229</v>
      </c>
      <c r="L655">
        <v>7</v>
      </c>
      <c r="M655">
        <v>0</v>
      </c>
      <c r="N655" t="s">
        <v>259</v>
      </c>
      <c r="O655" t="s">
        <v>557</v>
      </c>
      <c r="P655">
        <v>12</v>
      </c>
      <c r="Q65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2C411245</v>
      </c>
      <c r="R655" t="s">
        <v>644</v>
      </c>
      <c r="S65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56" spans="1:20" x14ac:dyDescent="0.25">
      <c r="A656" t="s">
        <v>556</v>
      </c>
      <c r="B656">
        <v>202005</v>
      </c>
      <c r="C656" t="s">
        <v>260</v>
      </c>
      <c r="D656" t="s">
        <v>261</v>
      </c>
      <c r="E656">
        <v>50</v>
      </c>
      <c r="F656">
        <v>0</v>
      </c>
      <c r="G656" s="2">
        <v>7.28</v>
      </c>
      <c r="H656">
        <v>0</v>
      </c>
      <c r="I656">
        <v>1570</v>
      </c>
      <c r="K656" t="s">
        <v>229</v>
      </c>
      <c r="L656">
        <v>7</v>
      </c>
      <c r="M656">
        <v>0</v>
      </c>
      <c r="N656" t="s">
        <v>259</v>
      </c>
      <c r="O656" t="s">
        <v>557</v>
      </c>
      <c r="P656">
        <v>12</v>
      </c>
      <c r="Q65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2C411334</v>
      </c>
      <c r="R656" t="s">
        <v>644</v>
      </c>
      <c r="S65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57" spans="1:20" x14ac:dyDescent="0.25">
      <c r="A657" t="s">
        <v>556</v>
      </c>
      <c r="B657">
        <v>202005</v>
      </c>
      <c r="C657" t="s">
        <v>56</v>
      </c>
      <c r="D657" t="s">
        <v>246</v>
      </c>
      <c r="E657">
        <v>0</v>
      </c>
      <c r="F657">
        <v>0</v>
      </c>
      <c r="G657" s="2">
        <v>0.12</v>
      </c>
      <c r="H657">
        <v>0</v>
      </c>
      <c r="K657" t="s">
        <v>229</v>
      </c>
      <c r="L657">
        <v>8</v>
      </c>
      <c r="M657">
        <v>0</v>
      </c>
      <c r="O657" t="s">
        <v>557</v>
      </c>
      <c r="P657">
        <v>12</v>
      </c>
      <c r="Q65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2C418999</v>
      </c>
      <c r="R657" t="s">
        <v>644</v>
      </c>
      <c r="S65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658" spans="1:20" x14ac:dyDescent="0.25">
      <c r="A658" t="s">
        <v>558</v>
      </c>
      <c r="B658">
        <v>202005</v>
      </c>
      <c r="C658" t="s">
        <v>141</v>
      </c>
      <c r="D658" t="s">
        <v>262</v>
      </c>
      <c r="E658">
        <v>433.66277000000002</v>
      </c>
      <c r="F658">
        <v>0</v>
      </c>
      <c r="G658" s="2">
        <v>100</v>
      </c>
      <c r="H658">
        <v>0</v>
      </c>
      <c r="I658">
        <v>1570</v>
      </c>
      <c r="K658" t="s">
        <v>229</v>
      </c>
      <c r="L658">
        <v>1</v>
      </c>
      <c r="M658">
        <v>0</v>
      </c>
      <c r="N658" t="s">
        <v>259</v>
      </c>
      <c r="O658" t="s">
        <v>559</v>
      </c>
      <c r="P658">
        <v>12</v>
      </c>
      <c r="Q65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2C421102</v>
      </c>
      <c r="R658" t="s">
        <v>644</v>
      </c>
      <c r="S65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659" spans="1:20" x14ac:dyDescent="0.25">
      <c r="A659" t="s">
        <v>558</v>
      </c>
      <c r="B659">
        <v>202005</v>
      </c>
      <c r="C659" t="s">
        <v>112</v>
      </c>
      <c r="D659" t="s">
        <v>292</v>
      </c>
      <c r="E659" s="1020">
        <v>1056.4609800000001</v>
      </c>
      <c r="F659">
        <v>0</v>
      </c>
      <c r="G659" s="2">
        <v>25.86</v>
      </c>
      <c r="H659">
        <v>0</v>
      </c>
      <c r="I659">
        <v>1570</v>
      </c>
      <c r="K659" t="s">
        <v>229</v>
      </c>
      <c r="L659">
        <v>6</v>
      </c>
      <c r="M659">
        <v>0</v>
      </c>
      <c r="N659" t="s">
        <v>259</v>
      </c>
      <c r="O659" t="s">
        <v>559</v>
      </c>
      <c r="P659">
        <v>12</v>
      </c>
      <c r="Q65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2C421189</v>
      </c>
      <c r="R659" t="s">
        <v>644</v>
      </c>
      <c r="S65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  <c r="T659" t="s">
        <v>147</v>
      </c>
    </row>
    <row r="660" spans="1:20" x14ac:dyDescent="0.25">
      <c r="A660" t="s">
        <v>558</v>
      </c>
      <c r="B660">
        <v>202005</v>
      </c>
      <c r="C660" t="s">
        <v>142</v>
      </c>
      <c r="D660" t="s">
        <v>263</v>
      </c>
      <c r="E660">
        <v>330</v>
      </c>
      <c r="F660">
        <v>0</v>
      </c>
      <c r="G660" s="2">
        <v>9.33</v>
      </c>
      <c r="H660">
        <v>0</v>
      </c>
      <c r="I660">
        <v>1570</v>
      </c>
      <c r="K660" t="s">
        <v>229</v>
      </c>
      <c r="L660">
        <v>7</v>
      </c>
      <c r="M660">
        <v>0</v>
      </c>
      <c r="N660" t="s">
        <v>259</v>
      </c>
      <c r="O660" t="s">
        <v>559</v>
      </c>
      <c r="P660">
        <v>12</v>
      </c>
      <c r="Q66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2C421194</v>
      </c>
      <c r="R660" t="s">
        <v>644</v>
      </c>
      <c r="S66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61" spans="1:20" x14ac:dyDescent="0.25">
      <c r="A661" t="s">
        <v>558</v>
      </c>
      <c r="B661">
        <v>202005</v>
      </c>
      <c r="C661" t="s">
        <v>143</v>
      </c>
      <c r="D661" t="s">
        <v>264</v>
      </c>
      <c r="E661">
        <v>210</v>
      </c>
      <c r="F661">
        <v>0</v>
      </c>
      <c r="G661" s="2">
        <v>7.17</v>
      </c>
      <c r="H661">
        <v>0</v>
      </c>
      <c r="I661">
        <v>1570</v>
      </c>
      <c r="K661" t="s">
        <v>229</v>
      </c>
      <c r="L661">
        <v>7</v>
      </c>
      <c r="M661">
        <v>0</v>
      </c>
      <c r="N661" t="s">
        <v>259</v>
      </c>
      <c r="O661" t="s">
        <v>559</v>
      </c>
      <c r="P661">
        <v>12</v>
      </c>
      <c r="Q66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2C421195</v>
      </c>
      <c r="R661" t="s">
        <v>644</v>
      </c>
      <c r="S66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62" spans="1:20" x14ac:dyDescent="0.25">
      <c r="A662" t="s">
        <v>558</v>
      </c>
      <c r="B662">
        <v>202005</v>
      </c>
      <c r="C662" t="s">
        <v>147</v>
      </c>
      <c r="D662" t="s">
        <v>207</v>
      </c>
      <c r="E662">
        <v>323.2</v>
      </c>
      <c r="F662">
        <v>0</v>
      </c>
      <c r="G662" s="2">
        <v>32.130000000000003</v>
      </c>
      <c r="H662">
        <v>0</v>
      </c>
      <c r="I662">
        <v>1570</v>
      </c>
      <c r="K662" t="s">
        <v>229</v>
      </c>
      <c r="L662">
        <v>7</v>
      </c>
      <c r="M662">
        <v>0</v>
      </c>
      <c r="N662" t="s">
        <v>259</v>
      </c>
      <c r="O662" t="s">
        <v>559</v>
      </c>
      <c r="P662">
        <v>12</v>
      </c>
      <c r="Q66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2C421222</v>
      </c>
      <c r="R662" t="s">
        <v>644</v>
      </c>
      <c r="S66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63" spans="1:20" x14ac:dyDescent="0.25">
      <c r="A663" t="s">
        <v>558</v>
      </c>
      <c r="B663">
        <v>202005</v>
      </c>
      <c r="C663" t="s">
        <v>3</v>
      </c>
      <c r="D663" t="s">
        <v>58</v>
      </c>
      <c r="E663">
        <v>275</v>
      </c>
      <c r="F663">
        <v>0</v>
      </c>
      <c r="G663" s="2">
        <v>1.63</v>
      </c>
      <c r="H663">
        <v>0</v>
      </c>
      <c r="I663">
        <v>1570</v>
      </c>
      <c r="K663" t="s">
        <v>229</v>
      </c>
      <c r="L663">
        <v>7</v>
      </c>
      <c r="M663">
        <v>0</v>
      </c>
      <c r="N663" t="s">
        <v>259</v>
      </c>
      <c r="O663" t="s">
        <v>559</v>
      </c>
      <c r="P663">
        <v>12</v>
      </c>
      <c r="Q66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2C421229</v>
      </c>
      <c r="R663" t="s">
        <v>644</v>
      </c>
      <c r="S66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64" spans="1:20" x14ac:dyDescent="0.25">
      <c r="A664" t="s">
        <v>558</v>
      </c>
      <c r="B664">
        <v>202005</v>
      </c>
      <c r="C664" t="s">
        <v>4</v>
      </c>
      <c r="D664" t="s">
        <v>265</v>
      </c>
      <c r="E664" s="1020">
        <v>115</v>
      </c>
      <c r="F664">
        <v>0</v>
      </c>
      <c r="G664" s="2">
        <v>6.73</v>
      </c>
      <c r="H664">
        <v>0</v>
      </c>
      <c r="I664">
        <v>1570</v>
      </c>
      <c r="K664" t="s">
        <v>229</v>
      </c>
      <c r="L664">
        <v>7</v>
      </c>
      <c r="M664">
        <v>0</v>
      </c>
      <c r="N664" t="s">
        <v>259</v>
      </c>
      <c r="O664" t="s">
        <v>559</v>
      </c>
      <c r="P664">
        <v>12</v>
      </c>
      <c r="Q66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2C421230</v>
      </c>
      <c r="R664" t="s">
        <v>644</v>
      </c>
      <c r="S66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65" spans="1:20" x14ac:dyDescent="0.25">
      <c r="A665" t="s">
        <v>558</v>
      </c>
      <c r="B665">
        <v>202005</v>
      </c>
      <c r="C665" t="s">
        <v>6</v>
      </c>
      <c r="D665" t="s">
        <v>60</v>
      </c>
      <c r="E665">
        <v>50</v>
      </c>
      <c r="F665">
        <v>0</v>
      </c>
      <c r="G665" s="2">
        <v>9.7200000000000006</v>
      </c>
      <c r="H665">
        <v>0</v>
      </c>
      <c r="I665">
        <v>1570</v>
      </c>
      <c r="K665" t="s">
        <v>229</v>
      </c>
      <c r="L665">
        <v>7</v>
      </c>
      <c r="M665">
        <v>0</v>
      </c>
      <c r="N665" t="s">
        <v>259</v>
      </c>
      <c r="O665" t="s">
        <v>559</v>
      </c>
      <c r="P665">
        <v>12</v>
      </c>
      <c r="Q66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2C421245</v>
      </c>
      <c r="R665" t="s">
        <v>644</v>
      </c>
      <c r="S66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66" spans="1:20" x14ac:dyDescent="0.25">
      <c r="A666" t="s">
        <v>558</v>
      </c>
      <c r="B666">
        <v>202005</v>
      </c>
      <c r="C666" t="s">
        <v>260</v>
      </c>
      <c r="D666" t="s">
        <v>261</v>
      </c>
      <c r="E666">
        <v>50</v>
      </c>
      <c r="F666">
        <v>0</v>
      </c>
      <c r="G666" s="2">
        <v>7.27</v>
      </c>
      <c r="H666">
        <v>0</v>
      </c>
      <c r="I666">
        <v>1570</v>
      </c>
      <c r="K666" t="s">
        <v>229</v>
      </c>
      <c r="L666">
        <v>7</v>
      </c>
      <c r="M666">
        <v>0</v>
      </c>
      <c r="N666" t="s">
        <v>259</v>
      </c>
      <c r="O666" t="s">
        <v>559</v>
      </c>
      <c r="P666">
        <v>12</v>
      </c>
      <c r="Q66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2C421334</v>
      </c>
      <c r="R666" t="s">
        <v>644</v>
      </c>
      <c r="S66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67" spans="1:20" x14ac:dyDescent="0.25">
      <c r="A667" t="s">
        <v>558</v>
      </c>
      <c r="B667">
        <v>202005</v>
      </c>
      <c r="C667" t="s">
        <v>56</v>
      </c>
      <c r="D667" t="s">
        <v>246</v>
      </c>
      <c r="E667">
        <v>0</v>
      </c>
      <c r="F667">
        <v>0</v>
      </c>
      <c r="G667" s="2">
        <v>0.16</v>
      </c>
      <c r="H667">
        <v>0</v>
      </c>
      <c r="K667" t="s">
        <v>229</v>
      </c>
      <c r="L667">
        <v>8</v>
      </c>
      <c r="M667">
        <v>0</v>
      </c>
      <c r="O667" t="s">
        <v>559</v>
      </c>
      <c r="P667">
        <v>12</v>
      </c>
      <c r="Q66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2C428999</v>
      </c>
      <c r="R667" t="s">
        <v>644</v>
      </c>
      <c r="S66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668" spans="1:20" x14ac:dyDescent="0.25">
      <c r="A668" t="s">
        <v>560</v>
      </c>
      <c r="B668">
        <v>202005</v>
      </c>
      <c r="C668" t="s">
        <v>141</v>
      </c>
      <c r="D668" t="s">
        <v>262</v>
      </c>
      <c r="E668">
        <v>433.66277000000002</v>
      </c>
      <c r="F668">
        <v>0</v>
      </c>
      <c r="G668" s="2">
        <v>100</v>
      </c>
      <c r="H668">
        <v>0</v>
      </c>
      <c r="I668">
        <v>1570</v>
      </c>
      <c r="K668" t="s">
        <v>229</v>
      </c>
      <c r="L668">
        <v>0</v>
      </c>
      <c r="M668">
        <v>0</v>
      </c>
      <c r="N668" t="s">
        <v>259</v>
      </c>
      <c r="O668" t="s">
        <v>561</v>
      </c>
      <c r="P668">
        <v>12</v>
      </c>
      <c r="Q66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2C431102</v>
      </c>
      <c r="R668" t="s">
        <v>644</v>
      </c>
      <c r="S66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669" spans="1:20" x14ac:dyDescent="0.25">
      <c r="A669" t="s">
        <v>560</v>
      </c>
      <c r="B669">
        <v>202005</v>
      </c>
      <c r="C669" t="s">
        <v>112</v>
      </c>
      <c r="D669" t="s">
        <v>292</v>
      </c>
      <c r="E669" s="1020">
        <v>1056.4609800000001</v>
      </c>
      <c r="F669">
        <v>0</v>
      </c>
      <c r="G669" s="2">
        <v>24.7</v>
      </c>
      <c r="H669">
        <v>0</v>
      </c>
      <c r="I669">
        <v>1570</v>
      </c>
      <c r="K669" t="s">
        <v>229</v>
      </c>
      <c r="L669">
        <v>6</v>
      </c>
      <c r="M669">
        <v>0</v>
      </c>
      <c r="N669" t="s">
        <v>259</v>
      </c>
      <c r="O669" t="s">
        <v>561</v>
      </c>
      <c r="P669">
        <v>12</v>
      </c>
      <c r="Q66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2C431189</v>
      </c>
      <c r="R669" t="s">
        <v>644</v>
      </c>
      <c r="S66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  <c r="T669" t="s">
        <v>149</v>
      </c>
    </row>
    <row r="670" spans="1:20" x14ac:dyDescent="0.25">
      <c r="A670" t="s">
        <v>560</v>
      </c>
      <c r="B670">
        <v>202005</v>
      </c>
      <c r="C670" t="s">
        <v>143</v>
      </c>
      <c r="D670" t="s">
        <v>264</v>
      </c>
      <c r="E670">
        <v>210</v>
      </c>
      <c r="F670">
        <v>0</v>
      </c>
      <c r="G670" s="2">
        <v>6.85</v>
      </c>
      <c r="H670">
        <v>0</v>
      </c>
      <c r="I670">
        <v>1570</v>
      </c>
      <c r="K670" t="s">
        <v>229</v>
      </c>
      <c r="L670">
        <v>7</v>
      </c>
      <c r="M670">
        <v>0</v>
      </c>
      <c r="N670" t="s">
        <v>259</v>
      </c>
      <c r="O670" t="s">
        <v>561</v>
      </c>
      <c r="P670">
        <v>12</v>
      </c>
      <c r="Q67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2C431195</v>
      </c>
      <c r="R670" t="s">
        <v>644</v>
      </c>
      <c r="S67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71" spans="1:20" x14ac:dyDescent="0.25">
      <c r="A671" t="s">
        <v>560</v>
      </c>
      <c r="B671">
        <v>202005</v>
      </c>
      <c r="C671" t="s">
        <v>149</v>
      </c>
      <c r="D671" t="s">
        <v>206</v>
      </c>
      <c r="E671">
        <v>323.2</v>
      </c>
      <c r="F671">
        <v>0</v>
      </c>
      <c r="G671" s="2">
        <v>41.01</v>
      </c>
      <c r="H671">
        <v>0</v>
      </c>
      <c r="I671">
        <v>1570</v>
      </c>
      <c r="K671" t="s">
        <v>229</v>
      </c>
      <c r="L671">
        <v>7</v>
      </c>
      <c r="M671">
        <v>0</v>
      </c>
      <c r="N671" t="s">
        <v>259</v>
      </c>
      <c r="O671" t="s">
        <v>561</v>
      </c>
      <c r="P671">
        <v>12</v>
      </c>
      <c r="Q67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2C431221</v>
      </c>
      <c r="R671" t="s">
        <v>644</v>
      </c>
      <c r="S67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72" spans="1:20" x14ac:dyDescent="0.25">
      <c r="A672" t="s">
        <v>560</v>
      </c>
      <c r="B672">
        <v>202005</v>
      </c>
      <c r="C672" t="s">
        <v>3</v>
      </c>
      <c r="D672" t="s">
        <v>58</v>
      </c>
      <c r="E672">
        <v>275</v>
      </c>
      <c r="F672">
        <v>0</v>
      </c>
      <c r="G672" s="2">
        <v>1.7</v>
      </c>
      <c r="H672">
        <v>0</v>
      </c>
      <c r="I672">
        <v>1570</v>
      </c>
      <c r="K672" t="s">
        <v>229</v>
      </c>
      <c r="L672">
        <v>7</v>
      </c>
      <c r="M672">
        <v>0</v>
      </c>
      <c r="N672" t="s">
        <v>259</v>
      </c>
      <c r="O672" t="s">
        <v>561</v>
      </c>
      <c r="P672">
        <v>12</v>
      </c>
      <c r="Q67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2C431229</v>
      </c>
      <c r="R672" t="s">
        <v>644</v>
      </c>
      <c r="S67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73" spans="1:20" x14ac:dyDescent="0.25">
      <c r="A673" t="s">
        <v>560</v>
      </c>
      <c r="B673">
        <v>202005</v>
      </c>
      <c r="C673" t="s">
        <v>4</v>
      </c>
      <c r="D673" t="s">
        <v>265</v>
      </c>
      <c r="E673">
        <v>115</v>
      </c>
      <c r="F673">
        <v>0</v>
      </c>
      <c r="G673" s="2">
        <v>6.61</v>
      </c>
      <c r="H673">
        <v>0</v>
      </c>
      <c r="I673">
        <v>1570</v>
      </c>
      <c r="K673" t="s">
        <v>229</v>
      </c>
      <c r="L673">
        <v>7</v>
      </c>
      <c r="M673">
        <v>0</v>
      </c>
      <c r="N673" t="s">
        <v>259</v>
      </c>
      <c r="O673" t="s">
        <v>561</v>
      </c>
      <c r="P673">
        <v>12</v>
      </c>
      <c r="Q67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2C431230</v>
      </c>
      <c r="R673" t="s">
        <v>644</v>
      </c>
      <c r="S67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74" spans="1:20" x14ac:dyDescent="0.25">
      <c r="A674" t="s">
        <v>560</v>
      </c>
      <c r="B674">
        <v>202005</v>
      </c>
      <c r="C674" t="s">
        <v>6</v>
      </c>
      <c r="D674" t="s">
        <v>60</v>
      </c>
      <c r="E674">
        <v>50</v>
      </c>
      <c r="F674">
        <v>0</v>
      </c>
      <c r="G674" s="2">
        <v>11.25</v>
      </c>
      <c r="H674">
        <v>0</v>
      </c>
      <c r="I674">
        <v>1570</v>
      </c>
      <c r="K674" t="s">
        <v>229</v>
      </c>
      <c r="L674">
        <v>7</v>
      </c>
      <c r="M674">
        <v>0</v>
      </c>
      <c r="N674" t="s">
        <v>259</v>
      </c>
      <c r="O674" t="s">
        <v>561</v>
      </c>
      <c r="P674">
        <v>12</v>
      </c>
      <c r="Q67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2C431245</v>
      </c>
      <c r="R674" t="s">
        <v>644</v>
      </c>
      <c r="S67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75" spans="1:20" x14ac:dyDescent="0.25">
      <c r="A675" t="s">
        <v>560</v>
      </c>
      <c r="B675">
        <v>202005</v>
      </c>
      <c r="C675" t="s">
        <v>260</v>
      </c>
      <c r="D675" t="s">
        <v>261</v>
      </c>
      <c r="E675">
        <v>50</v>
      </c>
      <c r="F675">
        <v>0</v>
      </c>
      <c r="G675" s="2">
        <v>7.68</v>
      </c>
      <c r="H675">
        <v>0</v>
      </c>
      <c r="I675">
        <v>1570</v>
      </c>
      <c r="K675" t="s">
        <v>229</v>
      </c>
      <c r="L675">
        <v>7</v>
      </c>
      <c r="M675">
        <v>0</v>
      </c>
      <c r="N675" t="s">
        <v>259</v>
      </c>
      <c r="O675" t="s">
        <v>561</v>
      </c>
      <c r="P675">
        <v>12</v>
      </c>
      <c r="Q67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2C431334</v>
      </c>
      <c r="R675" t="s">
        <v>644</v>
      </c>
      <c r="S67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76" spans="1:20" x14ac:dyDescent="0.25">
      <c r="A676" t="s">
        <v>560</v>
      </c>
      <c r="B676">
        <v>202005</v>
      </c>
      <c r="C676" t="s">
        <v>56</v>
      </c>
      <c r="D676" t="s">
        <v>246</v>
      </c>
      <c r="E676">
        <v>0</v>
      </c>
      <c r="F676">
        <v>0</v>
      </c>
      <c r="G676" s="2">
        <v>0.21</v>
      </c>
      <c r="H676">
        <v>0</v>
      </c>
      <c r="I676">
        <v>1570</v>
      </c>
      <c r="K676" t="s">
        <v>229</v>
      </c>
      <c r="L676">
        <v>8</v>
      </c>
      <c r="M676">
        <v>0</v>
      </c>
      <c r="O676" t="s">
        <v>561</v>
      </c>
      <c r="P676">
        <v>12</v>
      </c>
      <c r="Q67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2C438999</v>
      </c>
      <c r="R676" t="s">
        <v>644</v>
      </c>
      <c r="S67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677" spans="1:20" x14ac:dyDescent="0.25">
      <c r="A677" t="s">
        <v>562</v>
      </c>
      <c r="B677">
        <v>202005</v>
      </c>
      <c r="C677" t="s">
        <v>141</v>
      </c>
      <c r="D677" t="s">
        <v>262</v>
      </c>
      <c r="E677">
        <v>433.66277000000002</v>
      </c>
      <c r="F677">
        <v>0</v>
      </c>
      <c r="G677" s="2">
        <v>100</v>
      </c>
      <c r="H677">
        <v>0</v>
      </c>
      <c r="I677">
        <v>1570</v>
      </c>
      <c r="K677" t="s">
        <v>229</v>
      </c>
      <c r="L677">
        <v>1</v>
      </c>
      <c r="M677">
        <v>0</v>
      </c>
      <c r="N677" t="s">
        <v>259</v>
      </c>
      <c r="O677" t="s">
        <v>563</v>
      </c>
      <c r="P677">
        <v>12</v>
      </c>
      <c r="Q67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2C441102</v>
      </c>
      <c r="R677" t="s">
        <v>644</v>
      </c>
      <c r="S67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678" spans="1:20" x14ac:dyDescent="0.25">
      <c r="A678" t="s">
        <v>562</v>
      </c>
      <c r="B678">
        <v>202005</v>
      </c>
      <c r="C678" t="s">
        <v>112</v>
      </c>
      <c r="D678" t="s">
        <v>292</v>
      </c>
      <c r="E678" s="1020">
        <v>1056.4609800000001</v>
      </c>
      <c r="F678">
        <v>0</v>
      </c>
      <c r="G678" s="2">
        <v>29.8</v>
      </c>
      <c r="H678">
        <v>0</v>
      </c>
      <c r="K678" t="s">
        <v>229</v>
      </c>
      <c r="L678">
        <v>6</v>
      </c>
      <c r="M678">
        <v>0</v>
      </c>
      <c r="N678" t="s">
        <v>259</v>
      </c>
      <c r="O678" t="s">
        <v>563</v>
      </c>
      <c r="P678">
        <v>12</v>
      </c>
      <c r="Q67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2C441189</v>
      </c>
      <c r="R678" t="s">
        <v>644</v>
      </c>
      <c r="S67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  <c r="T678" t="s">
        <v>1551</v>
      </c>
    </row>
    <row r="679" spans="1:20" x14ac:dyDescent="0.25">
      <c r="A679" t="s">
        <v>562</v>
      </c>
      <c r="B679">
        <v>202005</v>
      </c>
      <c r="C679" t="s">
        <v>142</v>
      </c>
      <c r="D679" t="s">
        <v>263</v>
      </c>
      <c r="E679">
        <v>330</v>
      </c>
      <c r="F679">
        <v>0</v>
      </c>
      <c r="G679" s="2">
        <v>7.6</v>
      </c>
      <c r="H679">
        <v>0</v>
      </c>
      <c r="K679" t="s">
        <v>229</v>
      </c>
      <c r="L679">
        <v>7</v>
      </c>
      <c r="M679">
        <v>0</v>
      </c>
      <c r="N679" t="s">
        <v>259</v>
      </c>
      <c r="O679" t="s">
        <v>563</v>
      </c>
      <c r="P679">
        <v>12</v>
      </c>
      <c r="Q67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2C441194</v>
      </c>
      <c r="R679" t="s">
        <v>644</v>
      </c>
      <c r="S67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80" spans="1:20" x14ac:dyDescent="0.25">
      <c r="A680" t="s">
        <v>562</v>
      </c>
      <c r="B680">
        <v>202005</v>
      </c>
      <c r="C680" t="s">
        <v>143</v>
      </c>
      <c r="D680" t="s">
        <v>264</v>
      </c>
      <c r="E680">
        <v>210</v>
      </c>
      <c r="F680">
        <v>0</v>
      </c>
      <c r="G680" s="2">
        <v>9.1</v>
      </c>
      <c r="H680">
        <v>0</v>
      </c>
      <c r="K680" t="s">
        <v>229</v>
      </c>
      <c r="L680">
        <v>7</v>
      </c>
      <c r="M680">
        <v>0</v>
      </c>
      <c r="N680" t="s">
        <v>259</v>
      </c>
      <c r="O680" t="s">
        <v>563</v>
      </c>
      <c r="P680">
        <v>12</v>
      </c>
      <c r="Q68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2C441195</v>
      </c>
      <c r="R680" t="s">
        <v>644</v>
      </c>
      <c r="S68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81" spans="1:20" x14ac:dyDescent="0.25">
      <c r="A681" t="s">
        <v>562</v>
      </c>
      <c r="B681">
        <v>202005</v>
      </c>
      <c r="C681" t="s">
        <v>147</v>
      </c>
      <c r="D681" t="s">
        <v>207</v>
      </c>
      <c r="E681">
        <v>323.2</v>
      </c>
      <c r="F681">
        <v>0</v>
      </c>
      <c r="G681" s="2">
        <v>8.9</v>
      </c>
      <c r="H681">
        <v>0</v>
      </c>
      <c r="K681" t="s">
        <v>229</v>
      </c>
      <c r="L681">
        <v>7</v>
      </c>
      <c r="M681">
        <v>0</v>
      </c>
      <c r="N681" t="s">
        <v>259</v>
      </c>
      <c r="O681" t="s">
        <v>563</v>
      </c>
      <c r="P681">
        <v>12</v>
      </c>
      <c r="Q68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2C441222</v>
      </c>
      <c r="R681" t="s">
        <v>644</v>
      </c>
      <c r="S68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82" spans="1:20" x14ac:dyDescent="0.25">
      <c r="A682" t="s">
        <v>562</v>
      </c>
      <c r="B682">
        <v>202005</v>
      </c>
      <c r="C682" t="s">
        <v>144</v>
      </c>
      <c r="D682" t="s">
        <v>211</v>
      </c>
      <c r="E682">
        <v>350</v>
      </c>
      <c r="F682">
        <v>0</v>
      </c>
      <c r="G682" s="2">
        <v>11</v>
      </c>
      <c r="H682">
        <v>0</v>
      </c>
      <c r="K682" t="s">
        <v>229</v>
      </c>
      <c r="L682">
        <v>7</v>
      </c>
      <c r="M682">
        <v>0</v>
      </c>
      <c r="N682" t="s">
        <v>259</v>
      </c>
      <c r="O682" t="s">
        <v>563</v>
      </c>
      <c r="P682">
        <v>12</v>
      </c>
      <c r="Q68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2C441225</v>
      </c>
      <c r="R682" t="s">
        <v>644</v>
      </c>
      <c r="S68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83" spans="1:20" x14ac:dyDescent="0.25">
      <c r="A683" t="s">
        <v>562</v>
      </c>
      <c r="B683">
        <v>202005</v>
      </c>
      <c r="C683" t="s">
        <v>3</v>
      </c>
      <c r="D683" t="s">
        <v>58</v>
      </c>
      <c r="E683">
        <v>275</v>
      </c>
      <c r="F683">
        <v>0</v>
      </c>
      <c r="G683" s="2">
        <v>1.3</v>
      </c>
      <c r="H683">
        <v>0</v>
      </c>
      <c r="K683" t="s">
        <v>229</v>
      </c>
      <c r="L683">
        <v>7</v>
      </c>
      <c r="M683">
        <v>0</v>
      </c>
      <c r="N683" t="s">
        <v>259</v>
      </c>
      <c r="O683" t="s">
        <v>563</v>
      </c>
      <c r="P683">
        <v>12</v>
      </c>
      <c r="Q68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2C441229</v>
      </c>
      <c r="R683" t="s">
        <v>644</v>
      </c>
      <c r="S68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84" spans="1:20" x14ac:dyDescent="0.25">
      <c r="A684" t="s">
        <v>562</v>
      </c>
      <c r="B684">
        <v>202005</v>
      </c>
      <c r="C684" t="s">
        <v>4</v>
      </c>
      <c r="D684" t="s">
        <v>265</v>
      </c>
      <c r="E684">
        <v>115</v>
      </c>
      <c r="F684">
        <v>0</v>
      </c>
      <c r="G684" s="2">
        <v>11.6</v>
      </c>
      <c r="H684">
        <v>0</v>
      </c>
      <c r="K684" t="s">
        <v>229</v>
      </c>
      <c r="L684">
        <v>7</v>
      </c>
      <c r="M684">
        <v>0</v>
      </c>
      <c r="N684" t="s">
        <v>259</v>
      </c>
      <c r="O684" t="s">
        <v>563</v>
      </c>
      <c r="P684">
        <v>12</v>
      </c>
      <c r="Q68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2C441230</v>
      </c>
      <c r="R684" t="s">
        <v>644</v>
      </c>
      <c r="S68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85" spans="1:20" x14ac:dyDescent="0.25">
      <c r="A685" t="s">
        <v>562</v>
      </c>
      <c r="B685">
        <v>202005</v>
      </c>
      <c r="C685" t="s">
        <v>5</v>
      </c>
      <c r="D685" t="s">
        <v>59</v>
      </c>
      <c r="E685">
        <v>8.56</v>
      </c>
      <c r="F685">
        <v>0</v>
      </c>
      <c r="G685" s="2">
        <v>10.7</v>
      </c>
      <c r="H685">
        <v>0</v>
      </c>
      <c r="K685" t="s">
        <v>229</v>
      </c>
      <c r="L685">
        <v>7</v>
      </c>
      <c r="M685">
        <v>0</v>
      </c>
      <c r="N685" t="s">
        <v>259</v>
      </c>
      <c r="O685" t="s">
        <v>563</v>
      </c>
      <c r="P685">
        <v>12</v>
      </c>
      <c r="Q68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2C441231</v>
      </c>
      <c r="R685" t="s">
        <v>644</v>
      </c>
      <c r="S68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86" spans="1:20" x14ac:dyDescent="0.25">
      <c r="A686" t="s">
        <v>562</v>
      </c>
      <c r="B686">
        <v>202005</v>
      </c>
      <c r="C686" t="s">
        <v>6</v>
      </c>
      <c r="D686" t="s">
        <v>60</v>
      </c>
      <c r="E686">
        <v>50</v>
      </c>
      <c r="F686">
        <v>0</v>
      </c>
      <c r="G686" s="2">
        <v>10</v>
      </c>
      <c r="H686">
        <v>0</v>
      </c>
      <c r="I686">
        <v>1570</v>
      </c>
      <c r="K686" t="s">
        <v>229</v>
      </c>
      <c r="L686">
        <v>7</v>
      </c>
      <c r="M686">
        <v>0</v>
      </c>
      <c r="N686" t="s">
        <v>259</v>
      </c>
      <c r="O686" t="s">
        <v>563</v>
      </c>
      <c r="P686">
        <v>12</v>
      </c>
      <c r="Q68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2C441245</v>
      </c>
      <c r="R686" t="s">
        <v>644</v>
      </c>
      <c r="S68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87" spans="1:20" x14ac:dyDescent="0.25">
      <c r="A687" t="s">
        <v>562</v>
      </c>
      <c r="B687">
        <v>202005</v>
      </c>
      <c r="C687" t="s">
        <v>56</v>
      </c>
      <c r="D687" t="s">
        <v>246</v>
      </c>
      <c r="E687">
        <v>0</v>
      </c>
      <c r="F687">
        <v>0</v>
      </c>
      <c r="G687" s="2">
        <v>0</v>
      </c>
      <c r="H687">
        <v>0</v>
      </c>
      <c r="I687">
        <v>1570</v>
      </c>
      <c r="K687" t="s">
        <v>229</v>
      </c>
      <c r="L687">
        <v>8</v>
      </c>
      <c r="M687">
        <v>0</v>
      </c>
      <c r="N687" t="s">
        <v>259</v>
      </c>
      <c r="O687" t="s">
        <v>563</v>
      </c>
      <c r="P687">
        <v>12</v>
      </c>
      <c r="Q68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2C448999</v>
      </c>
      <c r="R687" t="s">
        <v>644</v>
      </c>
      <c r="S68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688" spans="1:20" x14ac:dyDescent="0.25">
      <c r="A688" t="s">
        <v>111</v>
      </c>
      <c r="B688">
        <v>202005</v>
      </c>
      <c r="C688" t="s">
        <v>141</v>
      </c>
      <c r="D688" t="s">
        <v>262</v>
      </c>
      <c r="E688">
        <v>433.66277000000002</v>
      </c>
      <c r="F688">
        <v>0</v>
      </c>
      <c r="G688" s="2">
        <v>100</v>
      </c>
      <c r="H688">
        <v>0</v>
      </c>
      <c r="I688">
        <v>1570</v>
      </c>
      <c r="K688" t="s">
        <v>229</v>
      </c>
      <c r="L688">
        <v>1</v>
      </c>
      <c r="M688">
        <v>0</v>
      </c>
      <c r="N688" t="s">
        <v>259</v>
      </c>
      <c r="O688" t="s">
        <v>291</v>
      </c>
      <c r="P688">
        <v>12</v>
      </c>
      <c r="Q68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2C451102</v>
      </c>
      <c r="R688" t="s">
        <v>644</v>
      </c>
      <c r="S68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689" spans="1:20" x14ac:dyDescent="0.25">
      <c r="A689" t="s">
        <v>111</v>
      </c>
      <c r="B689">
        <v>202005</v>
      </c>
      <c r="C689" t="s">
        <v>112</v>
      </c>
      <c r="D689" t="s">
        <v>292</v>
      </c>
      <c r="E689" s="1020">
        <v>1056.4609800000001</v>
      </c>
      <c r="F689">
        <v>0</v>
      </c>
      <c r="G689" s="2">
        <v>25.96</v>
      </c>
      <c r="H689">
        <v>0</v>
      </c>
      <c r="I689">
        <v>1570</v>
      </c>
      <c r="K689" t="s">
        <v>229</v>
      </c>
      <c r="L689">
        <v>6</v>
      </c>
      <c r="M689">
        <v>0</v>
      </c>
      <c r="N689" t="s">
        <v>259</v>
      </c>
      <c r="O689" t="s">
        <v>291</v>
      </c>
      <c r="P689">
        <v>12</v>
      </c>
      <c r="Q68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2C451189</v>
      </c>
      <c r="R689" t="s">
        <v>644</v>
      </c>
      <c r="S68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  <c r="T689" t="s">
        <v>144</v>
      </c>
    </row>
    <row r="690" spans="1:20" x14ac:dyDescent="0.25">
      <c r="A690" t="s">
        <v>111</v>
      </c>
      <c r="B690">
        <v>202005</v>
      </c>
      <c r="C690" t="s">
        <v>142</v>
      </c>
      <c r="D690" t="s">
        <v>263</v>
      </c>
      <c r="E690">
        <v>330</v>
      </c>
      <c r="F690">
        <v>0</v>
      </c>
      <c r="G690" s="2">
        <v>9.34</v>
      </c>
      <c r="H690">
        <v>0</v>
      </c>
      <c r="I690">
        <v>1570</v>
      </c>
      <c r="K690" t="s">
        <v>229</v>
      </c>
      <c r="L690">
        <v>7</v>
      </c>
      <c r="M690">
        <v>0</v>
      </c>
      <c r="N690" t="s">
        <v>259</v>
      </c>
      <c r="O690" t="s">
        <v>291</v>
      </c>
      <c r="P690">
        <v>12</v>
      </c>
      <c r="Q69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2C451194</v>
      </c>
      <c r="R690" t="s">
        <v>644</v>
      </c>
      <c r="S69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91" spans="1:20" x14ac:dyDescent="0.25">
      <c r="A691" t="s">
        <v>111</v>
      </c>
      <c r="B691">
        <v>202005</v>
      </c>
      <c r="C691" t="s">
        <v>143</v>
      </c>
      <c r="D691" t="s">
        <v>264</v>
      </c>
      <c r="E691">
        <v>210</v>
      </c>
      <c r="F691">
        <v>0</v>
      </c>
      <c r="G691" s="2">
        <v>7.35</v>
      </c>
      <c r="H691">
        <v>0</v>
      </c>
      <c r="I691">
        <v>1570</v>
      </c>
      <c r="K691" t="s">
        <v>229</v>
      </c>
      <c r="L691">
        <v>7</v>
      </c>
      <c r="M691">
        <v>0</v>
      </c>
      <c r="N691" t="s">
        <v>259</v>
      </c>
      <c r="O691" t="s">
        <v>291</v>
      </c>
      <c r="P691">
        <v>12</v>
      </c>
      <c r="Q69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2C451195</v>
      </c>
      <c r="R691" t="s">
        <v>644</v>
      </c>
      <c r="S69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92" spans="1:20" x14ac:dyDescent="0.25">
      <c r="A692" t="s">
        <v>111</v>
      </c>
      <c r="B692">
        <v>202005</v>
      </c>
      <c r="C692" t="s">
        <v>144</v>
      </c>
      <c r="D692" t="s">
        <v>211</v>
      </c>
      <c r="E692">
        <v>350</v>
      </c>
      <c r="F692">
        <v>0</v>
      </c>
      <c r="G692" s="2">
        <v>25.15</v>
      </c>
      <c r="H692">
        <v>0</v>
      </c>
      <c r="I692">
        <v>1570</v>
      </c>
      <c r="K692" t="s">
        <v>229</v>
      </c>
      <c r="L692">
        <v>7</v>
      </c>
      <c r="M692">
        <v>0</v>
      </c>
      <c r="N692" t="s">
        <v>259</v>
      </c>
      <c r="O692" t="s">
        <v>291</v>
      </c>
      <c r="P692">
        <v>12</v>
      </c>
      <c r="Q69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2C451225</v>
      </c>
      <c r="R692" t="s">
        <v>644</v>
      </c>
      <c r="S69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93" spans="1:20" x14ac:dyDescent="0.25">
      <c r="A693" t="s">
        <v>111</v>
      </c>
      <c r="B693">
        <v>202005</v>
      </c>
      <c r="C693" t="s">
        <v>3</v>
      </c>
      <c r="D693" t="s">
        <v>58</v>
      </c>
      <c r="E693">
        <v>275</v>
      </c>
      <c r="F693">
        <v>0</v>
      </c>
      <c r="G693" s="2">
        <v>1.57</v>
      </c>
      <c r="H693">
        <v>0</v>
      </c>
      <c r="I693">
        <v>1570</v>
      </c>
      <c r="K693" t="s">
        <v>229</v>
      </c>
      <c r="L693">
        <v>7</v>
      </c>
      <c r="M693">
        <v>0</v>
      </c>
      <c r="N693" t="s">
        <v>259</v>
      </c>
      <c r="O693" t="s">
        <v>291</v>
      </c>
      <c r="P693">
        <v>12</v>
      </c>
      <c r="Q69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2C451229</v>
      </c>
      <c r="R693" t="s">
        <v>644</v>
      </c>
      <c r="S69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94" spans="1:20" x14ac:dyDescent="0.25">
      <c r="A694" t="s">
        <v>111</v>
      </c>
      <c r="B694">
        <v>202005</v>
      </c>
      <c r="C694" t="s">
        <v>4</v>
      </c>
      <c r="D694" t="s">
        <v>265</v>
      </c>
      <c r="E694">
        <v>115</v>
      </c>
      <c r="F694">
        <v>0</v>
      </c>
      <c r="G694" s="2">
        <v>8.5399999999999991</v>
      </c>
      <c r="H694">
        <v>0</v>
      </c>
      <c r="I694">
        <v>1570</v>
      </c>
      <c r="K694" t="s">
        <v>229</v>
      </c>
      <c r="L694">
        <v>7</v>
      </c>
      <c r="M694">
        <v>0</v>
      </c>
      <c r="N694" t="s">
        <v>259</v>
      </c>
      <c r="O694" t="s">
        <v>291</v>
      </c>
      <c r="P694">
        <v>12</v>
      </c>
      <c r="Q69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2C451230</v>
      </c>
      <c r="R694" t="s">
        <v>644</v>
      </c>
      <c r="S69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95" spans="1:20" x14ac:dyDescent="0.25">
      <c r="A695" t="s">
        <v>111</v>
      </c>
      <c r="B695">
        <v>202005</v>
      </c>
      <c r="C695" t="s">
        <v>6</v>
      </c>
      <c r="D695" t="s">
        <v>60</v>
      </c>
      <c r="E695">
        <v>50</v>
      </c>
      <c r="F695">
        <v>0</v>
      </c>
      <c r="G695" s="2">
        <v>14.69</v>
      </c>
      <c r="H695">
        <v>0</v>
      </c>
      <c r="I695">
        <v>1570</v>
      </c>
      <c r="K695" t="s">
        <v>229</v>
      </c>
      <c r="L695">
        <v>7</v>
      </c>
      <c r="M695">
        <v>0</v>
      </c>
      <c r="N695" t="s">
        <v>259</v>
      </c>
      <c r="O695" t="s">
        <v>291</v>
      </c>
      <c r="P695">
        <v>12</v>
      </c>
      <c r="Q69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2C451245</v>
      </c>
      <c r="R695" t="s">
        <v>644</v>
      </c>
      <c r="S69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96" spans="1:20" x14ac:dyDescent="0.25">
      <c r="A696" t="s">
        <v>111</v>
      </c>
      <c r="B696">
        <v>202005</v>
      </c>
      <c r="C696" t="s">
        <v>260</v>
      </c>
      <c r="D696" t="s">
        <v>261</v>
      </c>
      <c r="E696">
        <v>50</v>
      </c>
      <c r="F696">
        <v>0</v>
      </c>
      <c r="G696" s="2">
        <v>7.28</v>
      </c>
      <c r="H696">
        <v>0</v>
      </c>
      <c r="I696">
        <v>1570</v>
      </c>
      <c r="K696" t="s">
        <v>229</v>
      </c>
      <c r="L696">
        <v>7</v>
      </c>
      <c r="M696">
        <v>0</v>
      </c>
      <c r="N696" t="s">
        <v>259</v>
      </c>
      <c r="O696" t="s">
        <v>291</v>
      </c>
      <c r="P696">
        <v>12</v>
      </c>
      <c r="Q69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2C451334</v>
      </c>
      <c r="R696" t="s">
        <v>644</v>
      </c>
      <c r="S69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697" spans="1:20" x14ac:dyDescent="0.25">
      <c r="A697" t="s">
        <v>111</v>
      </c>
      <c r="B697">
        <v>202005</v>
      </c>
      <c r="C697" t="s">
        <v>56</v>
      </c>
      <c r="D697" t="s">
        <v>246</v>
      </c>
      <c r="E697">
        <v>0</v>
      </c>
      <c r="F697">
        <v>0</v>
      </c>
      <c r="G697" s="2">
        <v>0.12</v>
      </c>
      <c r="H697">
        <v>0</v>
      </c>
      <c r="K697" t="s">
        <v>229</v>
      </c>
      <c r="L697">
        <v>8</v>
      </c>
      <c r="M697">
        <v>0</v>
      </c>
      <c r="O697" t="s">
        <v>291</v>
      </c>
      <c r="P697">
        <v>12</v>
      </c>
      <c r="Q69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2C458999</v>
      </c>
      <c r="R697" t="s">
        <v>644</v>
      </c>
      <c r="S69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698" spans="1:20" x14ac:dyDescent="0.25">
      <c r="A698" t="s">
        <v>121</v>
      </c>
      <c r="B698">
        <v>202005</v>
      </c>
      <c r="C698" t="s">
        <v>141</v>
      </c>
      <c r="D698" t="s">
        <v>262</v>
      </c>
      <c r="E698">
        <v>433.66277000000002</v>
      </c>
      <c r="F698">
        <v>0</v>
      </c>
      <c r="G698" s="2">
        <v>100</v>
      </c>
      <c r="H698">
        <v>0</v>
      </c>
      <c r="I698">
        <v>1570</v>
      </c>
      <c r="K698" t="s">
        <v>229</v>
      </c>
      <c r="L698">
        <v>1</v>
      </c>
      <c r="M698">
        <v>0</v>
      </c>
      <c r="N698" t="s">
        <v>259</v>
      </c>
      <c r="O698" t="s">
        <v>293</v>
      </c>
      <c r="P698">
        <v>12</v>
      </c>
      <c r="Q69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2C461102</v>
      </c>
      <c r="R698" t="s">
        <v>644</v>
      </c>
      <c r="S69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699" spans="1:20" x14ac:dyDescent="0.25">
      <c r="A699" t="s">
        <v>121</v>
      </c>
      <c r="B699">
        <v>202005</v>
      </c>
      <c r="C699" t="s">
        <v>122</v>
      </c>
      <c r="D699" t="s">
        <v>294</v>
      </c>
      <c r="E699">
        <v>703.05</v>
      </c>
      <c r="F699">
        <v>0</v>
      </c>
      <c r="G699" s="2">
        <v>41.04</v>
      </c>
      <c r="H699">
        <v>0</v>
      </c>
      <c r="I699">
        <v>1570</v>
      </c>
      <c r="K699" t="s">
        <v>229</v>
      </c>
      <c r="L699">
        <v>6</v>
      </c>
      <c r="M699">
        <v>0</v>
      </c>
      <c r="N699" t="s">
        <v>259</v>
      </c>
      <c r="O699" t="s">
        <v>293</v>
      </c>
      <c r="P699">
        <v>12</v>
      </c>
      <c r="Q69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2C461196</v>
      </c>
      <c r="R699" t="s">
        <v>644</v>
      </c>
      <c r="S69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  <c r="T699" t="s">
        <v>151</v>
      </c>
    </row>
    <row r="700" spans="1:20" x14ac:dyDescent="0.25">
      <c r="A700" t="s">
        <v>121</v>
      </c>
      <c r="B700">
        <v>202005</v>
      </c>
      <c r="C700" t="s">
        <v>142</v>
      </c>
      <c r="D700" t="s">
        <v>263</v>
      </c>
      <c r="E700">
        <v>330</v>
      </c>
      <c r="F700">
        <v>0</v>
      </c>
      <c r="G700" s="2">
        <v>9.49</v>
      </c>
      <c r="H700">
        <v>0</v>
      </c>
      <c r="I700">
        <v>1570</v>
      </c>
      <c r="K700" t="s">
        <v>229</v>
      </c>
      <c r="L700">
        <v>7</v>
      </c>
      <c r="M700">
        <v>0</v>
      </c>
      <c r="N700" t="s">
        <v>259</v>
      </c>
      <c r="O700" t="s">
        <v>293</v>
      </c>
      <c r="P700">
        <v>12</v>
      </c>
      <c r="Q70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2C461194</v>
      </c>
      <c r="R700" t="s">
        <v>644</v>
      </c>
      <c r="S70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701" spans="1:20" x14ac:dyDescent="0.25">
      <c r="A701" t="s">
        <v>121</v>
      </c>
      <c r="B701">
        <v>202005</v>
      </c>
      <c r="C701" t="s">
        <v>151</v>
      </c>
      <c r="D701" t="s">
        <v>209</v>
      </c>
      <c r="E701">
        <v>350</v>
      </c>
      <c r="F701">
        <v>0</v>
      </c>
      <c r="G701" s="2">
        <v>26.89</v>
      </c>
      <c r="H701">
        <v>0</v>
      </c>
      <c r="I701">
        <v>1570</v>
      </c>
      <c r="K701" t="s">
        <v>229</v>
      </c>
      <c r="L701">
        <v>7</v>
      </c>
      <c r="M701">
        <v>0</v>
      </c>
      <c r="N701" t="s">
        <v>259</v>
      </c>
      <c r="O701" t="s">
        <v>293</v>
      </c>
      <c r="P701">
        <v>12</v>
      </c>
      <c r="Q70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2C461224</v>
      </c>
      <c r="R701" t="s">
        <v>644</v>
      </c>
      <c r="S70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702" spans="1:20" x14ac:dyDescent="0.25">
      <c r="A702" t="s">
        <v>121</v>
      </c>
      <c r="B702">
        <v>202005</v>
      </c>
      <c r="C702" t="s">
        <v>3</v>
      </c>
      <c r="D702" t="s">
        <v>58</v>
      </c>
      <c r="E702">
        <v>275</v>
      </c>
      <c r="F702">
        <v>0</v>
      </c>
      <c r="G702" s="2">
        <v>1.03</v>
      </c>
      <c r="H702">
        <v>0</v>
      </c>
      <c r="I702">
        <v>1570</v>
      </c>
      <c r="K702" t="s">
        <v>229</v>
      </c>
      <c r="L702">
        <v>7</v>
      </c>
      <c r="M702">
        <v>0</v>
      </c>
      <c r="N702" t="s">
        <v>259</v>
      </c>
      <c r="O702" t="s">
        <v>293</v>
      </c>
      <c r="P702">
        <v>12</v>
      </c>
      <c r="Q70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2C461229</v>
      </c>
      <c r="R702" t="s">
        <v>644</v>
      </c>
      <c r="S70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703" spans="1:20" x14ac:dyDescent="0.25">
      <c r="A703" t="s">
        <v>121</v>
      </c>
      <c r="B703">
        <v>202005</v>
      </c>
      <c r="C703" t="s">
        <v>4</v>
      </c>
      <c r="D703" t="s">
        <v>265</v>
      </c>
      <c r="E703">
        <v>115</v>
      </c>
      <c r="F703">
        <v>0</v>
      </c>
      <c r="G703" s="2">
        <v>9.42</v>
      </c>
      <c r="H703">
        <v>0</v>
      </c>
      <c r="I703">
        <v>1570</v>
      </c>
      <c r="K703" t="s">
        <v>229</v>
      </c>
      <c r="L703">
        <v>7</v>
      </c>
      <c r="M703">
        <v>0</v>
      </c>
      <c r="N703" t="s">
        <v>259</v>
      </c>
      <c r="O703" t="s">
        <v>293</v>
      </c>
      <c r="P703">
        <v>12</v>
      </c>
      <c r="Q70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2C461230</v>
      </c>
      <c r="R703" t="s">
        <v>644</v>
      </c>
      <c r="S70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704" spans="1:20" x14ac:dyDescent="0.25">
      <c r="A704" t="s">
        <v>121</v>
      </c>
      <c r="B704">
        <v>202005</v>
      </c>
      <c r="C704" t="s">
        <v>6</v>
      </c>
      <c r="D704" t="s">
        <v>60</v>
      </c>
      <c r="E704" s="1020">
        <v>50</v>
      </c>
      <c r="F704">
        <v>0</v>
      </c>
      <c r="G704" s="2">
        <v>4.25</v>
      </c>
      <c r="H704">
        <v>0</v>
      </c>
      <c r="I704">
        <v>1570</v>
      </c>
      <c r="K704" t="s">
        <v>229</v>
      </c>
      <c r="L704">
        <v>7</v>
      </c>
      <c r="M704">
        <v>0</v>
      </c>
      <c r="N704" t="s">
        <v>259</v>
      </c>
      <c r="O704" t="s">
        <v>293</v>
      </c>
      <c r="P704">
        <v>12</v>
      </c>
      <c r="Q70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2C461245</v>
      </c>
      <c r="R704" t="s">
        <v>644</v>
      </c>
      <c r="S70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705" spans="1:20" x14ac:dyDescent="0.25">
      <c r="A705" t="s">
        <v>121</v>
      </c>
      <c r="B705">
        <v>202005</v>
      </c>
      <c r="C705" t="s">
        <v>260</v>
      </c>
      <c r="D705" t="s">
        <v>261</v>
      </c>
      <c r="E705">
        <v>50</v>
      </c>
      <c r="F705">
        <v>0</v>
      </c>
      <c r="G705" s="2">
        <v>7.82</v>
      </c>
      <c r="H705">
        <v>0</v>
      </c>
      <c r="I705">
        <v>1570</v>
      </c>
      <c r="K705" t="s">
        <v>229</v>
      </c>
      <c r="L705">
        <v>7</v>
      </c>
      <c r="M705">
        <v>0</v>
      </c>
      <c r="N705" t="s">
        <v>259</v>
      </c>
      <c r="O705" t="s">
        <v>293</v>
      </c>
      <c r="P705">
        <v>12</v>
      </c>
      <c r="Q70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2C461334</v>
      </c>
      <c r="R705" t="s">
        <v>644</v>
      </c>
      <c r="S70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706" spans="1:20" x14ac:dyDescent="0.25">
      <c r="A706" t="s">
        <v>121</v>
      </c>
      <c r="B706">
        <v>202005</v>
      </c>
      <c r="C706" t="s">
        <v>56</v>
      </c>
      <c r="D706" t="s">
        <v>246</v>
      </c>
      <c r="E706">
        <v>0</v>
      </c>
      <c r="F706">
        <v>0</v>
      </c>
      <c r="G706" s="2">
        <v>0.06</v>
      </c>
      <c r="H706">
        <v>0</v>
      </c>
      <c r="K706" t="s">
        <v>229</v>
      </c>
      <c r="L706">
        <v>8</v>
      </c>
      <c r="M706">
        <v>0</v>
      </c>
      <c r="O706" t="s">
        <v>293</v>
      </c>
      <c r="P706">
        <v>12</v>
      </c>
      <c r="Q70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2C468999</v>
      </c>
      <c r="R706" t="s">
        <v>644</v>
      </c>
      <c r="S70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707" spans="1:20" x14ac:dyDescent="0.25">
      <c r="A707" t="s">
        <v>1355</v>
      </c>
      <c r="B707">
        <v>202005</v>
      </c>
      <c r="C707" t="s">
        <v>141</v>
      </c>
      <c r="D707" t="s">
        <v>262</v>
      </c>
      <c r="E707">
        <v>433.66277000000002</v>
      </c>
      <c r="F707">
        <v>0</v>
      </c>
      <c r="G707" s="2">
        <v>100</v>
      </c>
      <c r="H707">
        <v>0</v>
      </c>
      <c r="I707">
        <v>1570</v>
      </c>
      <c r="K707" t="s">
        <v>229</v>
      </c>
      <c r="L707">
        <v>1</v>
      </c>
      <c r="M707">
        <v>0</v>
      </c>
      <c r="N707" t="s">
        <v>259</v>
      </c>
      <c r="O707" t="s">
        <v>1356</v>
      </c>
      <c r="P707">
        <v>15</v>
      </c>
      <c r="Q70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2C471102</v>
      </c>
      <c r="R707" t="s">
        <v>229</v>
      </c>
      <c r="S70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08" spans="1:20" x14ac:dyDescent="0.25">
      <c r="A708" t="s">
        <v>1355</v>
      </c>
      <c r="B708">
        <v>202005</v>
      </c>
      <c r="C708" t="s">
        <v>1357</v>
      </c>
      <c r="D708" t="s">
        <v>1358</v>
      </c>
      <c r="E708" s="1020">
        <v>402.49</v>
      </c>
      <c r="F708">
        <v>0</v>
      </c>
      <c r="G708" s="2">
        <v>88.4</v>
      </c>
      <c r="H708">
        <v>0</v>
      </c>
      <c r="K708" t="s">
        <v>229</v>
      </c>
      <c r="L708">
        <v>6</v>
      </c>
      <c r="M708">
        <v>0</v>
      </c>
      <c r="N708" t="s">
        <v>259</v>
      </c>
      <c r="O708" t="s">
        <v>1356</v>
      </c>
      <c r="P708">
        <v>15</v>
      </c>
      <c r="Q70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2C471190</v>
      </c>
      <c r="R708" t="s">
        <v>229</v>
      </c>
      <c r="S70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  <c r="T708" t="s">
        <v>1552</v>
      </c>
    </row>
    <row r="709" spans="1:20" x14ac:dyDescent="0.25">
      <c r="A709" t="s">
        <v>1355</v>
      </c>
      <c r="B709">
        <v>202005</v>
      </c>
      <c r="C709" t="s">
        <v>3</v>
      </c>
      <c r="D709" t="s">
        <v>58</v>
      </c>
      <c r="E709">
        <v>275</v>
      </c>
      <c r="F709">
        <v>0</v>
      </c>
      <c r="G709" s="2">
        <v>2</v>
      </c>
      <c r="H709">
        <v>0</v>
      </c>
      <c r="K709" t="s">
        <v>229</v>
      </c>
      <c r="L709">
        <v>7</v>
      </c>
      <c r="M709">
        <v>0</v>
      </c>
      <c r="N709" t="s">
        <v>259</v>
      </c>
      <c r="O709" t="s">
        <v>1356</v>
      </c>
      <c r="P709">
        <v>15</v>
      </c>
      <c r="Q70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2C471229</v>
      </c>
      <c r="R709" t="s">
        <v>229</v>
      </c>
      <c r="S70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10" spans="1:20" x14ac:dyDescent="0.25">
      <c r="A710" t="s">
        <v>1355</v>
      </c>
      <c r="B710">
        <v>202005</v>
      </c>
      <c r="C710" t="s">
        <v>5</v>
      </c>
      <c r="D710" t="s">
        <v>59</v>
      </c>
      <c r="E710">
        <v>8.56</v>
      </c>
      <c r="F710">
        <v>0</v>
      </c>
      <c r="G710" s="2">
        <v>5.2</v>
      </c>
      <c r="H710">
        <v>0</v>
      </c>
      <c r="K710" t="s">
        <v>229</v>
      </c>
      <c r="L710">
        <v>7</v>
      </c>
      <c r="M710">
        <v>0</v>
      </c>
      <c r="N710" t="s">
        <v>259</v>
      </c>
      <c r="O710" t="s">
        <v>1356</v>
      </c>
      <c r="P710">
        <v>15</v>
      </c>
      <c r="Q71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2C471231</v>
      </c>
      <c r="R710" t="s">
        <v>229</v>
      </c>
      <c r="S71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11" spans="1:20" x14ac:dyDescent="0.25">
      <c r="A711" t="s">
        <v>1355</v>
      </c>
      <c r="B711">
        <v>202005</v>
      </c>
      <c r="C711" t="s">
        <v>6</v>
      </c>
      <c r="D711" t="s">
        <v>60</v>
      </c>
      <c r="E711">
        <v>50</v>
      </c>
      <c r="F711">
        <v>0</v>
      </c>
      <c r="G711" s="2">
        <v>4.4000000000000004</v>
      </c>
      <c r="H711">
        <v>0</v>
      </c>
      <c r="I711">
        <v>1570</v>
      </c>
      <c r="K711" t="s">
        <v>229</v>
      </c>
      <c r="L711">
        <v>7</v>
      </c>
      <c r="M711">
        <v>0</v>
      </c>
      <c r="N711" t="s">
        <v>259</v>
      </c>
      <c r="O711" t="s">
        <v>1356</v>
      </c>
      <c r="P711">
        <v>15</v>
      </c>
      <c r="Q71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2C471245</v>
      </c>
      <c r="R711" t="s">
        <v>229</v>
      </c>
      <c r="S71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12" spans="1:20" x14ac:dyDescent="0.25">
      <c r="A712" t="s">
        <v>1355</v>
      </c>
      <c r="B712">
        <v>202005</v>
      </c>
      <c r="C712" t="s">
        <v>56</v>
      </c>
      <c r="D712" t="s">
        <v>246</v>
      </c>
      <c r="E712">
        <v>0</v>
      </c>
      <c r="F712">
        <v>0</v>
      </c>
      <c r="G712" s="2">
        <v>0</v>
      </c>
      <c r="H712">
        <v>0</v>
      </c>
      <c r="I712">
        <v>1570</v>
      </c>
      <c r="K712" t="s">
        <v>229</v>
      </c>
      <c r="L712">
        <v>8</v>
      </c>
      <c r="M712">
        <v>0</v>
      </c>
      <c r="N712" t="s">
        <v>259</v>
      </c>
      <c r="O712" t="s">
        <v>1356</v>
      </c>
      <c r="P712">
        <v>15</v>
      </c>
      <c r="Q71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2C478999</v>
      </c>
      <c r="R712" t="s">
        <v>229</v>
      </c>
      <c r="S71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13" spans="1:20" x14ac:dyDescent="0.25">
      <c r="A713" t="s">
        <v>1128</v>
      </c>
      <c r="B713">
        <v>202005</v>
      </c>
      <c r="C713" t="s">
        <v>141</v>
      </c>
      <c r="D713" t="s">
        <v>262</v>
      </c>
      <c r="E713" s="1020">
        <v>433.66277000000002</v>
      </c>
      <c r="F713">
        <v>0</v>
      </c>
      <c r="G713" s="2">
        <v>100</v>
      </c>
      <c r="H713">
        <v>0</v>
      </c>
      <c r="I713">
        <v>1570</v>
      </c>
      <c r="K713" t="s">
        <v>229</v>
      </c>
      <c r="L713">
        <v>1</v>
      </c>
      <c r="M713">
        <v>0</v>
      </c>
      <c r="N713" t="s">
        <v>259</v>
      </c>
      <c r="O713" t="s">
        <v>1359</v>
      </c>
      <c r="P713">
        <v>12</v>
      </c>
      <c r="Q71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2C481102</v>
      </c>
      <c r="R713" t="s">
        <v>644</v>
      </c>
      <c r="S71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714" spans="1:20" x14ac:dyDescent="0.25">
      <c r="A714" t="s">
        <v>1128</v>
      </c>
      <c r="B714">
        <v>202005</v>
      </c>
      <c r="C714" t="s">
        <v>138</v>
      </c>
      <c r="D714" t="s">
        <v>269</v>
      </c>
      <c r="E714">
        <v>603.71</v>
      </c>
      <c r="F714">
        <v>0</v>
      </c>
      <c r="G714" s="2">
        <v>53.36</v>
      </c>
      <c r="H714">
        <v>0</v>
      </c>
      <c r="I714">
        <v>1570</v>
      </c>
      <c r="K714" t="s">
        <v>229</v>
      </c>
      <c r="L714">
        <v>6</v>
      </c>
      <c r="M714">
        <v>0</v>
      </c>
      <c r="N714" t="s">
        <v>259</v>
      </c>
      <c r="O714" t="s">
        <v>1359</v>
      </c>
      <c r="P714">
        <v>12</v>
      </c>
      <c r="Q71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2C481204</v>
      </c>
      <c r="R714" t="s">
        <v>644</v>
      </c>
      <c r="S71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  <c r="T714" t="s">
        <v>151</v>
      </c>
    </row>
    <row r="715" spans="1:20" x14ac:dyDescent="0.25">
      <c r="A715" t="s">
        <v>1128</v>
      </c>
      <c r="B715">
        <v>202005</v>
      </c>
      <c r="C715" t="s">
        <v>260</v>
      </c>
      <c r="D715" t="s">
        <v>261</v>
      </c>
      <c r="E715">
        <v>50</v>
      </c>
      <c r="F715">
        <v>0</v>
      </c>
      <c r="G715" s="2">
        <v>1.32</v>
      </c>
      <c r="H715">
        <v>0</v>
      </c>
      <c r="I715">
        <v>1570</v>
      </c>
      <c r="K715" t="s">
        <v>229</v>
      </c>
      <c r="L715">
        <v>7</v>
      </c>
      <c r="M715">
        <v>0</v>
      </c>
      <c r="N715" t="s">
        <v>259</v>
      </c>
      <c r="O715" t="s">
        <v>1359</v>
      </c>
      <c r="P715">
        <v>12</v>
      </c>
      <c r="Q71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2C481334</v>
      </c>
      <c r="R715" t="s">
        <v>644</v>
      </c>
      <c r="S71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716" spans="1:20" x14ac:dyDescent="0.25">
      <c r="A716" t="s">
        <v>1128</v>
      </c>
      <c r="B716">
        <v>202005</v>
      </c>
      <c r="C716" t="s">
        <v>142</v>
      </c>
      <c r="D716" t="s">
        <v>263</v>
      </c>
      <c r="E716">
        <v>330</v>
      </c>
      <c r="F716">
        <v>0</v>
      </c>
      <c r="G716" s="2">
        <v>6.02</v>
      </c>
      <c r="H716">
        <v>0</v>
      </c>
      <c r="I716">
        <v>1570</v>
      </c>
      <c r="K716" t="s">
        <v>229</v>
      </c>
      <c r="L716">
        <v>7</v>
      </c>
      <c r="M716">
        <v>0</v>
      </c>
      <c r="N716" t="s">
        <v>259</v>
      </c>
      <c r="O716" t="s">
        <v>1359</v>
      </c>
      <c r="P716">
        <v>12</v>
      </c>
      <c r="Q71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2C481194</v>
      </c>
      <c r="R716" t="s">
        <v>644</v>
      </c>
      <c r="S71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717" spans="1:20" x14ac:dyDescent="0.25">
      <c r="A717" t="s">
        <v>1128</v>
      </c>
      <c r="B717">
        <v>202005</v>
      </c>
      <c r="C717" t="s">
        <v>151</v>
      </c>
      <c r="D717" t="s">
        <v>209</v>
      </c>
      <c r="E717" s="1020">
        <v>350</v>
      </c>
      <c r="F717">
        <v>0</v>
      </c>
      <c r="G717" s="2">
        <v>19.100000000000001</v>
      </c>
      <c r="H717">
        <v>0</v>
      </c>
      <c r="I717">
        <v>1570</v>
      </c>
      <c r="K717" t="s">
        <v>229</v>
      </c>
      <c r="L717">
        <v>7</v>
      </c>
      <c r="M717">
        <v>0</v>
      </c>
      <c r="N717" t="s">
        <v>259</v>
      </c>
      <c r="O717" t="s">
        <v>1359</v>
      </c>
      <c r="P717">
        <v>12</v>
      </c>
      <c r="Q71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2C481224</v>
      </c>
      <c r="R717" t="s">
        <v>644</v>
      </c>
      <c r="S71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718" spans="1:20" x14ac:dyDescent="0.25">
      <c r="A718" t="s">
        <v>1128</v>
      </c>
      <c r="B718">
        <v>202005</v>
      </c>
      <c r="C718" t="s">
        <v>3</v>
      </c>
      <c r="D718" t="s">
        <v>58</v>
      </c>
      <c r="E718">
        <v>275</v>
      </c>
      <c r="F718">
        <v>0</v>
      </c>
      <c r="G718" s="2">
        <v>2.12</v>
      </c>
      <c r="H718">
        <v>0</v>
      </c>
      <c r="I718">
        <v>1570</v>
      </c>
      <c r="K718" t="s">
        <v>229</v>
      </c>
      <c r="L718">
        <v>7</v>
      </c>
      <c r="M718">
        <v>0</v>
      </c>
      <c r="N718" t="s">
        <v>259</v>
      </c>
      <c r="O718" t="s">
        <v>1359</v>
      </c>
      <c r="P718">
        <v>12</v>
      </c>
      <c r="Q71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2C481229</v>
      </c>
      <c r="R718" t="s">
        <v>644</v>
      </c>
      <c r="S71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719" spans="1:20" x14ac:dyDescent="0.25">
      <c r="A719" t="s">
        <v>1128</v>
      </c>
      <c r="B719">
        <v>202005</v>
      </c>
      <c r="C719" t="s">
        <v>4</v>
      </c>
      <c r="D719" t="s">
        <v>265</v>
      </c>
      <c r="E719">
        <v>115</v>
      </c>
      <c r="F719">
        <v>0</v>
      </c>
      <c r="G719" s="2">
        <v>3.96</v>
      </c>
      <c r="H719">
        <v>0</v>
      </c>
      <c r="I719">
        <v>1570</v>
      </c>
      <c r="K719" t="s">
        <v>229</v>
      </c>
      <c r="L719">
        <v>7</v>
      </c>
      <c r="M719">
        <v>0</v>
      </c>
      <c r="N719" t="s">
        <v>259</v>
      </c>
      <c r="O719" t="s">
        <v>1359</v>
      </c>
      <c r="P719">
        <v>12</v>
      </c>
      <c r="Q71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2C481230</v>
      </c>
      <c r="R719" t="s">
        <v>644</v>
      </c>
      <c r="S71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720" spans="1:20" x14ac:dyDescent="0.25">
      <c r="A720" t="s">
        <v>1128</v>
      </c>
      <c r="B720">
        <v>202005</v>
      </c>
      <c r="C720" t="s">
        <v>6</v>
      </c>
      <c r="D720" t="s">
        <v>60</v>
      </c>
      <c r="E720">
        <v>50</v>
      </c>
      <c r="F720">
        <v>0</v>
      </c>
      <c r="G720" s="2">
        <v>13.65</v>
      </c>
      <c r="H720">
        <v>0</v>
      </c>
      <c r="I720">
        <v>1570</v>
      </c>
      <c r="K720" t="s">
        <v>229</v>
      </c>
      <c r="L720">
        <v>7</v>
      </c>
      <c r="M720">
        <v>0</v>
      </c>
      <c r="N720" t="s">
        <v>259</v>
      </c>
      <c r="O720" t="s">
        <v>1359</v>
      </c>
      <c r="P720">
        <v>12</v>
      </c>
      <c r="Q72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2C481245</v>
      </c>
      <c r="R720" t="s">
        <v>644</v>
      </c>
      <c r="S72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721" spans="1:20" x14ac:dyDescent="0.25">
      <c r="A721" t="s">
        <v>1128</v>
      </c>
      <c r="B721">
        <v>202005</v>
      </c>
      <c r="C721" t="s">
        <v>56</v>
      </c>
      <c r="D721" t="s">
        <v>246</v>
      </c>
      <c r="E721">
        <v>0</v>
      </c>
      <c r="F721">
        <v>0</v>
      </c>
      <c r="G721" s="2">
        <v>0.46</v>
      </c>
      <c r="H721">
        <v>0</v>
      </c>
      <c r="K721" t="s">
        <v>229</v>
      </c>
      <c r="L721">
        <v>8</v>
      </c>
      <c r="M721">
        <v>0</v>
      </c>
      <c r="O721" t="s">
        <v>1359</v>
      </c>
      <c r="P721">
        <v>12</v>
      </c>
      <c r="Q72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2C488999</v>
      </c>
      <c r="R721" t="s">
        <v>644</v>
      </c>
      <c r="S72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722" spans="1:20" x14ac:dyDescent="0.25">
      <c r="A722" t="s">
        <v>1155</v>
      </c>
      <c r="B722">
        <v>202005</v>
      </c>
      <c r="C722" t="s">
        <v>141</v>
      </c>
      <c r="D722" t="s">
        <v>262</v>
      </c>
      <c r="E722">
        <v>433.66277000000002</v>
      </c>
      <c r="F722">
        <v>0</v>
      </c>
      <c r="G722" s="2">
        <v>100</v>
      </c>
      <c r="H722">
        <v>0</v>
      </c>
      <c r="I722">
        <v>1570</v>
      </c>
      <c r="K722" t="s">
        <v>229</v>
      </c>
      <c r="L722">
        <v>1</v>
      </c>
      <c r="M722">
        <v>0</v>
      </c>
      <c r="N722" t="s">
        <v>259</v>
      </c>
      <c r="O722" t="s">
        <v>1360</v>
      </c>
      <c r="P722">
        <v>12</v>
      </c>
      <c r="Q72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2C491102</v>
      </c>
      <c r="R722" t="s">
        <v>644</v>
      </c>
      <c r="S72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723" spans="1:20" x14ac:dyDescent="0.25">
      <c r="A723" t="s">
        <v>1155</v>
      </c>
      <c r="B723">
        <v>202005</v>
      </c>
      <c r="C723" t="s">
        <v>129</v>
      </c>
      <c r="D723" t="s">
        <v>267</v>
      </c>
      <c r="E723">
        <v>830.39238</v>
      </c>
      <c r="F723">
        <v>0</v>
      </c>
      <c r="G723" s="2">
        <v>33.020000000000003</v>
      </c>
      <c r="H723">
        <v>0</v>
      </c>
      <c r="I723">
        <v>1570</v>
      </c>
      <c r="K723" t="s">
        <v>229</v>
      </c>
      <c r="L723">
        <v>6</v>
      </c>
      <c r="M723">
        <v>0</v>
      </c>
      <c r="N723" t="s">
        <v>259</v>
      </c>
      <c r="O723" t="s">
        <v>1360</v>
      </c>
      <c r="P723">
        <v>12</v>
      </c>
      <c r="Q72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2C491198</v>
      </c>
      <c r="R723" t="s">
        <v>644</v>
      </c>
      <c r="S72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  <c r="T723" t="s">
        <v>149</v>
      </c>
    </row>
    <row r="724" spans="1:20" x14ac:dyDescent="0.25">
      <c r="A724" t="s">
        <v>1155</v>
      </c>
      <c r="B724">
        <v>202005</v>
      </c>
      <c r="C724" t="s">
        <v>143</v>
      </c>
      <c r="D724" t="s">
        <v>264</v>
      </c>
      <c r="E724">
        <v>210</v>
      </c>
      <c r="F724">
        <v>0</v>
      </c>
      <c r="G724" s="2">
        <v>6.46</v>
      </c>
      <c r="H724">
        <v>0</v>
      </c>
      <c r="I724">
        <v>1570</v>
      </c>
      <c r="K724" t="s">
        <v>229</v>
      </c>
      <c r="L724">
        <v>7</v>
      </c>
      <c r="M724">
        <v>0</v>
      </c>
      <c r="N724" t="s">
        <v>259</v>
      </c>
      <c r="O724" t="s">
        <v>1360</v>
      </c>
      <c r="P724">
        <v>12</v>
      </c>
      <c r="Q72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2C491195</v>
      </c>
      <c r="R724" t="s">
        <v>644</v>
      </c>
      <c r="S72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725" spans="1:20" x14ac:dyDescent="0.25">
      <c r="A725" t="s">
        <v>1155</v>
      </c>
      <c r="B725">
        <v>202005</v>
      </c>
      <c r="C725" t="s">
        <v>142</v>
      </c>
      <c r="D725" t="s">
        <v>263</v>
      </c>
      <c r="E725">
        <v>330</v>
      </c>
      <c r="F725">
        <v>0</v>
      </c>
      <c r="G725" s="2">
        <v>6.15</v>
      </c>
      <c r="H725">
        <v>0</v>
      </c>
      <c r="I725">
        <v>1570</v>
      </c>
      <c r="K725" t="s">
        <v>229</v>
      </c>
      <c r="L725">
        <v>7</v>
      </c>
      <c r="M725">
        <v>0</v>
      </c>
      <c r="N725" t="s">
        <v>259</v>
      </c>
      <c r="O725" t="s">
        <v>1360</v>
      </c>
      <c r="P725">
        <v>12</v>
      </c>
      <c r="Q72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2C491194</v>
      </c>
      <c r="R725" t="s">
        <v>644</v>
      </c>
      <c r="S72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726" spans="1:20" x14ac:dyDescent="0.25">
      <c r="A726" t="s">
        <v>1155</v>
      </c>
      <c r="B726">
        <v>202005</v>
      </c>
      <c r="C726" t="s">
        <v>149</v>
      </c>
      <c r="D726" t="s">
        <v>206</v>
      </c>
      <c r="E726">
        <v>323.2</v>
      </c>
      <c r="F726">
        <v>0</v>
      </c>
      <c r="G726" s="2">
        <v>36.619999999999997</v>
      </c>
      <c r="H726">
        <v>0</v>
      </c>
      <c r="I726">
        <v>1570</v>
      </c>
      <c r="K726" t="s">
        <v>229</v>
      </c>
      <c r="L726">
        <v>7</v>
      </c>
      <c r="M726">
        <v>0</v>
      </c>
      <c r="N726" t="s">
        <v>259</v>
      </c>
      <c r="O726" t="s">
        <v>1360</v>
      </c>
      <c r="P726">
        <v>12</v>
      </c>
      <c r="Q72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2C491221</v>
      </c>
      <c r="R726" t="s">
        <v>644</v>
      </c>
      <c r="S72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727" spans="1:20" x14ac:dyDescent="0.25">
      <c r="A727" t="s">
        <v>1155</v>
      </c>
      <c r="B727">
        <v>202005</v>
      </c>
      <c r="C727" t="s">
        <v>3</v>
      </c>
      <c r="D727" t="s">
        <v>58</v>
      </c>
      <c r="E727">
        <v>275</v>
      </c>
      <c r="F727">
        <v>0</v>
      </c>
      <c r="G727" s="2">
        <v>3.04</v>
      </c>
      <c r="H727">
        <v>0</v>
      </c>
      <c r="I727">
        <v>1570</v>
      </c>
      <c r="K727" t="s">
        <v>229</v>
      </c>
      <c r="L727">
        <v>7</v>
      </c>
      <c r="M727">
        <v>0</v>
      </c>
      <c r="N727" t="s">
        <v>259</v>
      </c>
      <c r="O727" t="s">
        <v>1360</v>
      </c>
      <c r="P727">
        <v>12</v>
      </c>
      <c r="Q72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2C491229</v>
      </c>
      <c r="R727" t="s">
        <v>644</v>
      </c>
      <c r="S72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728" spans="1:20" x14ac:dyDescent="0.25">
      <c r="A728" t="s">
        <v>1155</v>
      </c>
      <c r="B728">
        <v>202005</v>
      </c>
      <c r="C728" t="s">
        <v>4</v>
      </c>
      <c r="D728" t="s">
        <v>265</v>
      </c>
      <c r="E728">
        <v>115</v>
      </c>
      <c r="F728">
        <v>0</v>
      </c>
      <c r="G728" s="2">
        <v>4.55</v>
      </c>
      <c r="H728">
        <v>0</v>
      </c>
      <c r="I728">
        <v>1570</v>
      </c>
      <c r="K728" t="s">
        <v>229</v>
      </c>
      <c r="L728">
        <v>7</v>
      </c>
      <c r="M728">
        <v>0</v>
      </c>
      <c r="N728" t="s">
        <v>259</v>
      </c>
      <c r="O728" t="s">
        <v>1360</v>
      </c>
      <c r="P728">
        <v>12</v>
      </c>
      <c r="Q72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2C491230</v>
      </c>
      <c r="R728" t="s">
        <v>644</v>
      </c>
      <c r="S72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729" spans="1:20" x14ac:dyDescent="0.25">
      <c r="A729" t="s">
        <v>1155</v>
      </c>
      <c r="B729">
        <v>202005</v>
      </c>
      <c r="C729" t="s">
        <v>6</v>
      </c>
      <c r="D729" t="s">
        <v>60</v>
      </c>
      <c r="E729">
        <v>50</v>
      </c>
      <c r="F729">
        <v>0</v>
      </c>
      <c r="G729" s="2">
        <v>2.67</v>
      </c>
      <c r="H729">
        <v>0</v>
      </c>
      <c r="I729">
        <v>1570</v>
      </c>
      <c r="K729" t="s">
        <v>229</v>
      </c>
      <c r="L729">
        <v>7</v>
      </c>
      <c r="M729">
        <v>0</v>
      </c>
      <c r="N729" t="s">
        <v>259</v>
      </c>
      <c r="O729" t="s">
        <v>1360</v>
      </c>
      <c r="P729">
        <v>12</v>
      </c>
      <c r="Q72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2C491245</v>
      </c>
      <c r="R729" t="s">
        <v>644</v>
      </c>
      <c r="S72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730" spans="1:20" x14ac:dyDescent="0.25">
      <c r="A730" t="s">
        <v>1155</v>
      </c>
      <c r="B730">
        <v>202005</v>
      </c>
      <c r="C730" t="s">
        <v>260</v>
      </c>
      <c r="D730" t="s">
        <v>261</v>
      </c>
      <c r="E730">
        <v>50</v>
      </c>
      <c r="F730">
        <v>0</v>
      </c>
      <c r="G730" s="2">
        <v>7.25</v>
      </c>
      <c r="H730">
        <v>0</v>
      </c>
      <c r="I730">
        <v>1570</v>
      </c>
      <c r="K730" t="s">
        <v>229</v>
      </c>
      <c r="L730">
        <v>7</v>
      </c>
      <c r="M730">
        <v>0</v>
      </c>
      <c r="N730" t="s">
        <v>259</v>
      </c>
      <c r="O730" t="s">
        <v>1360</v>
      </c>
      <c r="P730">
        <v>12</v>
      </c>
      <c r="Q73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2C491334</v>
      </c>
      <c r="R730" t="s">
        <v>644</v>
      </c>
      <c r="S73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731" spans="1:20" x14ac:dyDescent="0.25">
      <c r="A731" t="s">
        <v>1155</v>
      </c>
      <c r="B731">
        <v>202005</v>
      </c>
      <c r="C731" t="s">
        <v>56</v>
      </c>
      <c r="D731" t="s">
        <v>246</v>
      </c>
      <c r="E731">
        <v>0</v>
      </c>
      <c r="F731">
        <v>0</v>
      </c>
      <c r="G731" s="2">
        <v>7.0000000000000007E-2</v>
      </c>
      <c r="H731">
        <v>0</v>
      </c>
      <c r="K731" t="s">
        <v>229</v>
      </c>
      <c r="L731">
        <v>8</v>
      </c>
      <c r="M731">
        <v>0</v>
      </c>
      <c r="O731" t="s">
        <v>1360</v>
      </c>
      <c r="P731">
        <v>12</v>
      </c>
      <c r="Q73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2C498999</v>
      </c>
      <c r="R731" t="s">
        <v>644</v>
      </c>
      <c r="S73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732" spans="1:20" x14ac:dyDescent="0.25">
      <c r="A732" t="s">
        <v>1361</v>
      </c>
      <c r="B732">
        <v>202005</v>
      </c>
      <c r="C732" t="s">
        <v>141</v>
      </c>
      <c r="D732" t="s">
        <v>262</v>
      </c>
      <c r="E732">
        <v>433.66277000000002</v>
      </c>
      <c r="F732">
        <v>0</v>
      </c>
      <c r="G732" s="2">
        <v>100</v>
      </c>
      <c r="H732">
        <v>0</v>
      </c>
      <c r="I732">
        <v>1570</v>
      </c>
      <c r="K732" t="s">
        <v>229</v>
      </c>
      <c r="L732">
        <v>1</v>
      </c>
      <c r="M732">
        <v>0</v>
      </c>
      <c r="N732" t="s">
        <v>259</v>
      </c>
      <c r="O732" t="s">
        <v>1362</v>
      </c>
      <c r="P732">
        <v>12</v>
      </c>
      <c r="Q73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2C531102</v>
      </c>
      <c r="R732" t="s">
        <v>229</v>
      </c>
      <c r="S73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33" spans="1:20" x14ac:dyDescent="0.25">
      <c r="A733" t="s">
        <v>1361</v>
      </c>
      <c r="B733">
        <v>202005</v>
      </c>
      <c r="C733" t="s">
        <v>1363</v>
      </c>
      <c r="D733" t="s">
        <v>1364</v>
      </c>
      <c r="E733">
        <v>432.07</v>
      </c>
      <c r="F733">
        <v>0</v>
      </c>
      <c r="G733" s="2">
        <v>58.7</v>
      </c>
      <c r="H733">
        <v>0</v>
      </c>
      <c r="K733" t="s">
        <v>229</v>
      </c>
      <c r="L733">
        <v>6</v>
      </c>
      <c r="M733">
        <v>0</v>
      </c>
      <c r="N733" t="s">
        <v>259</v>
      </c>
      <c r="O733" t="s">
        <v>1362</v>
      </c>
      <c r="P733">
        <v>12</v>
      </c>
      <c r="Q73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2C531201</v>
      </c>
      <c r="R733" t="s">
        <v>229</v>
      </c>
      <c r="S73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34" spans="1:20" x14ac:dyDescent="0.25">
      <c r="A734" t="s">
        <v>1361</v>
      </c>
      <c r="B734">
        <v>202005</v>
      </c>
      <c r="C734" t="s">
        <v>142</v>
      </c>
      <c r="D734" t="s">
        <v>263</v>
      </c>
      <c r="E734">
        <v>330</v>
      </c>
      <c r="F734">
        <v>0</v>
      </c>
      <c r="G734" s="2">
        <v>11.7</v>
      </c>
      <c r="H734">
        <v>0</v>
      </c>
      <c r="K734" t="s">
        <v>229</v>
      </c>
      <c r="L734">
        <v>7</v>
      </c>
      <c r="M734">
        <v>0</v>
      </c>
      <c r="N734" t="s">
        <v>259</v>
      </c>
      <c r="O734" t="s">
        <v>1362</v>
      </c>
      <c r="P734">
        <v>12</v>
      </c>
      <c r="Q73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2C531194</v>
      </c>
      <c r="R734" t="s">
        <v>229</v>
      </c>
      <c r="S73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35" spans="1:20" x14ac:dyDescent="0.25">
      <c r="A735" t="s">
        <v>1361</v>
      </c>
      <c r="B735">
        <v>202005</v>
      </c>
      <c r="C735" t="s">
        <v>4</v>
      </c>
      <c r="D735" t="s">
        <v>265</v>
      </c>
      <c r="E735">
        <v>115</v>
      </c>
      <c r="F735">
        <v>0</v>
      </c>
      <c r="G735" s="2">
        <v>17.600000000000001</v>
      </c>
      <c r="H735">
        <v>0</v>
      </c>
      <c r="K735" t="s">
        <v>229</v>
      </c>
      <c r="L735">
        <v>7</v>
      </c>
      <c r="M735">
        <v>0</v>
      </c>
      <c r="N735" t="s">
        <v>259</v>
      </c>
      <c r="O735" t="s">
        <v>1362</v>
      </c>
      <c r="P735">
        <v>12</v>
      </c>
      <c r="Q73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2C531230</v>
      </c>
      <c r="R735" t="s">
        <v>229</v>
      </c>
      <c r="S73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36" spans="1:20" x14ac:dyDescent="0.25">
      <c r="A736" t="s">
        <v>1361</v>
      </c>
      <c r="B736">
        <v>202005</v>
      </c>
      <c r="C736" t="s">
        <v>5</v>
      </c>
      <c r="D736" t="s">
        <v>59</v>
      </c>
      <c r="E736">
        <v>8.56</v>
      </c>
      <c r="F736">
        <v>0</v>
      </c>
      <c r="G736" s="2">
        <v>12.1</v>
      </c>
      <c r="H736">
        <v>0</v>
      </c>
      <c r="I736">
        <v>1570</v>
      </c>
      <c r="K736" t="s">
        <v>229</v>
      </c>
      <c r="L736">
        <v>7</v>
      </c>
      <c r="M736">
        <v>0</v>
      </c>
      <c r="N736" t="s">
        <v>259</v>
      </c>
      <c r="O736" t="s">
        <v>1362</v>
      </c>
      <c r="P736">
        <v>12</v>
      </c>
      <c r="Q73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2C531231</v>
      </c>
      <c r="R736" t="s">
        <v>229</v>
      </c>
      <c r="S73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37" spans="1:19" x14ac:dyDescent="0.25">
      <c r="A737" t="s">
        <v>1361</v>
      </c>
      <c r="B737">
        <v>202005</v>
      </c>
      <c r="C737" t="s">
        <v>56</v>
      </c>
      <c r="D737" t="s">
        <v>246</v>
      </c>
      <c r="E737">
        <v>0</v>
      </c>
      <c r="F737">
        <v>0</v>
      </c>
      <c r="G737" s="2">
        <v>0.9</v>
      </c>
      <c r="H737">
        <v>0</v>
      </c>
      <c r="K737" t="s">
        <v>229</v>
      </c>
      <c r="L737">
        <v>8</v>
      </c>
      <c r="M737">
        <v>0</v>
      </c>
      <c r="O737" t="s">
        <v>1362</v>
      </c>
      <c r="P737">
        <v>12</v>
      </c>
      <c r="Q73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2C538999</v>
      </c>
      <c r="R737" t="s">
        <v>229</v>
      </c>
      <c r="S73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38" spans="1:19" x14ac:dyDescent="0.25">
      <c r="A738" t="s">
        <v>1365</v>
      </c>
      <c r="B738">
        <v>202005</v>
      </c>
      <c r="C738" t="s">
        <v>1366</v>
      </c>
      <c r="D738" t="s">
        <v>1367</v>
      </c>
      <c r="E738">
        <v>231.86</v>
      </c>
      <c r="F738">
        <v>0</v>
      </c>
      <c r="G738" s="2">
        <v>100</v>
      </c>
      <c r="H738">
        <v>0</v>
      </c>
      <c r="I738">
        <v>1570</v>
      </c>
      <c r="K738" t="s">
        <v>229</v>
      </c>
      <c r="L738">
        <v>1</v>
      </c>
      <c r="M738">
        <v>0</v>
      </c>
      <c r="N738" t="s">
        <v>259</v>
      </c>
      <c r="O738" t="s">
        <v>1368</v>
      </c>
      <c r="P738">
        <v>12</v>
      </c>
      <c r="Q73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2C541102N</v>
      </c>
      <c r="R738" t="s">
        <v>229</v>
      </c>
      <c r="S73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39" spans="1:19" x14ac:dyDescent="0.25">
      <c r="A739" t="s">
        <v>1365</v>
      </c>
      <c r="B739">
        <v>202005</v>
      </c>
      <c r="C739" t="s">
        <v>1369</v>
      </c>
      <c r="D739" t="s">
        <v>1370</v>
      </c>
      <c r="E739">
        <v>196.4</v>
      </c>
      <c r="F739">
        <v>0</v>
      </c>
      <c r="G739" s="2">
        <v>32.119999999999997</v>
      </c>
      <c r="H739">
        <v>0</v>
      </c>
      <c r="K739" t="s">
        <v>229</v>
      </c>
      <c r="L739">
        <v>6</v>
      </c>
      <c r="M739">
        <v>0</v>
      </c>
      <c r="N739" t="s">
        <v>259</v>
      </c>
      <c r="O739" t="s">
        <v>1368</v>
      </c>
      <c r="P739">
        <v>12</v>
      </c>
      <c r="Q73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2C541198N</v>
      </c>
      <c r="R739" t="s">
        <v>229</v>
      </c>
      <c r="S73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40" spans="1:19" x14ac:dyDescent="0.25">
      <c r="A740" t="s">
        <v>1365</v>
      </c>
      <c r="B740">
        <v>202005</v>
      </c>
      <c r="C740" t="s">
        <v>1371</v>
      </c>
      <c r="D740" t="s">
        <v>1372</v>
      </c>
      <c r="E740">
        <v>323.2</v>
      </c>
      <c r="F740">
        <v>0</v>
      </c>
      <c r="G740" s="2">
        <v>45.81</v>
      </c>
      <c r="H740">
        <v>0</v>
      </c>
      <c r="K740" t="s">
        <v>229</v>
      </c>
      <c r="L740">
        <v>7</v>
      </c>
      <c r="M740">
        <v>0</v>
      </c>
      <c r="N740" t="s">
        <v>259</v>
      </c>
      <c r="O740" t="s">
        <v>1368</v>
      </c>
      <c r="P740">
        <v>12</v>
      </c>
      <c r="Q74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2C541222N</v>
      </c>
      <c r="R740" t="s">
        <v>229</v>
      </c>
      <c r="S74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41" spans="1:19" x14ac:dyDescent="0.25">
      <c r="A741" t="s">
        <v>1365</v>
      </c>
      <c r="B741">
        <v>202005</v>
      </c>
      <c r="C741" t="s">
        <v>3</v>
      </c>
      <c r="D741" t="s">
        <v>58</v>
      </c>
      <c r="E741">
        <v>275</v>
      </c>
      <c r="F741">
        <v>0</v>
      </c>
      <c r="G741" s="2">
        <v>5.0999999999999996</v>
      </c>
      <c r="H741">
        <v>0</v>
      </c>
      <c r="K741" t="s">
        <v>229</v>
      </c>
      <c r="L741">
        <v>7</v>
      </c>
      <c r="M741">
        <v>0</v>
      </c>
      <c r="N741" t="s">
        <v>259</v>
      </c>
      <c r="O741" t="s">
        <v>1368</v>
      </c>
      <c r="P741">
        <v>12</v>
      </c>
      <c r="Q74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2C541229</v>
      </c>
      <c r="R741" t="s">
        <v>229</v>
      </c>
      <c r="S74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42" spans="1:19" x14ac:dyDescent="0.25">
      <c r="A742" t="s">
        <v>1365</v>
      </c>
      <c r="B742">
        <v>202005</v>
      </c>
      <c r="C742" t="s">
        <v>5</v>
      </c>
      <c r="D742" t="s">
        <v>59</v>
      </c>
      <c r="E742">
        <v>8.56</v>
      </c>
      <c r="F742">
        <v>0</v>
      </c>
      <c r="G742" s="2">
        <v>8.41</v>
      </c>
      <c r="H742">
        <v>0</v>
      </c>
      <c r="K742" t="s">
        <v>229</v>
      </c>
      <c r="L742">
        <v>7</v>
      </c>
      <c r="M742">
        <v>0</v>
      </c>
      <c r="N742" t="s">
        <v>259</v>
      </c>
      <c r="O742" t="s">
        <v>1368</v>
      </c>
      <c r="P742">
        <v>12</v>
      </c>
      <c r="Q74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2C541231</v>
      </c>
      <c r="R742" t="s">
        <v>229</v>
      </c>
      <c r="S74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43" spans="1:19" x14ac:dyDescent="0.25">
      <c r="A743" t="s">
        <v>1365</v>
      </c>
      <c r="B743">
        <v>202005</v>
      </c>
      <c r="C743" t="s">
        <v>6</v>
      </c>
      <c r="D743" t="s">
        <v>60</v>
      </c>
      <c r="E743">
        <v>50</v>
      </c>
      <c r="F743">
        <v>0</v>
      </c>
      <c r="G743" s="2">
        <v>4.45</v>
      </c>
      <c r="H743">
        <v>0</v>
      </c>
      <c r="K743" t="s">
        <v>229</v>
      </c>
      <c r="L743">
        <v>7</v>
      </c>
      <c r="M743">
        <v>0</v>
      </c>
      <c r="N743" t="s">
        <v>259</v>
      </c>
      <c r="O743" t="s">
        <v>1368</v>
      </c>
      <c r="P743">
        <v>12</v>
      </c>
      <c r="Q74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2C541245</v>
      </c>
      <c r="R743" t="s">
        <v>229</v>
      </c>
      <c r="S74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44" spans="1:19" x14ac:dyDescent="0.25">
      <c r="A744" t="s">
        <v>1365</v>
      </c>
      <c r="B744">
        <v>202005</v>
      </c>
      <c r="C744" t="s">
        <v>312</v>
      </c>
      <c r="D744" t="s">
        <v>332</v>
      </c>
      <c r="E744">
        <v>100</v>
      </c>
      <c r="F744">
        <v>0</v>
      </c>
      <c r="G744" s="2">
        <v>4.1100000000000003</v>
      </c>
      <c r="H744">
        <v>0</v>
      </c>
      <c r="I744">
        <v>1570</v>
      </c>
      <c r="K744" t="s">
        <v>229</v>
      </c>
      <c r="L744">
        <v>7</v>
      </c>
      <c r="M744">
        <v>0</v>
      </c>
      <c r="N744" t="s">
        <v>259</v>
      </c>
      <c r="O744" t="s">
        <v>1368</v>
      </c>
      <c r="P744">
        <v>12</v>
      </c>
      <c r="Q74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2C541249</v>
      </c>
      <c r="R744" t="s">
        <v>229</v>
      </c>
      <c r="S74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45" spans="1:19" x14ac:dyDescent="0.25">
      <c r="A745" t="s">
        <v>1365</v>
      </c>
      <c r="B745">
        <v>202005</v>
      </c>
      <c r="C745" t="s">
        <v>56</v>
      </c>
      <c r="D745" t="s">
        <v>246</v>
      </c>
      <c r="E745">
        <v>0</v>
      </c>
      <c r="F745">
        <v>0</v>
      </c>
      <c r="G745" s="2">
        <v>0</v>
      </c>
      <c r="H745">
        <v>0</v>
      </c>
      <c r="I745">
        <v>1570</v>
      </c>
      <c r="K745" t="s">
        <v>229</v>
      </c>
      <c r="L745">
        <v>8</v>
      </c>
      <c r="M745">
        <v>0</v>
      </c>
      <c r="N745" t="s">
        <v>259</v>
      </c>
      <c r="O745" t="s">
        <v>1368</v>
      </c>
      <c r="P745">
        <v>12</v>
      </c>
      <c r="Q74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2C548999</v>
      </c>
      <c r="R745" t="s">
        <v>229</v>
      </c>
      <c r="S74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46" spans="1:19" x14ac:dyDescent="0.25">
      <c r="A746" t="s">
        <v>1373</v>
      </c>
      <c r="B746">
        <v>202005</v>
      </c>
      <c r="C746" t="s">
        <v>141</v>
      </c>
      <c r="D746" t="s">
        <v>262</v>
      </c>
      <c r="E746">
        <v>433.66277000000002</v>
      </c>
      <c r="F746">
        <v>0</v>
      </c>
      <c r="G746" s="2">
        <v>100</v>
      </c>
      <c r="H746">
        <v>0</v>
      </c>
      <c r="I746">
        <v>1570</v>
      </c>
      <c r="K746" t="s">
        <v>229</v>
      </c>
      <c r="L746">
        <v>1</v>
      </c>
      <c r="M746">
        <v>0</v>
      </c>
      <c r="N746" t="s">
        <v>259</v>
      </c>
      <c r="O746" t="s">
        <v>1374</v>
      </c>
      <c r="P746">
        <v>12</v>
      </c>
      <c r="Q74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2C551102</v>
      </c>
      <c r="R746" t="s">
        <v>229</v>
      </c>
      <c r="S74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47" spans="1:19" x14ac:dyDescent="0.25">
      <c r="A747" t="s">
        <v>1373</v>
      </c>
      <c r="B747">
        <v>202005</v>
      </c>
      <c r="C747" t="s">
        <v>114</v>
      </c>
      <c r="D747" t="s">
        <v>276</v>
      </c>
      <c r="E747" s="1020">
        <v>1053.69</v>
      </c>
      <c r="F747">
        <v>0</v>
      </c>
      <c r="G747" s="2">
        <v>26.17</v>
      </c>
      <c r="H747">
        <v>0</v>
      </c>
      <c r="K747" t="s">
        <v>229</v>
      </c>
      <c r="L747">
        <v>6</v>
      </c>
      <c r="M747">
        <v>0</v>
      </c>
      <c r="N747" t="s">
        <v>259</v>
      </c>
      <c r="O747" t="s">
        <v>1374</v>
      </c>
      <c r="P747">
        <v>12</v>
      </c>
      <c r="Q74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2C551191</v>
      </c>
      <c r="R747" t="s">
        <v>229</v>
      </c>
      <c r="S74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48" spans="1:19" x14ac:dyDescent="0.25">
      <c r="A748" t="s">
        <v>1373</v>
      </c>
      <c r="B748">
        <v>202005</v>
      </c>
      <c r="C748" t="s">
        <v>142</v>
      </c>
      <c r="D748" t="s">
        <v>263</v>
      </c>
      <c r="E748">
        <v>330</v>
      </c>
      <c r="F748">
        <v>0</v>
      </c>
      <c r="G748" s="2">
        <v>9.4700000000000006</v>
      </c>
      <c r="H748">
        <v>0</v>
      </c>
      <c r="K748" t="s">
        <v>229</v>
      </c>
      <c r="L748">
        <v>7</v>
      </c>
      <c r="M748">
        <v>0</v>
      </c>
      <c r="N748" t="s">
        <v>259</v>
      </c>
      <c r="O748" t="s">
        <v>1374</v>
      </c>
      <c r="P748">
        <v>12</v>
      </c>
      <c r="Q74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2C551194</v>
      </c>
      <c r="R748" t="s">
        <v>229</v>
      </c>
      <c r="S74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49" spans="1:19" x14ac:dyDescent="0.25">
      <c r="A749" t="s">
        <v>1373</v>
      </c>
      <c r="B749">
        <v>202005</v>
      </c>
      <c r="C749" t="s">
        <v>143</v>
      </c>
      <c r="D749" t="s">
        <v>264</v>
      </c>
      <c r="E749">
        <v>210</v>
      </c>
      <c r="F749">
        <v>0</v>
      </c>
      <c r="G749" s="2">
        <v>4.84</v>
      </c>
      <c r="H749">
        <v>0</v>
      </c>
      <c r="K749" t="s">
        <v>229</v>
      </c>
      <c r="L749">
        <v>7</v>
      </c>
      <c r="M749">
        <v>0</v>
      </c>
      <c r="N749" t="s">
        <v>259</v>
      </c>
      <c r="O749" t="s">
        <v>1374</v>
      </c>
      <c r="P749">
        <v>12</v>
      </c>
      <c r="Q74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2C551195</v>
      </c>
      <c r="R749" t="s">
        <v>229</v>
      </c>
      <c r="S74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50" spans="1:19" x14ac:dyDescent="0.25">
      <c r="A750" t="s">
        <v>1373</v>
      </c>
      <c r="B750">
        <v>202005</v>
      </c>
      <c r="C750" t="s">
        <v>3</v>
      </c>
      <c r="D750" t="s">
        <v>58</v>
      </c>
      <c r="E750">
        <v>275</v>
      </c>
      <c r="F750">
        <v>0</v>
      </c>
      <c r="G750" s="2">
        <v>1.2</v>
      </c>
      <c r="H750">
        <v>0</v>
      </c>
      <c r="K750" t="s">
        <v>229</v>
      </c>
      <c r="L750">
        <v>7</v>
      </c>
      <c r="M750">
        <v>0</v>
      </c>
      <c r="N750" t="s">
        <v>259</v>
      </c>
      <c r="O750" t="s">
        <v>1374</v>
      </c>
      <c r="P750">
        <v>12</v>
      </c>
      <c r="Q75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2C551229</v>
      </c>
      <c r="R750" t="s">
        <v>229</v>
      </c>
      <c r="S75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51" spans="1:19" x14ac:dyDescent="0.25">
      <c r="A751" t="s">
        <v>1373</v>
      </c>
      <c r="B751">
        <v>202005</v>
      </c>
      <c r="C751" t="s">
        <v>4</v>
      </c>
      <c r="D751" t="s">
        <v>265</v>
      </c>
      <c r="E751">
        <v>115</v>
      </c>
      <c r="F751">
        <v>0</v>
      </c>
      <c r="G751" s="2">
        <v>30.1</v>
      </c>
      <c r="H751">
        <v>0</v>
      </c>
      <c r="K751" t="s">
        <v>229</v>
      </c>
      <c r="L751">
        <v>7</v>
      </c>
      <c r="M751">
        <v>0</v>
      </c>
      <c r="N751" t="s">
        <v>259</v>
      </c>
      <c r="O751" t="s">
        <v>1374</v>
      </c>
      <c r="P751">
        <v>12</v>
      </c>
      <c r="Q75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2C551230</v>
      </c>
      <c r="R751" t="s">
        <v>229</v>
      </c>
      <c r="S75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52" spans="1:19" x14ac:dyDescent="0.25">
      <c r="A752" t="s">
        <v>1373</v>
      </c>
      <c r="B752">
        <v>202005</v>
      </c>
      <c r="C752" t="s">
        <v>5</v>
      </c>
      <c r="D752" t="s">
        <v>59</v>
      </c>
      <c r="E752">
        <v>8.56</v>
      </c>
      <c r="F752">
        <v>0</v>
      </c>
      <c r="G752" s="2">
        <v>6.22</v>
      </c>
      <c r="H752">
        <v>0</v>
      </c>
      <c r="K752" t="s">
        <v>229</v>
      </c>
      <c r="L752">
        <v>7</v>
      </c>
      <c r="M752">
        <v>0</v>
      </c>
      <c r="N752" t="s">
        <v>259</v>
      </c>
      <c r="O752" t="s">
        <v>1374</v>
      </c>
      <c r="P752">
        <v>12</v>
      </c>
      <c r="Q75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2C551231</v>
      </c>
      <c r="R752" t="s">
        <v>229</v>
      </c>
      <c r="S75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53" spans="1:20" x14ac:dyDescent="0.25">
      <c r="A753" t="s">
        <v>1373</v>
      </c>
      <c r="B753">
        <v>202005</v>
      </c>
      <c r="C753" t="s">
        <v>6</v>
      </c>
      <c r="D753" t="s">
        <v>60</v>
      </c>
      <c r="E753">
        <v>50</v>
      </c>
      <c r="F753">
        <v>0</v>
      </c>
      <c r="G753" s="2">
        <v>21.55</v>
      </c>
      <c r="H753">
        <v>0</v>
      </c>
      <c r="I753">
        <v>1570</v>
      </c>
      <c r="K753" t="s">
        <v>229</v>
      </c>
      <c r="L753">
        <v>7</v>
      </c>
      <c r="M753">
        <v>0</v>
      </c>
      <c r="N753" t="s">
        <v>259</v>
      </c>
      <c r="O753" t="s">
        <v>1374</v>
      </c>
      <c r="P753">
        <v>12</v>
      </c>
      <c r="Q75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2C551245</v>
      </c>
      <c r="R753" t="s">
        <v>229</v>
      </c>
      <c r="S75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54" spans="1:20" x14ac:dyDescent="0.25">
      <c r="A754" t="s">
        <v>1373</v>
      </c>
      <c r="B754">
        <v>202005</v>
      </c>
      <c r="C754" t="s">
        <v>56</v>
      </c>
      <c r="D754" t="s">
        <v>246</v>
      </c>
      <c r="E754">
        <v>0</v>
      </c>
      <c r="F754">
        <v>0</v>
      </c>
      <c r="G754" s="2">
        <v>0.45</v>
      </c>
      <c r="H754">
        <v>0</v>
      </c>
      <c r="K754" t="s">
        <v>229</v>
      </c>
      <c r="L754">
        <v>8</v>
      </c>
      <c r="M754">
        <v>0</v>
      </c>
      <c r="O754" t="s">
        <v>1374</v>
      </c>
      <c r="P754">
        <v>12</v>
      </c>
      <c r="Q75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2C558999</v>
      </c>
      <c r="R754" t="s">
        <v>229</v>
      </c>
      <c r="S75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55" spans="1:20" x14ac:dyDescent="0.25">
      <c r="A755" t="s">
        <v>564</v>
      </c>
      <c r="B755">
        <v>202005</v>
      </c>
      <c r="C755" t="s">
        <v>141</v>
      </c>
      <c r="D755" t="s">
        <v>262</v>
      </c>
      <c r="E755">
        <v>433.66277000000002</v>
      </c>
      <c r="F755">
        <v>0</v>
      </c>
      <c r="G755" s="2">
        <v>100</v>
      </c>
      <c r="H755">
        <v>0</v>
      </c>
      <c r="I755">
        <v>1570</v>
      </c>
      <c r="K755" t="s">
        <v>229</v>
      </c>
      <c r="L755">
        <v>1</v>
      </c>
      <c r="M755">
        <v>0</v>
      </c>
      <c r="N755" t="s">
        <v>259</v>
      </c>
      <c r="O755" t="s">
        <v>565</v>
      </c>
      <c r="P755">
        <v>12</v>
      </c>
      <c r="Q75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2C561102</v>
      </c>
      <c r="R755" t="s">
        <v>229</v>
      </c>
      <c r="S75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56" spans="1:20" x14ac:dyDescent="0.25">
      <c r="A756" t="s">
        <v>564</v>
      </c>
      <c r="B756">
        <v>202005</v>
      </c>
      <c r="C756" t="s">
        <v>114</v>
      </c>
      <c r="D756" t="s">
        <v>276</v>
      </c>
      <c r="E756" s="1020">
        <v>1053.69</v>
      </c>
      <c r="F756">
        <v>0</v>
      </c>
      <c r="G756" s="2">
        <v>28.89</v>
      </c>
      <c r="H756">
        <v>0</v>
      </c>
      <c r="I756">
        <v>1570</v>
      </c>
      <c r="K756" t="s">
        <v>229</v>
      </c>
      <c r="L756">
        <v>6</v>
      </c>
      <c r="M756">
        <v>0</v>
      </c>
      <c r="N756" t="s">
        <v>259</v>
      </c>
      <c r="O756" t="s">
        <v>565</v>
      </c>
      <c r="P756">
        <v>12</v>
      </c>
      <c r="Q75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2C561191</v>
      </c>
      <c r="R756" t="s">
        <v>229</v>
      </c>
      <c r="S75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  <c r="T756" t="s">
        <v>147</v>
      </c>
    </row>
    <row r="757" spans="1:20" x14ac:dyDescent="0.25">
      <c r="A757" t="s">
        <v>564</v>
      </c>
      <c r="B757">
        <v>202005</v>
      </c>
      <c r="C757" t="s">
        <v>142</v>
      </c>
      <c r="D757" t="s">
        <v>263</v>
      </c>
      <c r="E757">
        <v>330</v>
      </c>
      <c r="F757">
        <v>0</v>
      </c>
      <c r="G757" s="2">
        <v>6</v>
      </c>
      <c r="H757">
        <v>0</v>
      </c>
      <c r="I757">
        <v>1570</v>
      </c>
      <c r="K757" t="s">
        <v>229</v>
      </c>
      <c r="L757">
        <v>7</v>
      </c>
      <c r="M757">
        <v>0</v>
      </c>
      <c r="N757" t="s">
        <v>259</v>
      </c>
      <c r="O757" t="s">
        <v>565</v>
      </c>
      <c r="P757">
        <v>12</v>
      </c>
      <c r="Q75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2C561194</v>
      </c>
      <c r="R757" t="s">
        <v>229</v>
      </c>
      <c r="S75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58" spans="1:20" x14ac:dyDescent="0.25">
      <c r="A758" t="s">
        <v>564</v>
      </c>
      <c r="B758">
        <v>202005</v>
      </c>
      <c r="C758" t="s">
        <v>143</v>
      </c>
      <c r="D758" t="s">
        <v>264</v>
      </c>
      <c r="E758">
        <v>210</v>
      </c>
      <c r="F758">
        <v>0</v>
      </c>
      <c r="G758" s="2">
        <v>4.8600000000000003</v>
      </c>
      <c r="H758">
        <v>0</v>
      </c>
      <c r="I758">
        <v>1570</v>
      </c>
      <c r="K758" t="s">
        <v>229</v>
      </c>
      <c r="L758">
        <v>7</v>
      </c>
      <c r="M758">
        <v>0</v>
      </c>
      <c r="N758" t="s">
        <v>259</v>
      </c>
      <c r="O758" t="s">
        <v>565</v>
      </c>
      <c r="P758">
        <v>12</v>
      </c>
      <c r="Q75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2C561195</v>
      </c>
      <c r="R758" t="s">
        <v>229</v>
      </c>
      <c r="S75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59" spans="1:20" x14ac:dyDescent="0.25">
      <c r="A759" t="s">
        <v>564</v>
      </c>
      <c r="B759">
        <v>202005</v>
      </c>
      <c r="C759" t="s">
        <v>147</v>
      </c>
      <c r="D759" t="s">
        <v>207</v>
      </c>
      <c r="E759">
        <v>323.2</v>
      </c>
      <c r="F759">
        <v>0</v>
      </c>
      <c r="G759" s="2">
        <v>21.04</v>
      </c>
      <c r="H759">
        <v>0</v>
      </c>
      <c r="I759">
        <v>1570</v>
      </c>
      <c r="K759" t="s">
        <v>229</v>
      </c>
      <c r="L759">
        <v>7</v>
      </c>
      <c r="M759">
        <v>0</v>
      </c>
      <c r="N759" t="s">
        <v>259</v>
      </c>
      <c r="O759" t="s">
        <v>565</v>
      </c>
      <c r="P759">
        <v>12</v>
      </c>
      <c r="Q75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2C561222</v>
      </c>
      <c r="R759" t="s">
        <v>229</v>
      </c>
      <c r="S75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60" spans="1:20" x14ac:dyDescent="0.25">
      <c r="A760" t="s">
        <v>564</v>
      </c>
      <c r="B760">
        <v>202005</v>
      </c>
      <c r="C760" t="s">
        <v>3</v>
      </c>
      <c r="D760" t="s">
        <v>58</v>
      </c>
      <c r="E760">
        <v>275</v>
      </c>
      <c r="F760">
        <v>0</v>
      </c>
      <c r="G760" s="2">
        <v>0.77</v>
      </c>
      <c r="H760">
        <v>0</v>
      </c>
      <c r="I760">
        <v>1570</v>
      </c>
      <c r="K760" t="s">
        <v>229</v>
      </c>
      <c r="L760">
        <v>7</v>
      </c>
      <c r="M760">
        <v>0</v>
      </c>
      <c r="N760" t="s">
        <v>259</v>
      </c>
      <c r="O760" t="s">
        <v>565</v>
      </c>
      <c r="P760">
        <v>12</v>
      </c>
      <c r="Q76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2C561229</v>
      </c>
      <c r="R760" t="s">
        <v>229</v>
      </c>
      <c r="S76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61" spans="1:20" x14ac:dyDescent="0.25">
      <c r="A761" t="s">
        <v>564</v>
      </c>
      <c r="B761">
        <v>202005</v>
      </c>
      <c r="C761" t="s">
        <v>4</v>
      </c>
      <c r="D761" t="s">
        <v>265</v>
      </c>
      <c r="E761">
        <v>115</v>
      </c>
      <c r="F761">
        <v>0</v>
      </c>
      <c r="G761" s="2">
        <v>20.010000000000002</v>
      </c>
      <c r="H761">
        <v>0</v>
      </c>
      <c r="I761">
        <v>1570</v>
      </c>
      <c r="K761" t="s">
        <v>229</v>
      </c>
      <c r="L761">
        <v>7</v>
      </c>
      <c r="M761">
        <v>0</v>
      </c>
      <c r="N761" t="s">
        <v>259</v>
      </c>
      <c r="O761" t="s">
        <v>565</v>
      </c>
      <c r="P761">
        <v>12</v>
      </c>
      <c r="Q76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2C561230</v>
      </c>
      <c r="R761" t="s">
        <v>229</v>
      </c>
      <c r="S76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62" spans="1:20" x14ac:dyDescent="0.25">
      <c r="A762" t="s">
        <v>564</v>
      </c>
      <c r="B762">
        <v>202005</v>
      </c>
      <c r="C762" t="s">
        <v>5</v>
      </c>
      <c r="D762" t="s">
        <v>59</v>
      </c>
      <c r="E762">
        <v>8.56</v>
      </c>
      <c r="F762">
        <v>0</v>
      </c>
      <c r="G762" s="2">
        <v>4.16</v>
      </c>
      <c r="H762">
        <v>0</v>
      </c>
      <c r="I762">
        <v>1570</v>
      </c>
      <c r="K762" t="s">
        <v>229</v>
      </c>
      <c r="L762">
        <v>7</v>
      </c>
      <c r="M762">
        <v>0</v>
      </c>
      <c r="N762" t="s">
        <v>259</v>
      </c>
      <c r="O762" t="s">
        <v>565</v>
      </c>
      <c r="P762">
        <v>12</v>
      </c>
      <c r="Q76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2C561231</v>
      </c>
      <c r="R762" t="s">
        <v>229</v>
      </c>
      <c r="S76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63" spans="1:20" x14ac:dyDescent="0.25">
      <c r="A763" t="s">
        <v>564</v>
      </c>
      <c r="B763">
        <v>202005</v>
      </c>
      <c r="C763" t="s">
        <v>6</v>
      </c>
      <c r="D763" t="s">
        <v>60</v>
      </c>
      <c r="E763">
        <v>50</v>
      </c>
      <c r="F763">
        <v>0</v>
      </c>
      <c r="G763" s="2">
        <v>13.67</v>
      </c>
      <c r="H763">
        <v>0</v>
      </c>
      <c r="I763">
        <v>1570</v>
      </c>
      <c r="K763" t="s">
        <v>229</v>
      </c>
      <c r="L763">
        <v>7</v>
      </c>
      <c r="M763">
        <v>0</v>
      </c>
      <c r="N763" t="s">
        <v>259</v>
      </c>
      <c r="O763" t="s">
        <v>565</v>
      </c>
      <c r="P763">
        <v>12</v>
      </c>
      <c r="Q76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2C561245</v>
      </c>
      <c r="R763" t="s">
        <v>229</v>
      </c>
      <c r="S76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64" spans="1:20" x14ac:dyDescent="0.25">
      <c r="A764" t="s">
        <v>564</v>
      </c>
      <c r="B764">
        <v>202005</v>
      </c>
      <c r="C764" t="s">
        <v>56</v>
      </c>
      <c r="D764" t="s">
        <v>246</v>
      </c>
      <c r="E764">
        <v>0</v>
      </c>
      <c r="F764">
        <v>0</v>
      </c>
      <c r="G764" s="2">
        <v>0</v>
      </c>
      <c r="H764">
        <v>0</v>
      </c>
      <c r="K764" t="s">
        <v>229</v>
      </c>
      <c r="L764">
        <v>8</v>
      </c>
      <c r="M764">
        <v>0</v>
      </c>
      <c r="O764" t="s">
        <v>565</v>
      </c>
      <c r="P764">
        <v>12</v>
      </c>
      <c r="Q76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2C568999</v>
      </c>
      <c r="R764" t="s">
        <v>229</v>
      </c>
      <c r="S76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65" spans="1:20" x14ac:dyDescent="0.25">
      <c r="A765" t="s">
        <v>566</v>
      </c>
      <c r="B765">
        <v>202005</v>
      </c>
      <c r="C765" t="s">
        <v>141</v>
      </c>
      <c r="D765" t="s">
        <v>262</v>
      </c>
      <c r="E765">
        <v>433.66277000000002</v>
      </c>
      <c r="F765">
        <v>0</v>
      </c>
      <c r="G765" s="2">
        <v>100</v>
      </c>
      <c r="H765">
        <v>0</v>
      </c>
      <c r="I765">
        <v>1570</v>
      </c>
      <c r="K765" t="s">
        <v>229</v>
      </c>
      <c r="L765">
        <v>1</v>
      </c>
      <c r="M765">
        <v>0</v>
      </c>
      <c r="N765" t="s">
        <v>259</v>
      </c>
      <c r="O765" t="s">
        <v>567</v>
      </c>
      <c r="P765">
        <v>12</v>
      </c>
      <c r="Q76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2C571102</v>
      </c>
      <c r="R765" t="s">
        <v>644</v>
      </c>
      <c r="S76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766" spans="1:20" x14ac:dyDescent="0.25">
      <c r="A766" t="s">
        <v>566</v>
      </c>
      <c r="B766">
        <v>202005</v>
      </c>
      <c r="C766" t="s">
        <v>122</v>
      </c>
      <c r="D766" t="s">
        <v>294</v>
      </c>
      <c r="E766">
        <v>703.05</v>
      </c>
      <c r="F766">
        <v>0</v>
      </c>
      <c r="G766" s="2">
        <v>41.04</v>
      </c>
      <c r="H766">
        <v>0</v>
      </c>
      <c r="I766">
        <v>1570</v>
      </c>
      <c r="K766" t="s">
        <v>229</v>
      </c>
      <c r="L766">
        <v>6</v>
      </c>
      <c r="M766">
        <v>0</v>
      </c>
      <c r="N766" t="s">
        <v>259</v>
      </c>
      <c r="O766" t="s">
        <v>567</v>
      </c>
      <c r="P766">
        <v>12</v>
      </c>
      <c r="Q76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2C571196</v>
      </c>
      <c r="R766" t="s">
        <v>644</v>
      </c>
      <c r="S76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  <c r="T766" t="s">
        <v>147</v>
      </c>
    </row>
    <row r="767" spans="1:20" x14ac:dyDescent="0.25">
      <c r="A767" t="s">
        <v>566</v>
      </c>
      <c r="B767">
        <v>202005</v>
      </c>
      <c r="C767" t="s">
        <v>147</v>
      </c>
      <c r="D767" t="s">
        <v>207</v>
      </c>
      <c r="E767">
        <v>323.2</v>
      </c>
      <c r="F767">
        <v>0</v>
      </c>
      <c r="G767" s="2">
        <v>33.42</v>
      </c>
      <c r="H767">
        <v>0</v>
      </c>
      <c r="I767">
        <v>1570</v>
      </c>
      <c r="K767" t="s">
        <v>229</v>
      </c>
      <c r="L767">
        <v>7</v>
      </c>
      <c r="M767">
        <v>0</v>
      </c>
      <c r="N767" t="s">
        <v>259</v>
      </c>
      <c r="O767" t="s">
        <v>567</v>
      </c>
      <c r="P767">
        <v>12</v>
      </c>
      <c r="Q76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2C571222</v>
      </c>
      <c r="R767" t="s">
        <v>644</v>
      </c>
      <c r="S76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768" spans="1:20" x14ac:dyDescent="0.25">
      <c r="A768" t="s">
        <v>566</v>
      </c>
      <c r="B768">
        <v>202005</v>
      </c>
      <c r="C768" t="s">
        <v>142</v>
      </c>
      <c r="D768" t="s">
        <v>263</v>
      </c>
      <c r="E768">
        <v>330</v>
      </c>
      <c r="F768">
        <v>0</v>
      </c>
      <c r="G768" s="2">
        <v>9.49</v>
      </c>
      <c r="H768">
        <v>0</v>
      </c>
      <c r="I768">
        <v>1570</v>
      </c>
      <c r="K768" t="s">
        <v>229</v>
      </c>
      <c r="L768">
        <v>7</v>
      </c>
      <c r="M768">
        <v>0</v>
      </c>
      <c r="N768" t="s">
        <v>259</v>
      </c>
      <c r="O768" t="s">
        <v>567</v>
      </c>
      <c r="P768">
        <v>12</v>
      </c>
      <c r="Q76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2C571194</v>
      </c>
      <c r="R768" t="s">
        <v>644</v>
      </c>
      <c r="S76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769" spans="1:19" x14ac:dyDescent="0.25">
      <c r="A769" t="s">
        <v>566</v>
      </c>
      <c r="B769">
        <v>202005</v>
      </c>
      <c r="C769" t="s">
        <v>3</v>
      </c>
      <c r="D769" t="s">
        <v>58</v>
      </c>
      <c r="E769">
        <v>275</v>
      </c>
      <c r="F769">
        <v>0</v>
      </c>
      <c r="G769" s="2">
        <v>1.03</v>
      </c>
      <c r="H769">
        <v>0</v>
      </c>
      <c r="I769">
        <v>1570</v>
      </c>
      <c r="K769" t="s">
        <v>229</v>
      </c>
      <c r="L769">
        <v>7</v>
      </c>
      <c r="M769">
        <v>0</v>
      </c>
      <c r="N769" t="s">
        <v>259</v>
      </c>
      <c r="O769" t="s">
        <v>567</v>
      </c>
      <c r="P769">
        <v>12</v>
      </c>
      <c r="Q76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2C571229</v>
      </c>
      <c r="R769" t="s">
        <v>644</v>
      </c>
      <c r="S76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770" spans="1:19" x14ac:dyDescent="0.25">
      <c r="A770" t="s">
        <v>566</v>
      </c>
      <c r="B770">
        <v>202005</v>
      </c>
      <c r="C770" t="s">
        <v>4</v>
      </c>
      <c r="D770" t="s">
        <v>265</v>
      </c>
      <c r="E770">
        <v>115</v>
      </c>
      <c r="F770">
        <v>0</v>
      </c>
      <c r="G770" s="2">
        <v>5.82</v>
      </c>
      <c r="H770">
        <v>0</v>
      </c>
      <c r="I770">
        <v>1570</v>
      </c>
      <c r="K770" t="s">
        <v>229</v>
      </c>
      <c r="L770">
        <v>7</v>
      </c>
      <c r="M770">
        <v>0</v>
      </c>
      <c r="N770" t="s">
        <v>259</v>
      </c>
      <c r="O770" t="s">
        <v>567</v>
      </c>
      <c r="P770">
        <v>12</v>
      </c>
      <c r="Q77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2C571230</v>
      </c>
      <c r="R770" t="s">
        <v>644</v>
      </c>
      <c r="S77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771" spans="1:19" x14ac:dyDescent="0.25">
      <c r="A771" t="s">
        <v>566</v>
      </c>
      <c r="B771">
        <v>202005</v>
      </c>
      <c r="C771" t="s">
        <v>6</v>
      </c>
      <c r="D771" t="s">
        <v>60</v>
      </c>
      <c r="E771">
        <v>50</v>
      </c>
      <c r="F771">
        <v>0</v>
      </c>
      <c r="G771" s="2">
        <v>1.38</v>
      </c>
      <c r="H771">
        <v>0</v>
      </c>
      <c r="I771">
        <v>1570</v>
      </c>
      <c r="K771" t="s">
        <v>229</v>
      </c>
      <c r="L771">
        <v>7</v>
      </c>
      <c r="M771">
        <v>0</v>
      </c>
      <c r="N771" t="s">
        <v>259</v>
      </c>
      <c r="O771" t="s">
        <v>567</v>
      </c>
      <c r="P771">
        <v>12</v>
      </c>
      <c r="Q77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2C571245</v>
      </c>
      <c r="R771" t="s">
        <v>644</v>
      </c>
      <c r="S77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772" spans="1:19" x14ac:dyDescent="0.25">
      <c r="A772" t="s">
        <v>566</v>
      </c>
      <c r="B772">
        <v>202005</v>
      </c>
      <c r="C772" t="s">
        <v>260</v>
      </c>
      <c r="D772" t="s">
        <v>261</v>
      </c>
      <c r="E772">
        <v>50</v>
      </c>
      <c r="F772">
        <v>0</v>
      </c>
      <c r="G772" s="2">
        <v>7.72</v>
      </c>
      <c r="H772">
        <v>0</v>
      </c>
      <c r="I772">
        <v>1570</v>
      </c>
      <c r="K772" t="s">
        <v>229</v>
      </c>
      <c r="L772">
        <v>7</v>
      </c>
      <c r="M772">
        <v>0</v>
      </c>
      <c r="N772" t="s">
        <v>259</v>
      </c>
      <c r="O772" t="s">
        <v>567</v>
      </c>
      <c r="P772">
        <v>12</v>
      </c>
      <c r="Q77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2C571334</v>
      </c>
      <c r="R772" t="s">
        <v>644</v>
      </c>
      <c r="S77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773" spans="1:19" x14ac:dyDescent="0.25">
      <c r="A773" t="s">
        <v>566</v>
      </c>
      <c r="B773">
        <v>202005</v>
      </c>
      <c r="C773" t="s">
        <v>56</v>
      </c>
      <c r="D773" t="s">
        <v>246</v>
      </c>
      <c r="E773">
        <v>0</v>
      </c>
      <c r="F773">
        <v>0</v>
      </c>
      <c r="G773" s="2">
        <v>0.1</v>
      </c>
      <c r="H773">
        <v>0</v>
      </c>
      <c r="I773">
        <v>1570</v>
      </c>
      <c r="K773" t="s">
        <v>229</v>
      </c>
      <c r="L773">
        <v>8</v>
      </c>
      <c r="M773">
        <v>0</v>
      </c>
      <c r="O773" t="s">
        <v>567</v>
      </c>
      <c r="P773">
        <v>12</v>
      </c>
      <c r="Q77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2C578999</v>
      </c>
      <c r="R773" t="s">
        <v>644</v>
      </c>
      <c r="S77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774" spans="1:19" x14ac:dyDescent="0.25">
      <c r="A774" t="s">
        <v>1375</v>
      </c>
      <c r="B774">
        <v>202005</v>
      </c>
      <c r="C774" t="s">
        <v>141</v>
      </c>
      <c r="D774" t="s">
        <v>262</v>
      </c>
      <c r="E774">
        <v>433.66277000000002</v>
      </c>
      <c r="F774">
        <v>0</v>
      </c>
      <c r="G774" s="2">
        <v>100</v>
      </c>
      <c r="H774">
        <v>0</v>
      </c>
      <c r="I774">
        <v>1570</v>
      </c>
      <c r="K774" t="s">
        <v>229</v>
      </c>
      <c r="L774">
        <v>1</v>
      </c>
      <c r="M774">
        <v>0</v>
      </c>
      <c r="N774" t="s">
        <v>259</v>
      </c>
      <c r="O774" t="s">
        <v>1376</v>
      </c>
      <c r="P774">
        <v>12</v>
      </c>
      <c r="Q77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2C581102</v>
      </c>
      <c r="R774" t="s">
        <v>229</v>
      </c>
      <c r="S77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75" spans="1:19" x14ac:dyDescent="0.25">
      <c r="A775" t="s">
        <v>1375</v>
      </c>
      <c r="B775">
        <v>202005</v>
      </c>
      <c r="C775" t="s">
        <v>124</v>
      </c>
      <c r="D775" t="s">
        <v>272</v>
      </c>
      <c r="E775">
        <v>806.2</v>
      </c>
      <c r="F775">
        <v>0</v>
      </c>
      <c r="G775" s="2">
        <v>35.32</v>
      </c>
      <c r="H775">
        <v>0</v>
      </c>
      <c r="K775" t="s">
        <v>229</v>
      </c>
      <c r="L775">
        <v>6</v>
      </c>
      <c r="M775">
        <v>0</v>
      </c>
      <c r="N775" t="s">
        <v>259</v>
      </c>
      <c r="O775" t="s">
        <v>1376</v>
      </c>
      <c r="P775">
        <v>12</v>
      </c>
      <c r="Q77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2C581197</v>
      </c>
      <c r="R775" t="s">
        <v>229</v>
      </c>
      <c r="S77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76" spans="1:19" x14ac:dyDescent="0.25">
      <c r="A776" t="s">
        <v>1375</v>
      </c>
      <c r="B776">
        <v>202005</v>
      </c>
      <c r="C776" t="s">
        <v>142</v>
      </c>
      <c r="D776" t="s">
        <v>263</v>
      </c>
      <c r="E776">
        <v>330</v>
      </c>
      <c r="F776">
        <v>0</v>
      </c>
      <c r="G776" s="2">
        <v>8.85</v>
      </c>
      <c r="H776">
        <v>0</v>
      </c>
      <c r="K776" t="s">
        <v>229</v>
      </c>
      <c r="L776">
        <v>7</v>
      </c>
      <c r="M776">
        <v>0</v>
      </c>
      <c r="N776" t="s">
        <v>259</v>
      </c>
      <c r="O776" t="s">
        <v>1376</v>
      </c>
      <c r="P776">
        <v>12</v>
      </c>
      <c r="Q77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2C581194</v>
      </c>
      <c r="R776" t="s">
        <v>229</v>
      </c>
      <c r="S77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77" spans="1:19" x14ac:dyDescent="0.25">
      <c r="A777" t="s">
        <v>1375</v>
      </c>
      <c r="B777">
        <v>202005</v>
      </c>
      <c r="C777" t="s">
        <v>3</v>
      </c>
      <c r="D777" t="s">
        <v>58</v>
      </c>
      <c r="E777">
        <v>275</v>
      </c>
      <c r="F777">
        <v>0</v>
      </c>
      <c r="G777" s="2">
        <v>1</v>
      </c>
      <c r="H777">
        <v>0</v>
      </c>
      <c r="K777" t="s">
        <v>229</v>
      </c>
      <c r="L777">
        <v>7</v>
      </c>
      <c r="M777">
        <v>0</v>
      </c>
      <c r="N777" t="s">
        <v>259</v>
      </c>
      <c r="O777" t="s">
        <v>1376</v>
      </c>
      <c r="P777">
        <v>12</v>
      </c>
      <c r="Q77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2C581229</v>
      </c>
      <c r="R777" t="s">
        <v>229</v>
      </c>
      <c r="S77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78" spans="1:19" x14ac:dyDescent="0.25">
      <c r="A778" t="s">
        <v>1375</v>
      </c>
      <c r="B778">
        <v>202005</v>
      </c>
      <c r="C778" t="s">
        <v>4</v>
      </c>
      <c r="D778" t="s">
        <v>265</v>
      </c>
      <c r="E778">
        <v>115</v>
      </c>
      <c r="F778">
        <v>0</v>
      </c>
      <c r="G778" s="2">
        <v>28.27</v>
      </c>
      <c r="H778">
        <v>0</v>
      </c>
      <c r="K778" t="s">
        <v>229</v>
      </c>
      <c r="L778">
        <v>7</v>
      </c>
      <c r="M778">
        <v>0</v>
      </c>
      <c r="N778" t="s">
        <v>259</v>
      </c>
      <c r="O778" t="s">
        <v>1376</v>
      </c>
      <c r="P778">
        <v>12</v>
      </c>
      <c r="Q77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2C581230</v>
      </c>
      <c r="R778" t="s">
        <v>229</v>
      </c>
      <c r="S77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79" spans="1:19" x14ac:dyDescent="0.25">
      <c r="A779" t="s">
        <v>1375</v>
      </c>
      <c r="B779">
        <v>202005</v>
      </c>
      <c r="C779" t="s">
        <v>5</v>
      </c>
      <c r="D779" t="s">
        <v>59</v>
      </c>
      <c r="E779">
        <v>8.56</v>
      </c>
      <c r="F779">
        <v>0</v>
      </c>
      <c r="G779" s="2">
        <v>6.3</v>
      </c>
      <c r="H779">
        <v>0</v>
      </c>
      <c r="K779" t="s">
        <v>229</v>
      </c>
      <c r="L779">
        <v>7</v>
      </c>
      <c r="M779">
        <v>0</v>
      </c>
      <c r="N779" t="s">
        <v>259</v>
      </c>
      <c r="O779" t="s">
        <v>1376</v>
      </c>
      <c r="P779">
        <v>12</v>
      </c>
      <c r="Q77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2C581231</v>
      </c>
      <c r="R779" t="s">
        <v>229</v>
      </c>
      <c r="S77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80" spans="1:19" x14ac:dyDescent="0.25">
      <c r="A780" t="s">
        <v>1375</v>
      </c>
      <c r="B780">
        <v>202005</v>
      </c>
      <c r="C780" t="s">
        <v>6</v>
      </c>
      <c r="D780" t="s">
        <v>60</v>
      </c>
      <c r="E780">
        <v>50</v>
      </c>
      <c r="F780">
        <v>0</v>
      </c>
      <c r="G780" s="2">
        <v>20.14</v>
      </c>
      <c r="H780">
        <v>0</v>
      </c>
      <c r="I780">
        <v>1570</v>
      </c>
      <c r="K780" t="s">
        <v>229</v>
      </c>
      <c r="L780">
        <v>7</v>
      </c>
      <c r="M780">
        <v>0</v>
      </c>
      <c r="N780" t="s">
        <v>259</v>
      </c>
      <c r="O780" t="s">
        <v>1376</v>
      </c>
      <c r="P780">
        <v>12</v>
      </c>
      <c r="Q78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2C581245</v>
      </c>
      <c r="R780" t="s">
        <v>229</v>
      </c>
      <c r="S78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81" spans="1:19" x14ac:dyDescent="0.25">
      <c r="A781" t="s">
        <v>1375</v>
      </c>
      <c r="B781">
        <v>202005</v>
      </c>
      <c r="C781" t="s">
        <v>56</v>
      </c>
      <c r="D781" t="s">
        <v>246</v>
      </c>
      <c r="E781">
        <v>0</v>
      </c>
      <c r="F781">
        <v>0</v>
      </c>
      <c r="G781" s="2">
        <v>0.12</v>
      </c>
      <c r="H781">
        <v>0</v>
      </c>
      <c r="K781" t="s">
        <v>229</v>
      </c>
      <c r="L781">
        <v>8</v>
      </c>
      <c r="M781">
        <v>0</v>
      </c>
      <c r="O781" t="s">
        <v>1376</v>
      </c>
      <c r="P781">
        <v>12</v>
      </c>
      <c r="Q78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2C588999</v>
      </c>
      <c r="R781" t="s">
        <v>229</v>
      </c>
      <c r="S78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82" spans="1:19" x14ac:dyDescent="0.25">
      <c r="A782" t="s">
        <v>1377</v>
      </c>
      <c r="B782">
        <v>202005</v>
      </c>
      <c r="C782" t="s">
        <v>141</v>
      </c>
      <c r="D782" t="s">
        <v>262</v>
      </c>
      <c r="E782">
        <v>433.66277000000002</v>
      </c>
      <c r="F782">
        <v>0</v>
      </c>
      <c r="G782" s="2">
        <v>100</v>
      </c>
      <c r="H782">
        <v>0</v>
      </c>
      <c r="I782">
        <v>1570</v>
      </c>
      <c r="K782" t="s">
        <v>229</v>
      </c>
      <c r="L782">
        <v>1</v>
      </c>
      <c r="M782">
        <v>0</v>
      </c>
      <c r="N782" t="s">
        <v>259</v>
      </c>
      <c r="O782" t="s">
        <v>1378</v>
      </c>
      <c r="P782">
        <v>12</v>
      </c>
      <c r="Q78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2C591102</v>
      </c>
      <c r="R782" t="s">
        <v>229</v>
      </c>
      <c r="S78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83" spans="1:19" x14ac:dyDescent="0.25">
      <c r="A783" t="s">
        <v>1377</v>
      </c>
      <c r="B783">
        <v>202005</v>
      </c>
      <c r="C783" t="s">
        <v>1329</v>
      </c>
      <c r="D783" t="s">
        <v>1330</v>
      </c>
      <c r="E783">
        <v>752.28772000000004</v>
      </c>
      <c r="F783">
        <v>0</v>
      </c>
      <c r="G783" s="2">
        <v>24.12</v>
      </c>
      <c r="H783">
        <v>0</v>
      </c>
      <c r="K783" t="s">
        <v>229</v>
      </c>
      <c r="L783">
        <v>6</v>
      </c>
      <c r="M783">
        <v>0</v>
      </c>
      <c r="N783" t="s">
        <v>259</v>
      </c>
      <c r="O783" t="s">
        <v>1378</v>
      </c>
      <c r="P783">
        <v>12</v>
      </c>
      <c r="Q78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2C591205</v>
      </c>
      <c r="R783" t="s">
        <v>229</v>
      </c>
      <c r="S78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84" spans="1:19" x14ac:dyDescent="0.25">
      <c r="A784" t="s">
        <v>1377</v>
      </c>
      <c r="B784">
        <v>202005</v>
      </c>
      <c r="C784" t="s">
        <v>142</v>
      </c>
      <c r="D784" t="s">
        <v>263</v>
      </c>
      <c r="E784">
        <v>330</v>
      </c>
      <c r="F784">
        <v>0</v>
      </c>
      <c r="G784" s="2">
        <v>10.49</v>
      </c>
      <c r="H784">
        <v>0</v>
      </c>
      <c r="K784" t="s">
        <v>229</v>
      </c>
      <c r="L784">
        <v>7</v>
      </c>
      <c r="M784">
        <v>0</v>
      </c>
      <c r="N784" t="s">
        <v>259</v>
      </c>
      <c r="O784" t="s">
        <v>1378</v>
      </c>
      <c r="P784">
        <v>12</v>
      </c>
      <c r="Q78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2C591194</v>
      </c>
      <c r="R784" t="s">
        <v>229</v>
      </c>
      <c r="S78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85" spans="1:19" x14ac:dyDescent="0.25">
      <c r="A785" t="s">
        <v>1377</v>
      </c>
      <c r="B785">
        <v>202005</v>
      </c>
      <c r="C785" t="s">
        <v>3</v>
      </c>
      <c r="D785" t="s">
        <v>58</v>
      </c>
      <c r="E785">
        <v>275</v>
      </c>
      <c r="F785">
        <v>0</v>
      </c>
      <c r="G785" s="2">
        <v>1.33</v>
      </c>
      <c r="H785">
        <v>0</v>
      </c>
      <c r="K785" t="s">
        <v>229</v>
      </c>
      <c r="L785">
        <v>7</v>
      </c>
      <c r="M785">
        <v>0</v>
      </c>
      <c r="N785" t="s">
        <v>259</v>
      </c>
      <c r="O785" t="s">
        <v>1378</v>
      </c>
      <c r="P785">
        <v>12</v>
      </c>
      <c r="Q78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2C591229</v>
      </c>
      <c r="R785" t="s">
        <v>229</v>
      </c>
      <c r="S78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86" spans="1:19" x14ac:dyDescent="0.25">
      <c r="A786" t="s">
        <v>1377</v>
      </c>
      <c r="B786">
        <v>202005</v>
      </c>
      <c r="C786" t="s">
        <v>4</v>
      </c>
      <c r="D786" t="s">
        <v>265</v>
      </c>
      <c r="E786">
        <v>115</v>
      </c>
      <c r="F786">
        <v>0</v>
      </c>
      <c r="G786" s="2">
        <v>33.04</v>
      </c>
      <c r="H786">
        <v>0</v>
      </c>
      <c r="K786" t="s">
        <v>229</v>
      </c>
      <c r="L786">
        <v>7</v>
      </c>
      <c r="M786">
        <v>0</v>
      </c>
      <c r="N786" t="s">
        <v>259</v>
      </c>
      <c r="O786" t="s">
        <v>1378</v>
      </c>
      <c r="P786">
        <v>12</v>
      </c>
      <c r="Q78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2C591230</v>
      </c>
      <c r="R786" t="s">
        <v>229</v>
      </c>
      <c r="S78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87" spans="1:19" x14ac:dyDescent="0.25">
      <c r="A787" t="s">
        <v>1377</v>
      </c>
      <c r="B787">
        <v>202005</v>
      </c>
      <c r="C787" t="s">
        <v>5</v>
      </c>
      <c r="D787" t="s">
        <v>59</v>
      </c>
      <c r="E787">
        <v>8.56</v>
      </c>
      <c r="F787">
        <v>0</v>
      </c>
      <c r="G787" s="2">
        <v>6.57</v>
      </c>
      <c r="H787">
        <v>0</v>
      </c>
      <c r="K787" t="s">
        <v>229</v>
      </c>
      <c r="L787">
        <v>7</v>
      </c>
      <c r="M787">
        <v>0</v>
      </c>
      <c r="N787" t="s">
        <v>259</v>
      </c>
      <c r="O787" t="s">
        <v>1378</v>
      </c>
      <c r="P787">
        <v>12</v>
      </c>
      <c r="Q78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2C591231</v>
      </c>
      <c r="R787" t="s">
        <v>229</v>
      </c>
      <c r="S78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88" spans="1:19" x14ac:dyDescent="0.25">
      <c r="A788" t="s">
        <v>1377</v>
      </c>
      <c r="B788">
        <v>202005</v>
      </c>
      <c r="C788" t="s">
        <v>6</v>
      </c>
      <c r="D788" t="s">
        <v>60</v>
      </c>
      <c r="E788">
        <v>50</v>
      </c>
      <c r="F788">
        <v>0</v>
      </c>
      <c r="G788" s="2">
        <v>23.86</v>
      </c>
      <c r="H788">
        <v>0</v>
      </c>
      <c r="I788">
        <v>1570</v>
      </c>
      <c r="K788" t="s">
        <v>229</v>
      </c>
      <c r="L788">
        <v>7</v>
      </c>
      <c r="M788">
        <v>0</v>
      </c>
      <c r="N788" t="s">
        <v>259</v>
      </c>
      <c r="O788" t="s">
        <v>1378</v>
      </c>
      <c r="P788">
        <v>12</v>
      </c>
      <c r="Q78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2C591245</v>
      </c>
      <c r="R788" t="s">
        <v>229</v>
      </c>
      <c r="S78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89" spans="1:19" x14ac:dyDescent="0.25">
      <c r="A789" t="s">
        <v>1377</v>
      </c>
      <c r="B789">
        <v>202005</v>
      </c>
      <c r="C789" t="s">
        <v>56</v>
      </c>
      <c r="D789" t="s">
        <v>246</v>
      </c>
      <c r="E789">
        <v>0</v>
      </c>
      <c r="F789">
        <v>0</v>
      </c>
      <c r="G789" s="2">
        <v>0.59</v>
      </c>
      <c r="H789">
        <v>0</v>
      </c>
      <c r="K789" t="s">
        <v>229</v>
      </c>
      <c r="L789">
        <v>8</v>
      </c>
      <c r="M789">
        <v>0</v>
      </c>
      <c r="O789" t="s">
        <v>1378</v>
      </c>
      <c r="P789">
        <v>12</v>
      </c>
      <c r="Q78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2C598999</v>
      </c>
      <c r="R789" t="s">
        <v>229</v>
      </c>
      <c r="S78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90" spans="1:19" x14ac:dyDescent="0.25">
      <c r="A790" t="s">
        <v>1379</v>
      </c>
      <c r="B790">
        <v>202005</v>
      </c>
      <c r="C790" t="s">
        <v>1380</v>
      </c>
      <c r="D790" t="s">
        <v>1381</v>
      </c>
      <c r="E790">
        <v>108.09</v>
      </c>
      <c r="F790">
        <v>0</v>
      </c>
      <c r="G790" s="2">
        <v>100</v>
      </c>
      <c r="H790">
        <v>0</v>
      </c>
      <c r="I790">
        <v>1570</v>
      </c>
      <c r="K790" t="s">
        <v>229</v>
      </c>
      <c r="L790">
        <v>1</v>
      </c>
      <c r="M790">
        <v>0</v>
      </c>
      <c r="N790" t="s">
        <v>259</v>
      </c>
      <c r="O790" t="s">
        <v>1382</v>
      </c>
      <c r="P790">
        <v>12</v>
      </c>
      <c r="Q79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2C661219</v>
      </c>
      <c r="R790" t="s">
        <v>229</v>
      </c>
      <c r="S79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91" spans="1:19" x14ac:dyDescent="0.25">
      <c r="A791" t="s">
        <v>1379</v>
      </c>
      <c r="B791">
        <v>202005</v>
      </c>
      <c r="C791" t="s">
        <v>144</v>
      </c>
      <c r="D791" t="s">
        <v>211</v>
      </c>
      <c r="E791">
        <v>350</v>
      </c>
      <c r="F791">
        <v>0</v>
      </c>
      <c r="G791" s="2">
        <v>69.959999999999994</v>
      </c>
      <c r="H791">
        <v>0</v>
      </c>
      <c r="K791" t="s">
        <v>229</v>
      </c>
      <c r="L791">
        <v>6</v>
      </c>
      <c r="M791">
        <v>0</v>
      </c>
      <c r="N791" t="s">
        <v>259</v>
      </c>
      <c r="O791" t="s">
        <v>1382</v>
      </c>
      <c r="P791">
        <v>12</v>
      </c>
      <c r="Q79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2C661225</v>
      </c>
      <c r="R791" t="s">
        <v>229</v>
      </c>
      <c r="S79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92" spans="1:19" x14ac:dyDescent="0.25">
      <c r="A792" t="s">
        <v>1379</v>
      </c>
      <c r="B792">
        <v>202005</v>
      </c>
      <c r="C792" t="s">
        <v>4</v>
      </c>
      <c r="D792" t="s">
        <v>265</v>
      </c>
      <c r="E792">
        <v>115</v>
      </c>
      <c r="F792">
        <v>0</v>
      </c>
      <c r="G792" s="2">
        <v>12.88</v>
      </c>
      <c r="H792">
        <v>0</v>
      </c>
      <c r="K792" t="s">
        <v>229</v>
      </c>
      <c r="L792">
        <v>7</v>
      </c>
      <c r="M792">
        <v>0</v>
      </c>
      <c r="N792" t="s">
        <v>259</v>
      </c>
      <c r="O792" t="s">
        <v>1382</v>
      </c>
      <c r="P792">
        <v>12</v>
      </c>
      <c r="Q79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2C661230</v>
      </c>
      <c r="R792" t="s">
        <v>229</v>
      </c>
      <c r="S79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93" spans="1:19" x14ac:dyDescent="0.25">
      <c r="A793" t="s">
        <v>1379</v>
      </c>
      <c r="B793">
        <v>202005</v>
      </c>
      <c r="C793" t="s">
        <v>315</v>
      </c>
      <c r="D793" t="s">
        <v>195</v>
      </c>
      <c r="E793">
        <v>15</v>
      </c>
      <c r="F793">
        <v>0</v>
      </c>
      <c r="G793" s="2">
        <v>3.37</v>
      </c>
      <c r="H793">
        <v>0</v>
      </c>
      <c r="K793" t="s">
        <v>229</v>
      </c>
      <c r="L793">
        <v>7</v>
      </c>
      <c r="M793">
        <v>0</v>
      </c>
      <c r="N793" t="s">
        <v>259</v>
      </c>
      <c r="O793" t="s">
        <v>1382</v>
      </c>
      <c r="P793">
        <v>12</v>
      </c>
      <c r="Q79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2C661233</v>
      </c>
      <c r="R793" t="s">
        <v>229</v>
      </c>
      <c r="S79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94" spans="1:19" x14ac:dyDescent="0.25">
      <c r="A794" t="s">
        <v>1379</v>
      </c>
      <c r="B794">
        <v>202005</v>
      </c>
      <c r="C794" t="s">
        <v>240</v>
      </c>
      <c r="D794" t="s">
        <v>241</v>
      </c>
      <c r="E794">
        <v>113.37035</v>
      </c>
      <c r="F794">
        <v>0</v>
      </c>
      <c r="G794" s="2">
        <v>11.13</v>
      </c>
      <c r="H794">
        <v>0</v>
      </c>
      <c r="K794" t="s">
        <v>229</v>
      </c>
      <c r="L794">
        <v>7</v>
      </c>
      <c r="M794">
        <v>0</v>
      </c>
      <c r="N794" t="s">
        <v>259</v>
      </c>
      <c r="O794" t="s">
        <v>1382</v>
      </c>
      <c r="P794">
        <v>12</v>
      </c>
      <c r="Q79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2C661250</v>
      </c>
      <c r="R794" t="s">
        <v>229</v>
      </c>
      <c r="S79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95" spans="1:19" x14ac:dyDescent="0.25">
      <c r="A795" t="s">
        <v>1379</v>
      </c>
      <c r="B795">
        <v>202005</v>
      </c>
      <c r="C795" t="s">
        <v>175</v>
      </c>
      <c r="D795" t="s">
        <v>1383</v>
      </c>
      <c r="E795">
        <v>0.01</v>
      </c>
      <c r="F795">
        <v>0</v>
      </c>
      <c r="G795" s="2">
        <v>0.96</v>
      </c>
      <c r="H795">
        <v>0</v>
      </c>
      <c r="I795">
        <v>1570</v>
      </c>
      <c r="K795" t="s">
        <v>229</v>
      </c>
      <c r="L795">
        <v>7</v>
      </c>
      <c r="M795">
        <v>0</v>
      </c>
      <c r="N795" t="s">
        <v>259</v>
      </c>
      <c r="O795" t="s">
        <v>1382</v>
      </c>
      <c r="P795">
        <v>12</v>
      </c>
      <c r="Q79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2C661276</v>
      </c>
      <c r="R795" t="s">
        <v>229</v>
      </c>
      <c r="S79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96" spans="1:19" x14ac:dyDescent="0.25">
      <c r="A796" t="s">
        <v>1379</v>
      </c>
      <c r="B796">
        <v>202005</v>
      </c>
      <c r="C796" t="s">
        <v>56</v>
      </c>
      <c r="D796" t="s">
        <v>246</v>
      </c>
      <c r="E796">
        <v>0</v>
      </c>
      <c r="F796">
        <v>0</v>
      </c>
      <c r="G796" s="2">
        <v>1.7</v>
      </c>
      <c r="H796">
        <v>0</v>
      </c>
      <c r="K796" t="s">
        <v>229</v>
      </c>
      <c r="L796">
        <v>8</v>
      </c>
      <c r="M796">
        <v>0</v>
      </c>
      <c r="O796" t="s">
        <v>1382</v>
      </c>
      <c r="P796">
        <v>12</v>
      </c>
      <c r="Q79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2C668999</v>
      </c>
      <c r="R796" t="s">
        <v>229</v>
      </c>
      <c r="S79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97" spans="1:19" x14ac:dyDescent="0.25">
      <c r="A797" t="s">
        <v>1384</v>
      </c>
      <c r="B797">
        <v>202005</v>
      </c>
      <c r="C797" t="s">
        <v>1385</v>
      </c>
      <c r="D797" t="s">
        <v>1386</v>
      </c>
      <c r="E797">
        <v>345.33</v>
      </c>
      <c r="F797">
        <v>0</v>
      </c>
      <c r="G797" s="2">
        <v>100</v>
      </c>
      <c r="H797">
        <v>0</v>
      </c>
      <c r="I797">
        <v>1570</v>
      </c>
      <c r="K797" t="s">
        <v>229</v>
      </c>
      <c r="L797">
        <v>1</v>
      </c>
      <c r="M797">
        <v>0</v>
      </c>
      <c r="N797" t="s">
        <v>259</v>
      </c>
      <c r="O797" t="s">
        <v>1387</v>
      </c>
      <c r="P797">
        <v>12</v>
      </c>
      <c r="Q79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2C811153</v>
      </c>
      <c r="R797" t="s">
        <v>229</v>
      </c>
      <c r="S79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98" spans="1:19" x14ac:dyDescent="0.25">
      <c r="A798" t="s">
        <v>1384</v>
      </c>
      <c r="B798">
        <v>202005</v>
      </c>
      <c r="C798" t="s">
        <v>323</v>
      </c>
      <c r="D798" t="s">
        <v>535</v>
      </c>
      <c r="E798">
        <v>535.6866</v>
      </c>
      <c r="F798">
        <v>0</v>
      </c>
      <c r="G798" s="2">
        <v>57.4</v>
      </c>
      <c r="H798">
        <v>0</v>
      </c>
      <c r="K798" t="s">
        <v>229</v>
      </c>
      <c r="L798">
        <v>6</v>
      </c>
      <c r="M798">
        <v>0</v>
      </c>
      <c r="N798" t="s">
        <v>259</v>
      </c>
      <c r="O798" t="s">
        <v>1387</v>
      </c>
      <c r="P798">
        <v>12</v>
      </c>
      <c r="Q79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2C811295</v>
      </c>
      <c r="R798" t="s">
        <v>229</v>
      </c>
      <c r="S79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799" spans="1:19" x14ac:dyDescent="0.25">
      <c r="A799" t="s">
        <v>1384</v>
      </c>
      <c r="B799">
        <v>202005</v>
      </c>
      <c r="C799" t="s">
        <v>322</v>
      </c>
      <c r="D799" t="s">
        <v>536</v>
      </c>
      <c r="E799">
        <v>115</v>
      </c>
      <c r="F799">
        <v>0</v>
      </c>
      <c r="G799" s="2">
        <v>18.66</v>
      </c>
      <c r="H799">
        <v>0</v>
      </c>
      <c r="K799" t="s">
        <v>229</v>
      </c>
      <c r="L799">
        <v>7</v>
      </c>
      <c r="M799">
        <v>0</v>
      </c>
      <c r="N799" t="s">
        <v>259</v>
      </c>
      <c r="O799" t="s">
        <v>1387</v>
      </c>
      <c r="P799">
        <v>12</v>
      </c>
      <c r="Q79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2C811296</v>
      </c>
      <c r="R799" t="s">
        <v>229</v>
      </c>
      <c r="S79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00" spans="1:19" x14ac:dyDescent="0.25">
      <c r="A800" t="s">
        <v>1384</v>
      </c>
      <c r="B800">
        <v>202005</v>
      </c>
      <c r="C800" t="s">
        <v>1388</v>
      </c>
      <c r="D800" t="s">
        <v>1389</v>
      </c>
      <c r="E800">
        <v>47.84</v>
      </c>
      <c r="F800">
        <v>0</v>
      </c>
      <c r="G800" s="2">
        <v>10.36</v>
      </c>
      <c r="H800">
        <v>0</v>
      </c>
      <c r="K800" t="s">
        <v>229</v>
      </c>
      <c r="L800">
        <v>7</v>
      </c>
      <c r="M800">
        <v>0</v>
      </c>
      <c r="N800" t="s">
        <v>259</v>
      </c>
      <c r="O800" t="s">
        <v>1387</v>
      </c>
      <c r="P800">
        <v>12</v>
      </c>
      <c r="Q80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2C811297</v>
      </c>
      <c r="R800" t="s">
        <v>229</v>
      </c>
      <c r="S80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01" spans="1:19" x14ac:dyDescent="0.25">
      <c r="A801" t="s">
        <v>1384</v>
      </c>
      <c r="B801">
        <v>202005</v>
      </c>
      <c r="C801" t="s">
        <v>1390</v>
      </c>
      <c r="D801" t="s">
        <v>1391</v>
      </c>
      <c r="E801">
        <v>10</v>
      </c>
      <c r="F801">
        <v>0</v>
      </c>
      <c r="G801" s="2">
        <v>0.52</v>
      </c>
      <c r="H801">
        <v>0</v>
      </c>
      <c r="K801" t="s">
        <v>229</v>
      </c>
      <c r="L801">
        <v>7</v>
      </c>
      <c r="M801">
        <v>0</v>
      </c>
      <c r="N801" t="s">
        <v>259</v>
      </c>
      <c r="O801" t="s">
        <v>1387</v>
      </c>
      <c r="P801">
        <v>12</v>
      </c>
      <c r="Q80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2C811298</v>
      </c>
      <c r="R801" t="s">
        <v>229</v>
      </c>
      <c r="S80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02" spans="1:19" x14ac:dyDescent="0.25">
      <c r="A802" t="s">
        <v>1384</v>
      </c>
      <c r="B802">
        <v>202005</v>
      </c>
      <c r="C802" t="s">
        <v>1392</v>
      </c>
      <c r="D802" t="s">
        <v>1393</v>
      </c>
      <c r="E802">
        <v>10</v>
      </c>
      <c r="F802">
        <v>0</v>
      </c>
      <c r="G802" s="2">
        <v>10.32</v>
      </c>
      <c r="H802">
        <v>0</v>
      </c>
      <c r="K802" t="s">
        <v>229</v>
      </c>
      <c r="L802">
        <v>7</v>
      </c>
      <c r="M802">
        <v>0</v>
      </c>
      <c r="N802" t="s">
        <v>259</v>
      </c>
      <c r="O802" t="s">
        <v>1387</v>
      </c>
      <c r="P802">
        <v>12</v>
      </c>
      <c r="Q80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2C811302</v>
      </c>
      <c r="R802" t="s">
        <v>229</v>
      </c>
      <c r="S80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03" spans="1:19" x14ac:dyDescent="0.25">
      <c r="A803" t="s">
        <v>1384</v>
      </c>
      <c r="B803">
        <v>202005</v>
      </c>
      <c r="C803" t="s">
        <v>1298</v>
      </c>
      <c r="D803" t="s">
        <v>1299</v>
      </c>
      <c r="E803">
        <v>0.01</v>
      </c>
      <c r="F803">
        <v>0</v>
      </c>
      <c r="G803" s="2">
        <v>0.67</v>
      </c>
      <c r="H803">
        <v>0</v>
      </c>
      <c r="I803">
        <v>1570</v>
      </c>
      <c r="K803" t="s">
        <v>229</v>
      </c>
      <c r="L803">
        <v>7</v>
      </c>
      <c r="M803">
        <v>0</v>
      </c>
      <c r="N803" t="s">
        <v>259</v>
      </c>
      <c r="O803" t="s">
        <v>1387</v>
      </c>
      <c r="P803">
        <v>12</v>
      </c>
      <c r="Q80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2C811303</v>
      </c>
      <c r="R803" t="s">
        <v>229</v>
      </c>
      <c r="S80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04" spans="1:19" x14ac:dyDescent="0.25">
      <c r="A804" t="s">
        <v>1384</v>
      </c>
      <c r="B804">
        <v>202005</v>
      </c>
      <c r="C804" t="s">
        <v>56</v>
      </c>
      <c r="D804" t="s">
        <v>246</v>
      </c>
      <c r="E804">
        <v>0</v>
      </c>
      <c r="F804">
        <v>0</v>
      </c>
      <c r="G804" s="2">
        <v>2.0699999999999998</v>
      </c>
      <c r="H804">
        <v>0</v>
      </c>
      <c r="K804" t="s">
        <v>229</v>
      </c>
      <c r="L804">
        <v>8</v>
      </c>
      <c r="M804">
        <v>0</v>
      </c>
      <c r="O804" t="s">
        <v>1387</v>
      </c>
      <c r="P804">
        <v>12</v>
      </c>
      <c r="Q80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2C818999</v>
      </c>
      <c r="R804" t="s">
        <v>229</v>
      </c>
      <c r="S80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05" spans="1:19" x14ac:dyDescent="0.25">
      <c r="A805" t="s">
        <v>1394</v>
      </c>
      <c r="B805">
        <v>202005</v>
      </c>
      <c r="C805" t="s">
        <v>1395</v>
      </c>
      <c r="D805" t="s">
        <v>1396</v>
      </c>
      <c r="E805">
        <v>419.76</v>
      </c>
      <c r="F805">
        <v>0</v>
      </c>
      <c r="G805" s="2">
        <v>100</v>
      </c>
      <c r="H805">
        <v>0</v>
      </c>
      <c r="I805">
        <v>1570</v>
      </c>
      <c r="J805" t="s">
        <v>1397</v>
      </c>
      <c r="K805" t="s">
        <v>229</v>
      </c>
      <c r="L805">
        <v>1</v>
      </c>
      <c r="M805">
        <v>0</v>
      </c>
      <c r="N805" t="s">
        <v>259</v>
      </c>
      <c r="O805" t="s">
        <v>1398</v>
      </c>
      <c r="P805">
        <v>12</v>
      </c>
      <c r="Q80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2C821174</v>
      </c>
      <c r="R805" t="s">
        <v>229</v>
      </c>
      <c r="S80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06" spans="1:19" x14ac:dyDescent="0.25">
      <c r="A806" t="s">
        <v>1394</v>
      </c>
      <c r="B806">
        <v>202005</v>
      </c>
      <c r="C806" t="s">
        <v>1399</v>
      </c>
      <c r="D806" t="s">
        <v>1400</v>
      </c>
      <c r="E806">
        <v>436.59</v>
      </c>
      <c r="F806">
        <v>0</v>
      </c>
      <c r="G806" s="2">
        <v>94.44</v>
      </c>
      <c r="H806">
        <v>0</v>
      </c>
      <c r="K806" t="s">
        <v>229</v>
      </c>
      <c r="L806">
        <v>6</v>
      </c>
      <c r="M806">
        <v>0</v>
      </c>
      <c r="N806" t="s">
        <v>259</v>
      </c>
      <c r="O806" t="s">
        <v>1398</v>
      </c>
      <c r="P806">
        <v>12</v>
      </c>
      <c r="Q80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2C821256</v>
      </c>
      <c r="R806" t="s">
        <v>229</v>
      </c>
      <c r="S80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07" spans="1:19" x14ac:dyDescent="0.25">
      <c r="A807" t="s">
        <v>1394</v>
      </c>
      <c r="B807">
        <v>202005</v>
      </c>
      <c r="C807" t="s">
        <v>312</v>
      </c>
      <c r="D807" t="s">
        <v>332</v>
      </c>
      <c r="E807">
        <v>100</v>
      </c>
      <c r="F807">
        <v>0</v>
      </c>
      <c r="G807" s="2">
        <v>3.57</v>
      </c>
      <c r="H807">
        <v>0</v>
      </c>
      <c r="I807">
        <v>1570</v>
      </c>
      <c r="K807" t="s">
        <v>229</v>
      </c>
      <c r="L807">
        <v>7</v>
      </c>
      <c r="M807">
        <v>0</v>
      </c>
      <c r="N807" t="s">
        <v>259</v>
      </c>
      <c r="O807" t="s">
        <v>1398</v>
      </c>
      <c r="P807">
        <v>12</v>
      </c>
      <c r="Q80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2C821249</v>
      </c>
      <c r="R807" t="s">
        <v>229</v>
      </c>
      <c r="S80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08" spans="1:19" x14ac:dyDescent="0.25">
      <c r="A808" t="s">
        <v>1394</v>
      </c>
      <c r="B808">
        <v>202005</v>
      </c>
      <c r="C808" t="s">
        <v>56</v>
      </c>
      <c r="D808" t="s">
        <v>246</v>
      </c>
      <c r="E808">
        <v>0</v>
      </c>
      <c r="F808">
        <v>0</v>
      </c>
      <c r="G808" s="2">
        <v>1.99</v>
      </c>
      <c r="H808">
        <v>0</v>
      </c>
      <c r="K808" t="s">
        <v>229</v>
      </c>
      <c r="L808">
        <v>8</v>
      </c>
      <c r="M808">
        <v>0</v>
      </c>
      <c r="O808" t="s">
        <v>1398</v>
      </c>
      <c r="P808">
        <v>12</v>
      </c>
      <c r="Q80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2C828999</v>
      </c>
      <c r="R808" t="s">
        <v>229</v>
      </c>
      <c r="S80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09" spans="1:19" x14ac:dyDescent="0.25">
      <c r="A809" t="s">
        <v>1401</v>
      </c>
      <c r="B809">
        <v>202005</v>
      </c>
      <c r="C809" t="s">
        <v>1402</v>
      </c>
      <c r="D809" t="s">
        <v>1403</v>
      </c>
      <c r="E809">
        <v>253.01</v>
      </c>
      <c r="F809">
        <v>0</v>
      </c>
      <c r="G809" s="2">
        <v>100</v>
      </c>
      <c r="H809">
        <v>0</v>
      </c>
      <c r="I809">
        <v>1570</v>
      </c>
      <c r="K809" t="s">
        <v>229</v>
      </c>
      <c r="L809">
        <v>1</v>
      </c>
      <c r="M809">
        <v>0</v>
      </c>
      <c r="N809" t="s">
        <v>259</v>
      </c>
      <c r="O809" t="s">
        <v>1404</v>
      </c>
      <c r="P809">
        <v>12</v>
      </c>
      <c r="Q80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2C831154</v>
      </c>
      <c r="R809" t="s">
        <v>229</v>
      </c>
      <c r="S80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10" spans="1:19" x14ac:dyDescent="0.25">
      <c r="A810" t="s">
        <v>1401</v>
      </c>
      <c r="B810">
        <v>202005</v>
      </c>
      <c r="C810" t="s">
        <v>1399</v>
      </c>
      <c r="D810" t="s">
        <v>1400</v>
      </c>
      <c r="E810">
        <v>436.59</v>
      </c>
      <c r="F810">
        <v>0</v>
      </c>
      <c r="G810" s="2">
        <v>69.5</v>
      </c>
      <c r="H810">
        <v>0</v>
      </c>
      <c r="K810" t="s">
        <v>229</v>
      </c>
      <c r="L810">
        <v>6</v>
      </c>
      <c r="M810">
        <v>0</v>
      </c>
      <c r="N810" t="s">
        <v>259</v>
      </c>
      <c r="O810" t="s">
        <v>1404</v>
      </c>
      <c r="P810">
        <v>12</v>
      </c>
      <c r="Q81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2C831256</v>
      </c>
      <c r="R810" t="s">
        <v>229</v>
      </c>
      <c r="S81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11" spans="1:19" x14ac:dyDescent="0.25">
      <c r="A811" t="s">
        <v>1401</v>
      </c>
      <c r="B811">
        <v>202005</v>
      </c>
      <c r="C811" t="s">
        <v>1388</v>
      </c>
      <c r="D811" t="s">
        <v>1389</v>
      </c>
      <c r="E811">
        <v>47.84</v>
      </c>
      <c r="F811">
        <v>0</v>
      </c>
      <c r="G811" s="2">
        <v>5</v>
      </c>
      <c r="H811">
        <v>0</v>
      </c>
      <c r="K811" t="s">
        <v>229</v>
      </c>
      <c r="L811">
        <v>7</v>
      </c>
      <c r="M811">
        <v>0</v>
      </c>
      <c r="N811" t="s">
        <v>259</v>
      </c>
      <c r="O811" t="s">
        <v>1404</v>
      </c>
      <c r="P811">
        <v>12</v>
      </c>
      <c r="Q81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2C831297</v>
      </c>
      <c r="R811" t="s">
        <v>229</v>
      </c>
      <c r="S81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12" spans="1:19" x14ac:dyDescent="0.25">
      <c r="A812" t="s">
        <v>1401</v>
      </c>
      <c r="B812">
        <v>202005</v>
      </c>
      <c r="C812" t="s">
        <v>1390</v>
      </c>
      <c r="D812" t="s">
        <v>1391</v>
      </c>
      <c r="E812">
        <v>10</v>
      </c>
      <c r="F812">
        <v>0</v>
      </c>
      <c r="G812" s="2">
        <v>2</v>
      </c>
      <c r="H812">
        <v>0</v>
      </c>
      <c r="K812" t="s">
        <v>229</v>
      </c>
      <c r="L812">
        <v>7</v>
      </c>
      <c r="M812">
        <v>0</v>
      </c>
      <c r="N812" t="s">
        <v>259</v>
      </c>
      <c r="O812" t="s">
        <v>1404</v>
      </c>
      <c r="P812">
        <v>12</v>
      </c>
      <c r="Q81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2C831298</v>
      </c>
      <c r="R812" t="s">
        <v>229</v>
      </c>
      <c r="S81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13" spans="1:19" x14ac:dyDescent="0.25">
      <c r="A813" t="s">
        <v>1401</v>
      </c>
      <c r="B813">
        <v>202005</v>
      </c>
      <c r="C813" t="s">
        <v>1405</v>
      </c>
      <c r="D813" t="s">
        <v>1406</v>
      </c>
      <c r="E813">
        <v>36.5</v>
      </c>
      <c r="F813">
        <v>0</v>
      </c>
      <c r="G813" s="2">
        <v>20</v>
      </c>
      <c r="H813">
        <v>0</v>
      </c>
      <c r="K813" t="s">
        <v>229</v>
      </c>
      <c r="L813">
        <v>7</v>
      </c>
      <c r="M813">
        <v>0</v>
      </c>
      <c r="N813" t="s">
        <v>259</v>
      </c>
      <c r="O813" t="s">
        <v>1404</v>
      </c>
      <c r="P813">
        <v>12</v>
      </c>
      <c r="Q81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2C831299</v>
      </c>
      <c r="R813" t="s">
        <v>229</v>
      </c>
      <c r="S81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14" spans="1:19" x14ac:dyDescent="0.25">
      <c r="A814" t="s">
        <v>1401</v>
      </c>
      <c r="B814">
        <v>202005</v>
      </c>
      <c r="C814" t="s">
        <v>1298</v>
      </c>
      <c r="D814" t="s">
        <v>1299</v>
      </c>
      <c r="E814">
        <v>0.01</v>
      </c>
      <c r="F814">
        <v>0</v>
      </c>
      <c r="G814" s="2">
        <v>1</v>
      </c>
      <c r="H814">
        <v>0</v>
      </c>
      <c r="I814">
        <v>1570</v>
      </c>
      <c r="K814" t="s">
        <v>229</v>
      </c>
      <c r="L814">
        <v>7</v>
      </c>
      <c r="M814">
        <v>0</v>
      </c>
      <c r="N814" t="s">
        <v>259</v>
      </c>
      <c r="O814" t="s">
        <v>1404</v>
      </c>
      <c r="P814">
        <v>12</v>
      </c>
      <c r="Q81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2C831303</v>
      </c>
      <c r="R814" t="s">
        <v>229</v>
      </c>
      <c r="S81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15" spans="1:19" x14ac:dyDescent="0.25">
      <c r="A815" t="s">
        <v>1401</v>
      </c>
      <c r="B815">
        <v>202005</v>
      </c>
      <c r="C815" t="s">
        <v>56</v>
      </c>
      <c r="D815" t="s">
        <v>246</v>
      </c>
      <c r="E815">
        <v>0</v>
      </c>
      <c r="F815">
        <v>0</v>
      </c>
      <c r="G815" s="2">
        <v>2.5</v>
      </c>
      <c r="H815">
        <v>0</v>
      </c>
      <c r="K815" t="s">
        <v>229</v>
      </c>
      <c r="L815">
        <v>8</v>
      </c>
      <c r="M815">
        <v>0</v>
      </c>
      <c r="O815" t="s">
        <v>1404</v>
      </c>
      <c r="P815">
        <v>12</v>
      </c>
      <c r="Q81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2C838999</v>
      </c>
      <c r="R815" t="s">
        <v>229</v>
      </c>
      <c r="S81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16" spans="1:19" x14ac:dyDescent="0.25">
      <c r="A816" t="s">
        <v>1407</v>
      </c>
      <c r="B816">
        <v>202005</v>
      </c>
      <c r="C816" t="s">
        <v>1385</v>
      </c>
      <c r="D816" t="s">
        <v>1386</v>
      </c>
      <c r="E816">
        <v>345.33</v>
      </c>
      <c r="F816">
        <v>0</v>
      </c>
      <c r="G816" s="2">
        <v>100</v>
      </c>
      <c r="H816">
        <v>0</v>
      </c>
      <c r="I816">
        <v>1570</v>
      </c>
      <c r="K816" t="s">
        <v>229</v>
      </c>
      <c r="L816">
        <v>1</v>
      </c>
      <c r="M816">
        <v>0</v>
      </c>
      <c r="N816" t="s">
        <v>259</v>
      </c>
      <c r="O816" t="s">
        <v>1408</v>
      </c>
      <c r="P816">
        <v>12</v>
      </c>
      <c r="Q81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2C841153</v>
      </c>
      <c r="R816" t="s">
        <v>229</v>
      </c>
      <c r="S81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17" spans="1:19" x14ac:dyDescent="0.25">
      <c r="A817" t="s">
        <v>1407</v>
      </c>
      <c r="B817">
        <v>202005</v>
      </c>
      <c r="C817" t="s">
        <v>323</v>
      </c>
      <c r="D817" t="s">
        <v>535</v>
      </c>
      <c r="E817">
        <v>535.6866</v>
      </c>
      <c r="F817">
        <v>0</v>
      </c>
      <c r="G817" s="2">
        <v>48.1</v>
      </c>
      <c r="H817">
        <v>0</v>
      </c>
      <c r="K817" t="s">
        <v>229</v>
      </c>
      <c r="L817">
        <v>6</v>
      </c>
      <c r="M817">
        <v>0</v>
      </c>
      <c r="N817" t="s">
        <v>259</v>
      </c>
      <c r="O817" t="s">
        <v>1408</v>
      </c>
      <c r="P817">
        <v>12</v>
      </c>
      <c r="Q81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2C841295</v>
      </c>
      <c r="R817" t="s">
        <v>229</v>
      </c>
      <c r="S81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18" spans="1:19" x14ac:dyDescent="0.25">
      <c r="A818" t="s">
        <v>1407</v>
      </c>
      <c r="B818">
        <v>202005</v>
      </c>
      <c r="C818" t="s">
        <v>142</v>
      </c>
      <c r="D818" t="s">
        <v>263</v>
      </c>
      <c r="E818">
        <v>330</v>
      </c>
      <c r="F818">
        <v>0</v>
      </c>
      <c r="G818" s="2">
        <v>5.9</v>
      </c>
      <c r="H818">
        <v>0</v>
      </c>
      <c r="K818" t="s">
        <v>229</v>
      </c>
      <c r="L818">
        <v>7</v>
      </c>
      <c r="M818">
        <v>0</v>
      </c>
      <c r="N818" t="s">
        <v>259</v>
      </c>
      <c r="O818" t="s">
        <v>1408</v>
      </c>
      <c r="P818">
        <v>12</v>
      </c>
      <c r="Q81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2C841194</v>
      </c>
      <c r="R818" t="s">
        <v>229</v>
      </c>
      <c r="S81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19" spans="1:19" x14ac:dyDescent="0.25">
      <c r="A819" t="s">
        <v>1407</v>
      </c>
      <c r="B819">
        <v>202005</v>
      </c>
      <c r="C819" t="s">
        <v>322</v>
      </c>
      <c r="D819" t="s">
        <v>536</v>
      </c>
      <c r="E819">
        <v>115</v>
      </c>
      <c r="F819">
        <v>0</v>
      </c>
      <c r="G819" s="2">
        <v>23.2</v>
      </c>
      <c r="H819">
        <v>0</v>
      </c>
      <c r="K819" t="s">
        <v>229</v>
      </c>
      <c r="L819">
        <v>7</v>
      </c>
      <c r="M819">
        <v>0</v>
      </c>
      <c r="N819" t="s">
        <v>259</v>
      </c>
      <c r="O819" t="s">
        <v>1408</v>
      </c>
      <c r="P819">
        <v>12</v>
      </c>
      <c r="Q81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2C841296</v>
      </c>
      <c r="R819" t="s">
        <v>229</v>
      </c>
      <c r="S81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20" spans="1:19" x14ac:dyDescent="0.25">
      <c r="A820" t="s">
        <v>1407</v>
      </c>
      <c r="B820">
        <v>202005</v>
      </c>
      <c r="C820" t="s">
        <v>1388</v>
      </c>
      <c r="D820" t="s">
        <v>1389</v>
      </c>
      <c r="E820">
        <v>47.84</v>
      </c>
      <c r="F820">
        <v>0</v>
      </c>
      <c r="G820" s="2">
        <v>11.7</v>
      </c>
      <c r="H820">
        <v>0</v>
      </c>
      <c r="K820" t="s">
        <v>229</v>
      </c>
      <c r="L820">
        <v>7</v>
      </c>
      <c r="M820">
        <v>0</v>
      </c>
      <c r="N820" t="s">
        <v>259</v>
      </c>
      <c r="O820" t="s">
        <v>1408</v>
      </c>
      <c r="P820">
        <v>12</v>
      </c>
      <c r="Q82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2C841297</v>
      </c>
      <c r="R820" t="s">
        <v>229</v>
      </c>
      <c r="S82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21" spans="1:19" x14ac:dyDescent="0.25">
      <c r="A821" t="s">
        <v>1407</v>
      </c>
      <c r="B821">
        <v>202005</v>
      </c>
      <c r="C821" t="s">
        <v>1390</v>
      </c>
      <c r="D821" t="s">
        <v>1391</v>
      </c>
      <c r="E821">
        <v>10</v>
      </c>
      <c r="F821">
        <v>0</v>
      </c>
      <c r="G821" s="2">
        <v>0.4</v>
      </c>
      <c r="H821">
        <v>0</v>
      </c>
      <c r="K821" t="s">
        <v>229</v>
      </c>
      <c r="L821">
        <v>7</v>
      </c>
      <c r="M821">
        <v>0</v>
      </c>
      <c r="N821" t="s">
        <v>259</v>
      </c>
      <c r="O821" t="s">
        <v>1408</v>
      </c>
      <c r="P821">
        <v>12</v>
      </c>
      <c r="Q82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2C841298</v>
      </c>
      <c r="R821" t="s">
        <v>229</v>
      </c>
      <c r="S82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22" spans="1:19" x14ac:dyDescent="0.25">
      <c r="A822" t="s">
        <v>1407</v>
      </c>
      <c r="B822">
        <v>202005</v>
      </c>
      <c r="C822" t="s">
        <v>1392</v>
      </c>
      <c r="D822" t="s">
        <v>1393</v>
      </c>
      <c r="E822">
        <v>10</v>
      </c>
      <c r="F822">
        <v>0</v>
      </c>
      <c r="G822" s="2">
        <v>8.6</v>
      </c>
      <c r="H822">
        <v>0</v>
      </c>
      <c r="K822" t="s">
        <v>229</v>
      </c>
      <c r="L822">
        <v>7</v>
      </c>
      <c r="M822">
        <v>0</v>
      </c>
      <c r="N822" t="s">
        <v>259</v>
      </c>
      <c r="O822" t="s">
        <v>1408</v>
      </c>
      <c r="P822">
        <v>12</v>
      </c>
      <c r="Q82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2C841302</v>
      </c>
      <c r="R822" t="s">
        <v>229</v>
      </c>
      <c r="S82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23" spans="1:19" x14ac:dyDescent="0.25">
      <c r="A823" t="s">
        <v>1407</v>
      </c>
      <c r="B823">
        <v>202005</v>
      </c>
      <c r="C823" t="s">
        <v>1298</v>
      </c>
      <c r="D823" t="s">
        <v>1299</v>
      </c>
      <c r="E823">
        <v>0.01</v>
      </c>
      <c r="F823">
        <v>0</v>
      </c>
      <c r="G823" s="2">
        <v>0.6</v>
      </c>
      <c r="H823">
        <v>0</v>
      </c>
      <c r="I823">
        <v>1570</v>
      </c>
      <c r="K823" t="s">
        <v>229</v>
      </c>
      <c r="L823">
        <v>7</v>
      </c>
      <c r="M823">
        <v>0</v>
      </c>
      <c r="N823" t="s">
        <v>259</v>
      </c>
      <c r="O823" t="s">
        <v>1408</v>
      </c>
      <c r="P823">
        <v>12</v>
      </c>
      <c r="Q82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2C841303</v>
      </c>
      <c r="R823" t="s">
        <v>229</v>
      </c>
      <c r="S82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24" spans="1:19" x14ac:dyDescent="0.25">
      <c r="A824" t="s">
        <v>1407</v>
      </c>
      <c r="B824">
        <v>202005</v>
      </c>
      <c r="C824" t="s">
        <v>56</v>
      </c>
      <c r="D824" t="s">
        <v>246</v>
      </c>
      <c r="E824">
        <v>0</v>
      </c>
      <c r="F824">
        <v>0</v>
      </c>
      <c r="G824" s="2">
        <v>1.5</v>
      </c>
      <c r="H824">
        <v>0</v>
      </c>
      <c r="I824">
        <v>1570</v>
      </c>
      <c r="K824" t="s">
        <v>229</v>
      </c>
      <c r="L824">
        <v>8</v>
      </c>
      <c r="M824">
        <v>0</v>
      </c>
      <c r="N824" t="s">
        <v>259</v>
      </c>
      <c r="O824" t="s">
        <v>1408</v>
      </c>
      <c r="P824">
        <v>12</v>
      </c>
      <c r="Q82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2C848999</v>
      </c>
      <c r="R824" t="s">
        <v>229</v>
      </c>
      <c r="S82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25" spans="1:19" x14ac:dyDescent="0.25">
      <c r="A825" t="s">
        <v>1409</v>
      </c>
      <c r="B825">
        <v>202005</v>
      </c>
      <c r="C825" t="s">
        <v>1385</v>
      </c>
      <c r="D825" t="s">
        <v>1386</v>
      </c>
      <c r="E825">
        <v>345.33</v>
      </c>
      <c r="F825">
        <v>0</v>
      </c>
      <c r="G825" s="2">
        <v>100</v>
      </c>
      <c r="H825">
        <v>0</v>
      </c>
      <c r="I825">
        <v>1570</v>
      </c>
      <c r="K825" t="s">
        <v>229</v>
      </c>
      <c r="L825">
        <v>1</v>
      </c>
      <c r="M825">
        <v>0</v>
      </c>
      <c r="N825" t="s">
        <v>259</v>
      </c>
      <c r="O825" t="s">
        <v>1410</v>
      </c>
      <c r="P825">
        <v>12</v>
      </c>
      <c r="Q82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2C851153</v>
      </c>
      <c r="R825" t="s">
        <v>229</v>
      </c>
      <c r="S82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26" spans="1:19" x14ac:dyDescent="0.25">
      <c r="A826" t="s">
        <v>1409</v>
      </c>
      <c r="B826">
        <v>202005</v>
      </c>
      <c r="C826" t="s">
        <v>323</v>
      </c>
      <c r="D826" t="s">
        <v>535</v>
      </c>
      <c r="E826">
        <v>535.6866</v>
      </c>
      <c r="F826">
        <v>0</v>
      </c>
      <c r="G826" s="2">
        <v>65.900000000000006</v>
      </c>
      <c r="H826">
        <v>0</v>
      </c>
      <c r="K826" t="s">
        <v>229</v>
      </c>
      <c r="L826">
        <v>6</v>
      </c>
      <c r="M826">
        <v>0</v>
      </c>
      <c r="N826" t="s">
        <v>259</v>
      </c>
      <c r="O826" t="s">
        <v>1410</v>
      </c>
      <c r="P826">
        <v>12</v>
      </c>
      <c r="Q82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2C851295</v>
      </c>
      <c r="R826" t="s">
        <v>229</v>
      </c>
      <c r="S82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27" spans="1:19" x14ac:dyDescent="0.25">
      <c r="A827" t="s">
        <v>1409</v>
      </c>
      <c r="B827">
        <v>202005</v>
      </c>
      <c r="C827" t="s">
        <v>322</v>
      </c>
      <c r="D827" t="s">
        <v>536</v>
      </c>
      <c r="E827">
        <v>115</v>
      </c>
      <c r="F827">
        <v>0</v>
      </c>
      <c r="G827" s="2">
        <v>18.2</v>
      </c>
      <c r="H827">
        <v>0</v>
      </c>
      <c r="K827" t="s">
        <v>229</v>
      </c>
      <c r="L827">
        <v>7</v>
      </c>
      <c r="M827">
        <v>0</v>
      </c>
      <c r="N827" t="s">
        <v>259</v>
      </c>
      <c r="O827" t="s">
        <v>1410</v>
      </c>
      <c r="P827">
        <v>12</v>
      </c>
      <c r="Q82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2C851296</v>
      </c>
      <c r="R827" t="s">
        <v>229</v>
      </c>
      <c r="S82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28" spans="1:19" x14ac:dyDescent="0.25">
      <c r="A828" t="s">
        <v>1409</v>
      </c>
      <c r="B828">
        <v>202005</v>
      </c>
      <c r="C828" t="s">
        <v>1392</v>
      </c>
      <c r="D828" t="s">
        <v>1393</v>
      </c>
      <c r="E828">
        <v>10</v>
      </c>
      <c r="F828">
        <v>0</v>
      </c>
      <c r="G828" s="2">
        <v>14.3</v>
      </c>
      <c r="H828">
        <v>0</v>
      </c>
      <c r="I828">
        <v>1570</v>
      </c>
      <c r="K828" t="s">
        <v>229</v>
      </c>
      <c r="L828">
        <v>7</v>
      </c>
      <c r="M828">
        <v>0</v>
      </c>
      <c r="N828" t="s">
        <v>259</v>
      </c>
      <c r="O828" t="s">
        <v>1410</v>
      </c>
      <c r="P828">
        <v>12</v>
      </c>
      <c r="Q82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2C851302</v>
      </c>
      <c r="R828" t="s">
        <v>229</v>
      </c>
      <c r="S82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29" spans="1:19" x14ac:dyDescent="0.25">
      <c r="A829" t="s">
        <v>1409</v>
      </c>
      <c r="B829">
        <v>202005</v>
      </c>
      <c r="C829" t="s">
        <v>56</v>
      </c>
      <c r="D829" t="s">
        <v>246</v>
      </c>
      <c r="E829">
        <v>0</v>
      </c>
      <c r="F829">
        <v>0</v>
      </c>
      <c r="G829" s="2">
        <v>1.6</v>
      </c>
      <c r="H829">
        <v>0</v>
      </c>
      <c r="K829" t="s">
        <v>229</v>
      </c>
      <c r="L829">
        <v>8</v>
      </c>
      <c r="M829">
        <v>0</v>
      </c>
      <c r="O829" t="s">
        <v>1410</v>
      </c>
      <c r="P829">
        <v>12</v>
      </c>
      <c r="Q82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2C858999</v>
      </c>
      <c r="R829" t="s">
        <v>229</v>
      </c>
      <c r="S82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30" spans="1:19" x14ac:dyDescent="0.25">
      <c r="A830" t="s">
        <v>1411</v>
      </c>
      <c r="B830">
        <v>202005</v>
      </c>
      <c r="C830" t="s">
        <v>1412</v>
      </c>
      <c r="D830" t="s">
        <v>1413</v>
      </c>
      <c r="E830">
        <v>268.48</v>
      </c>
      <c r="F830">
        <v>0</v>
      </c>
      <c r="G830" s="2">
        <v>100</v>
      </c>
      <c r="H830">
        <v>0</v>
      </c>
      <c r="I830">
        <v>1570</v>
      </c>
      <c r="K830" t="s">
        <v>229</v>
      </c>
      <c r="L830">
        <v>1</v>
      </c>
      <c r="M830">
        <v>0</v>
      </c>
      <c r="N830" t="s">
        <v>259</v>
      </c>
      <c r="O830" t="s">
        <v>1414</v>
      </c>
      <c r="P830">
        <v>12</v>
      </c>
      <c r="Q83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2C861155</v>
      </c>
      <c r="R830" t="s">
        <v>229</v>
      </c>
      <c r="S83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31" spans="1:19" x14ac:dyDescent="0.25">
      <c r="A831" t="s">
        <v>1411</v>
      </c>
      <c r="B831">
        <v>202005</v>
      </c>
      <c r="C831" t="s">
        <v>1399</v>
      </c>
      <c r="D831" t="s">
        <v>1400</v>
      </c>
      <c r="E831">
        <v>436.59</v>
      </c>
      <c r="F831">
        <v>0</v>
      </c>
      <c r="G831" s="2">
        <v>65.3</v>
      </c>
      <c r="H831">
        <v>0</v>
      </c>
      <c r="K831" t="s">
        <v>229</v>
      </c>
      <c r="L831">
        <v>6</v>
      </c>
      <c r="M831">
        <v>0</v>
      </c>
      <c r="N831" t="s">
        <v>259</v>
      </c>
      <c r="O831" t="s">
        <v>1414</v>
      </c>
      <c r="P831">
        <v>12</v>
      </c>
      <c r="Q83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2C861256</v>
      </c>
      <c r="R831" t="s">
        <v>229</v>
      </c>
      <c r="S83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32" spans="1:19" x14ac:dyDescent="0.25">
      <c r="A832" t="s">
        <v>1411</v>
      </c>
      <c r="B832">
        <v>202005</v>
      </c>
      <c r="C832" t="s">
        <v>143</v>
      </c>
      <c r="D832" t="s">
        <v>264</v>
      </c>
      <c r="E832">
        <v>210</v>
      </c>
      <c r="F832">
        <v>0</v>
      </c>
      <c r="G832" s="2">
        <v>14.2</v>
      </c>
      <c r="H832">
        <v>0</v>
      </c>
      <c r="K832" t="s">
        <v>229</v>
      </c>
      <c r="L832">
        <v>7</v>
      </c>
      <c r="M832">
        <v>0</v>
      </c>
      <c r="N832" t="s">
        <v>259</v>
      </c>
      <c r="O832" t="s">
        <v>1414</v>
      </c>
      <c r="P832">
        <v>12</v>
      </c>
      <c r="Q83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2C861195</v>
      </c>
      <c r="R832" t="s">
        <v>229</v>
      </c>
      <c r="S83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33" spans="1:19" x14ac:dyDescent="0.25">
      <c r="A833" t="s">
        <v>1411</v>
      </c>
      <c r="B833">
        <v>202005</v>
      </c>
      <c r="C833" t="s">
        <v>5</v>
      </c>
      <c r="D833" t="s">
        <v>59</v>
      </c>
      <c r="E833" s="1020">
        <v>8.56</v>
      </c>
      <c r="F833">
        <v>0</v>
      </c>
      <c r="G833" s="2">
        <v>19.899999999999999</v>
      </c>
      <c r="H833">
        <v>0</v>
      </c>
      <c r="K833" t="s">
        <v>229</v>
      </c>
      <c r="L833">
        <v>7</v>
      </c>
      <c r="M833">
        <v>0</v>
      </c>
      <c r="N833" t="s">
        <v>259</v>
      </c>
      <c r="O833" t="s">
        <v>1414</v>
      </c>
      <c r="P833">
        <v>12</v>
      </c>
      <c r="Q83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2C861231</v>
      </c>
      <c r="R833" t="s">
        <v>229</v>
      </c>
      <c r="S83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34" spans="1:19" x14ac:dyDescent="0.25">
      <c r="A834" t="s">
        <v>1411</v>
      </c>
      <c r="B834">
        <v>202005</v>
      </c>
      <c r="C834" t="s">
        <v>521</v>
      </c>
      <c r="D834" t="s">
        <v>520</v>
      </c>
      <c r="E834">
        <v>15.01</v>
      </c>
      <c r="F834">
        <v>0</v>
      </c>
      <c r="G834" s="2">
        <v>0.4</v>
      </c>
      <c r="H834">
        <v>0</v>
      </c>
      <c r="I834">
        <v>1570</v>
      </c>
      <c r="K834" t="s">
        <v>229</v>
      </c>
      <c r="L834">
        <v>7</v>
      </c>
      <c r="M834">
        <v>0</v>
      </c>
      <c r="N834" t="s">
        <v>259</v>
      </c>
      <c r="O834" t="s">
        <v>1414</v>
      </c>
      <c r="P834">
        <v>12</v>
      </c>
      <c r="Q83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2C861253</v>
      </c>
      <c r="R834" t="s">
        <v>229</v>
      </c>
      <c r="S83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35" spans="1:19" x14ac:dyDescent="0.25">
      <c r="A835" t="s">
        <v>1411</v>
      </c>
      <c r="B835">
        <v>202005</v>
      </c>
      <c r="C835" t="s">
        <v>56</v>
      </c>
      <c r="D835" t="s">
        <v>246</v>
      </c>
      <c r="E835">
        <v>0</v>
      </c>
      <c r="F835">
        <v>0</v>
      </c>
      <c r="G835" s="2">
        <v>0.2</v>
      </c>
      <c r="H835">
        <v>0</v>
      </c>
      <c r="K835" t="s">
        <v>229</v>
      </c>
      <c r="L835">
        <v>8</v>
      </c>
      <c r="M835">
        <v>0</v>
      </c>
      <c r="O835" t="s">
        <v>1414</v>
      </c>
      <c r="P835">
        <v>12</v>
      </c>
      <c r="Q83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2C868999</v>
      </c>
      <c r="R835" t="s">
        <v>229</v>
      </c>
      <c r="S83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36" spans="1:19" x14ac:dyDescent="0.25">
      <c r="A836" t="s">
        <v>1415</v>
      </c>
      <c r="B836">
        <v>202005</v>
      </c>
      <c r="C836" t="s">
        <v>1395</v>
      </c>
      <c r="D836" t="s">
        <v>1396</v>
      </c>
      <c r="E836">
        <v>419.76</v>
      </c>
      <c r="F836">
        <v>0</v>
      </c>
      <c r="G836" s="2">
        <v>100</v>
      </c>
      <c r="H836">
        <v>0</v>
      </c>
      <c r="I836">
        <v>1570</v>
      </c>
      <c r="K836" t="s">
        <v>229</v>
      </c>
      <c r="L836">
        <v>1</v>
      </c>
      <c r="M836">
        <v>0</v>
      </c>
      <c r="N836" t="s">
        <v>259</v>
      </c>
      <c r="O836" t="s">
        <v>1416</v>
      </c>
      <c r="P836">
        <v>12</v>
      </c>
      <c r="Q83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2C871174</v>
      </c>
      <c r="R836" t="s">
        <v>229</v>
      </c>
      <c r="S83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37" spans="1:19" x14ac:dyDescent="0.25">
      <c r="A837" t="s">
        <v>1415</v>
      </c>
      <c r="B837">
        <v>202005</v>
      </c>
      <c r="C837" t="s">
        <v>1417</v>
      </c>
      <c r="D837" t="s">
        <v>1418</v>
      </c>
      <c r="E837">
        <v>451.01</v>
      </c>
      <c r="F837">
        <v>0</v>
      </c>
      <c r="G837" s="2">
        <v>21.6</v>
      </c>
      <c r="H837">
        <v>0</v>
      </c>
      <c r="K837" t="s">
        <v>229</v>
      </c>
      <c r="L837">
        <v>6</v>
      </c>
      <c r="M837">
        <v>0</v>
      </c>
      <c r="N837" t="s">
        <v>259</v>
      </c>
      <c r="O837" t="s">
        <v>1416</v>
      </c>
      <c r="P837">
        <v>12</v>
      </c>
      <c r="Q83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2C871307</v>
      </c>
      <c r="R837" t="s">
        <v>229</v>
      </c>
      <c r="S83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38" spans="1:19" x14ac:dyDescent="0.25">
      <c r="A838" t="s">
        <v>1415</v>
      </c>
      <c r="B838">
        <v>202005</v>
      </c>
      <c r="C838" t="s">
        <v>1399</v>
      </c>
      <c r="D838" t="s">
        <v>1400</v>
      </c>
      <c r="E838">
        <v>436.59</v>
      </c>
      <c r="F838">
        <v>0</v>
      </c>
      <c r="G838" s="2">
        <v>42.1</v>
      </c>
      <c r="H838">
        <v>0</v>
      </c>
      <c r="K838" t="s">
        <v>229</v>
      </c>
      <c r="L838">
        <v>7</v>
      </c>
      <c r="M838">
        <v>0</v>
      </c>
      <c r="N838" t="s">
        <v>259</v>
      </c>
      <c r="O838" t="s">
        <v>1416</v>
      </c>
      <c r="P838">
        <v>12</v>
      </c>
      <c r="Q83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2C871256</v>
      </c>
      <c r="R838" t="s">
        <v>229</v>
      </c>
      <c r="S83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39" spans="1:19" x14ac:dyDescent="0.25">
      <c r="A839" t="s">
        <v>1415</v>
      </c>
      <c r="B839">
        <v>202005</v>
      </c>
      <c r="C839" t="s">
        <v>1388</v>
      </c>
      <c r="D839" t="s">
        <v>1389</v>
      </c>
      <c r="E839">
        <v>47.84</v>
      </c>
      <c r="F839">
        <v>0</v>
      </c>
      <c r="G839" s="2">
        <v>9.3000000000000007</v>
      </c>
      <c r="H839">
        <v>0</v>
      </c>
      <c r="K839" t="s">
        <v>229</v>
      </c>
      <c r="L839">
        <v>7</v>
      </c>
      <c r="M839">
        <v>0</v>
      </c>
      <c r="N839" t="s">
        <v>259</v>
      </c>
      <c r="O839" t="s">
        <v>1416</v>
      </c>
      <c r="P839">
        <v>12</v>
      </c>
      <c r="Q83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2C871297</v>
      </c>
      <c r="R839" t="s">
        <v>229</v>
      </c>
      <c r="S83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40" spans="1:19" x14ac:dyDescent="0.25">
      <c r="A840" t="s">
        <v>1415</v>
      </c>
      <c r="B840">
        <v>202005</v>
      </c>
      <c r="C840" t="s">
        <v>1390</v>
      </c>
      <c r="D840" t="s">
        <v>1391</v>
      </c>
      <c r="E840">
        <v>10</v>
      </c>
      <c r="F840">
        <v>0</v>
      </c>
      <c r="G840" s="2">
        <v>1.7</v>
      </c>
      <c r="H840">
        <v>0</v>
      </c>
      <c r="K840" t="s">
        <v>229</v>
      </c>
      <c r="L840">
        <v>7</v>
      </c>
      <c r="M840">
        <v>0</v>
      </c>
      <c r="N840" t="s">
        <v>259</v>
      </c>
      <c r="O840" t="s">
        <v>1416</v>
      </c>
      <c r="P840">
        <v>12</v>
      </c>
      <c r="Q84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2C871298</v>
      </c>
      <c r="R840" t="s">
        <v>229</v>
      </c>
      <c r="S84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41" spans="1:19" x14ac:dyDescent="0.25">
      <c r="A841" t="s">
        <v>1415</v>
      </c>
      <c r="B841">
        <v>202005</v>
      </c>
      <c r="C841" t="s">
        <v>1405</v>
      </c>
      <c r="D841" t="s">
        <v>1406</v>
      </c>
      <c r="E841">
        <v>36.5</v>
      </c>
      <c r="F841">
        <v>0</v>
      </c>
      <c r="G841" s="2">
        <v>20.8</v>
      </c>
      <c r="H841">
        <v>0</v>
      </c>
      <c r="K841" t="s">
        <v>229</v>
      </c>
      <c r="L841">
        <v>7</v>
      </c>
      <c r="M841">
        <v>0</v>
      </c>
      <c r="N841" t="s">
        <v>259</v>
      </c>
      <c r="O841" t="s">
        <v>1416</v>
      </c>
      <c r="P841">
        <v>12</v>
      </c>
      <c r="Q84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2C871299</v>
      </c>
      <c r="R841" t="s">
        <v>229</v>
      </c>
      <c r="S84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42" spans="1:19" x14ac:dyDescent="0.25">
      <c r="A842" t="s">
        <v>1415</v>
      </c>
      <c r="B842">
        <v>202005</v>
      </c>
      <c r="C842" t="s">
        <v>1298</v>
      </c>
      <c r="D842" t="s">
        <v>1299</v>
      </c>
      <c r="E842">
        <v>0.01</v>
      </c>
      <c r="F842">
        <v>0</v>
      </c>
      <c r="G842" s="2">
        <v>0.3</v>
      </c>
      <c r="H842">
        <v>0</v>
      </c>
      <c r="K842" t="s">
        <v>229</v>
      </c>
      <c r="L842">
        <v>7</v>
      </c>
      <c r="M842">
        <v>0</v>
      </c>
      <c r="N842" t="s">
        <v>259</v>
      </c>
      <c r="O842" t="s">
        <v>1416</v>
      </c>
      <c r="P842">
        <v>12</v>
      </c>
      <c r="Q84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2C871303</v>
      </c>
      <c r="R842" t="s">
        <v>229</v>
      </c>
      <c r="S84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43" spans="1:19" x14ac:dyDescent="0.25">
      <c r="A843" t="s">
        <v>1415</v>
      </c>
      <c r="B843">
        <v>202005</v>
      </c>
      <c r="C843" t="s">
        <v>1290</v>
      </c>
      <c r="D843" t="s">
        <v>1291</v>
      </c>
      <c r="E843">
        <v>190</v>
      </c>
      <c r="F843">
        <v>0</v>
      </c>
      <c r="G843" s="2">
        <v>2.1</v>
      </c>
      <c r="H843">
        <v>0</v>
      </c>
      <c r="I843">
        <v>1570</v>
      </c>
      <c r="K843" t="s">
        <v>229</v>
      </c>
      <c r="L843">
        <v>7</v>
      </c>
      <c r="M843">
        <v>0</v>
      </c>
      <c r="N843" t="s">
        <v>259</v>
      </c>
      <c r="O843" t="s">
        <v>1416</v>
      </c>
      <c r="P843">
        <v>12</v>
      </c>
      <c r="Q84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2C871306</v>
      </c>
      <c r="R843" t="s">
        <v>229</v>
      </c>
      <c r="S84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44" spans="1:19" x14ac:dyDescent="0.25">
      <c r="A844" t="s">
        <v>1415</v>
      </c>
      <c r="B844">
        <v>202005</v>
      </c>
      <c r="C844" t="s">
        <v>56</v>
      </c>
      <c r="D844" t="s">
        <v>246</v>
      </c>
      <c r="E844">
        <v>0</v>
      </c>
      <c r="F844">
        <v>0</v>
      </c>
      <c r="G844" s="2">
        <v>2.1</v>
      </c>
      <c r="H844">
        <v>0</v>
      </c>
      <c r="K844" t="s">
        <v>229</v>
      </c>
      <c r="L844">
        <v>8</v>
      </c>
      <c r="M844">
        <v>0</v>
      </c>
      <c r="O844" t="s">
        <v>1416</v>
      </c>
      <c r="P844">
        <v>12</v>
      </c>
      <c r="Q84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2C878999</v>
      </c>
      <c r="R844" t="s">
        <v>229</v>
      </c>
      <c r="S84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45" spans="1:19" x14ac:dyDescent="0.25">
      <c r="A845" t="s">
        <v>1419</v>
      </c>
      <c r="B845">
        <v>202005</v>
      </c>
      <c r="C845" t="s">
        <v>1412</v>
      </c>
      <c r="D845" t="s">
        <v>1413</v>
      </c>
      <c r="E845">
        <v>268.48</v>
      </c>
      <c r="F845">
        <v>0</v>
      </c>
      <c r="G845" s="2">
        <v>100</v>
      </c>
      <c r="H845">
        <v>0</v>
      </c>
      <c r="I845">
        <v>1570</v>
      </c>
      <c r="K845" t="s">
        <v>229</v>
      </c>
      <c r="L845">
        <v>1</v>
      </c>
      <c r="M845">
        <v>0</v>
      </c>
      <c r="N845" t="s">
        <v>259</v>
      </c>
      <c r="O845" t="s">
        <v>1420</v>
      </c>
      <c r="P845">
        <v>12</v>
      </c>
      <c r="Q84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2C881155</v>
      </c>
      <c r="R845" t="s">
        <v>229</v>
      </c>
      <c r="S84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46" spans="1:19" x14ac:dyDescent="0.25">
      <c r="A846" t="s">
        <v>1419</v>
      </c>
      <c r="B846">
        <v>202005</v>
      </c>
      <c r="C846" t="s">
        <v>1399</v>
      </c>
      <c r="D846" t="s">
        <v>1400</v>
      </c>
      <c r="E846">
        <v>436.59</v>
      </c>
      <c r="F846">
        <v>0</v>
      </c>
      <c r="G846" s="2">
        <v>70.2</v>
      </c>
      <c r="H846">
        <v>0</v>
      </c>
      <c r="K846" t="s">
        <v>229</v>
      </c>
      <c r="L846">
        <v>6</v>
      </c>
      <c r="M846">
        <v>0</v>
      </c>
      <c r="N846" t="s">
        <v>259</v>
      </c>
      <c r="O846" t="s">
        <v>1420</v>
      </c>
      <c r="P846">
        <v>12</v>
      </c>
      <c r="Q84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2C881256</v>
      </c>
      <c r="R846" t="s">
        <v>229</v>
      </c>
      <c r="S84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47" spans="1:19" x14ac:dyDescent="0.25">
      <c r="A847" t="s">
        <v>1419</v>
      </c>
      <c r="B847">
        <v>202005</v>
      </c>
      <c r="C847" t="s">
        <v>5</v>
      </c>
      <c r="D847" t="s">
        <v>59</v>
      </c>
      <c r="E847">
        <v>8.56</v>
      </c>
      <c r="F847">
        <v>0</v>
      </c>
      <c r="G847" s="2">
        <v>23.8</v>
      </c>
      <c r="H847">
        <v>0</v>
      </c>
      <c r="K847" t="s">
        <v>229</v>
      </c>
      <c r="L847">
        <v>7</v>
      </c>
      <c r="M847">
        <v>0</v>
      </c>
      <c r="N847" t="s">
        <v>259</v>
      </c>
      <c r="O847" t="s">
        <v>1420</v>
      </c>
      <c r="P847">
        <v>12</v>
      </c>
      <c r="Q84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2C881231</v>
      </c>
      <c r="R847" t="s">
        <v>229</v>
      </c>
      <c r="S84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48" spans="1:19" x14ac:dyDescent="0.25">
      <c r="A848" t="s">
        <v>1419</v>
      </c>
      <c r="B848">
        <v>202005</v>
      </c>
      <c r="C848" t="s">
        <v>312</v>
      </c>
      <c r="D848" t="s">
        <v>332</v>
      </c>
      <c r="E848">
        <v>100</v>
      </c>
      <c r="F848">
        <v>0</v>
      </c>
      <c r="G848" s="2">
        <v>4</v>
      </c>
      <c r="H848">
        <v>0</v>
      </c>
      <c r="I848">
        <v>1570</v>
      </c>
      <c r="K848" t="s">
        <v>229</v>
      </c>
      <c r="L848">
        <v>7</v>
      </c>
      <c r="M848">
        <v>0</v>
      </c>
      <c r="N848" t="s">
        <v>259</v>
      </c>
      <c r="O848" t="s">
        <v>1420</v>
      </c>
      <c r="P848">
        <v>12</v>
      </c>
      <c r="Q84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2C881249</v>
      </c>
      <c r="R848" t="s">
        <v>229</v>
      </c>
      <c r="S84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49" spans="1:19" x14ac:dyDescent="0.25">
      <c r="A849" t="s">
        <v>1419</v>
      </c>
      <c r="B849">
        <v>202005</v>
      </c>
      <c r="C849" t="s">
        <v>56</v>
      </c>
      <c r="D849" t="s">
        <v>246</v>
      </c>
      <c r="E849">
        <v>0</v>
      </c>
      <c r="F849">
        <v>0</v>
      </c>
      <c r="G849" s="2">
        <v>2</v>
      </c>
      <c r="H849">
        <v>0</v>
      </c>
      <c r="K849" t="s">
        <v>229</v>
      </c>
      <c r="L849">
        <v>8</v>
      </c>
      <c r="M849">
        <v>0</v>
      </c>
      <c r="O849" t="s">
        <v>1420</v>
      </c>
      <c r="P849">
        <v>12</v>
      </c>
      <c r="Q84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2C888999</v>
      </c>
      <c r="R849" t="s">
        <v>229</v>
      </c>
      <c r="S84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50" spans="1:19" x14ac:dyDescent="0.25">
      <c r="A850" t="s">
        <v>1421</v>
      </c>
      <c r="B850">
        <v>202005</v>
      </c>
      <c r="C850" t="s">
        <v>1412</v>
      </c>
      <c r="D850" t="s">
        <v>1413</v>
      </c>
      <c r="E850">
        <v>268.48</v>
      </c>
      <c r="F850">
        <v>0</v>
      </c>
      <c r="G850" s="2">
        <v>100</v>
      </c>
      <c r="H850">
        <v>0</v>
      </c>
      <c r="I850">
        <v>1570</v>
      </c>
      <c r="K850" t="s">
        <v>229</v>
      </c>
      <c r="L850">
        <v>1</v>
      </c>
      <c r="M850">
        <v>0</v>
      </c>
      <c r="N850" t="s">
        <v>259</v>
      </c>
      <c r="O850" t="s">
        <v>1422</v>
      </c>
      <c r="P850">
        <v>12</v>
      </c>
      <c r="Q85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2C891155</v>
      </c>
      <c r="R850" t="s">
        <v>229</v>
      </c>
      <c r="S85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51" spans="1:19" x14ac:dyDescent="0.25">
      <c r="A851" t="s">
        <v>1421</v>
      </c>
      <c r="B851">
        <v>202005</v>
      </c>
      <c r="C851" t="s">
        <v>1399</v>
      </c>
      <c r="D851" t="s">
        <v>1400</v>
      </c>
      <c r="E851">
        <v>436.59</v>
      </c>
      <c r="F851">
        <v>0</v>
      </c>
      <c r="G851" s="2">
        <v>65</v>
      </c>
      <c r="H851">
        <v>0</v>
      </c>
      <c r="K851" t="s">
        <v>229</v>
      </c>
      <c r="L851">
        <v>6</v>
      </c>
      <c r="M851">
        <v>0</v>
      </c>
      <c r="N851" t="s">
        <v>259</v>
      </c>
      <c r="O851" t="s">
        <v>1422</v>
      </c>
      <c r="P851">
        <v>12</v>
      </c>
      <c r="Q85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2C891256</v>
      </c>
      <c r="R851" t="s">
        <v>229</v>
      </c>
      <c r="S85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52" spans="1:19" x14ac:dyDescent="0.25">
      <c r="A852" t="s">
        <v>1421</v>
      </c>
      <c r="B852">
        <v>202005</v>
      </c>
      <c r="C852" t="s">
        <v>143</v>
      </c>
      <c r="D852" t="s">
        <v>264</v>
      </c>
      <c r="E852">
        <v>210</v>
      </c>
      <c r="F852">
        <v>0</v>
      </c>
      <c r="G852" s="2">
        <v>2.4</v>
      </c>
      <c r="H852">
        <v>0</v>
      </c>
      <c r="K852" t="s">
        <v>229</v>
      </c>
      <c r="L852">
        <v>7</v>
      </c>
      <c r="M852">
        <v>0</v>
      </c>
      <c r="N852" t="s">
        <v>259</v>
      </c>
      <c r="O852" t="s">
        <v>1422</v>
      </c>
      <c r="P852">
        <v>12</v>
      </c>
      <c r="Q85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2C891195</v>
      </c>
      <c r="R852" t="s">
        <v>229</v>
      </c>
      <c r="S85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53" spans="1:19" x14ac:dyDescent="0.25">
      <c r="A853" t="s">
        <v>1421</v>
      </c>
      <c r="B853">
        <v>202005</v>
      </c>
      <c r="C853" t="s">
        <v>5</v>
      </c>
      <c r="D853" t="s">
        <v>59</v>
      </c>
      <c r="E853">
        <v>8.56</v>
      </c>
      <c r="F853">
        <v>0</v>
      </c>
      <c r="G853" s="2">
        <v>21.8</v>
      </c>
      <c r="H853">
        <v>0</v>
      </c>
      <c r="K853" t="s">
        <v>229</v>
      </c>
      <c r="L853">
        <v>7</v>
      </c>
      <c r="M853">
        <v>0</v>
      </c>
      <c r="N853" t="s">
        <v>259</v>
      </c>
      <c r="O853" t="s">
        <v>1422</v>
      </c>
      <c r="P853">
        <v>12</v>
      </c>
      <c r="Q85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2C891231</v>
      </c>
      <c r="R853" t="s">
        <v>229</v>
      </c>
      <c r="S85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54" spans="1:19" x14ac:dyDescent="0.25">
      <c r="A854" t="s">
        <v>1421</v>
      </c>
      <c r="B854">
        <v>202005</v>
      </c>
      <c r="C854" t="s">
        <v>312</v>
      </c>
      <c r="D854" t="s">
        <v>332</v>
      </c>
      <c r="E854">
        <v>100</v>
      </c>
      <c r="F854">
        <v>0</v>
      </c>
      <c r="G854" s="2">
        <v>6.1</v>
      </c>
      <c r="H854">
        <v>0</v>
      </c>
      <c r="K854" t="s">
        <v>229</v>
      </c>
      <c r="L854">
        <v>7</v>
      </c>
      <c r="M854">
        <v>0</v>
      </c>
      <c r="N854" t="s">
        <v>259</v>
      </c>
      <c r="O854" t="s">
        <v>1422</v>
      </c>
      <c r="P854">
        <v>12</v>
      </c>
      <c r="Q85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2C891249</v>
      </c>
      <c r="R854" t="s">
        <v>229</v>
      </c>
      <c r="S85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55" spans="1:19" x14ac:dyDescent="0.25">
      <c r="A855" t="s">
        <v>1421</v>
      </c>
      <c r="B855">
        <v>202005</v>
      </c>
      <c r="C855" t="s">
        <v>1423</v>
      </c>
      <c r="D855" t="s">
        <v>1424</v>
      </c>
      <c r="E855">
        <v>70</v>
      </c>
      <c r="F855">
        <v>0</v>
      </c>
      <c r="G855" s="2">
        <v>2.6</v>
      </c>
      <c r="H855">
        <v>0</v>
      </c>
      <c r="I855">
        <v>1570</v>
      </c>
      <c r="K855" t="s">
        <v>229</v>
      </c>
      <c r="L855">
        <v>7</v>
      </c>
      <c r="M855">
        <v>0</v>
      </c>
      <c r="N855" t="s">
        <v>259</v>
      </c>
      <c r="O855" t="s">
        <v>1422</v>
      </c>
      <c r="P855">
        <v>12</v>
      </c>
      <c r="Q85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2C891312</v>
      </c>
      <c r="R855" t="s">
        <v>229</v>
      </c>
      <c r="S85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56" spans="1:19" x14ac:dyDescent="0.25">
      <c r="A856" t="s">
        <v>1421</v>
      </c>
      <c r="B856">
        <v>202005</v>
      </c>
      <c r="C856" t="s">
        <v>56</v>
      </c>
      <c r="D856" t="s">
        <v>246</v>
      </c>
      <c r="E856">
        <v>0</v>
      </c>
      <c r="F856">
        <v>0</v>
      </c>
      <c r="G856" s="2">
        <v>2.1</v>
      </c>
      <c r="H856">
        <v>0</v>
      </c>
      <c r="K856" t="s">
        <v>229</v>
      </c>
      <c r="L856">
        <v>8</v>
      </c>
      <c r="M856">
        <v>0</v>
      </c>
      <c r="O856" t="s">
        <v>1422</v>
      </c>
      <c r="P856">
        <v>12</v>
      </c>
      <c r="Q85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2C898999</v>
      </c>
      <c r="R856" t="s">
        <v>229</v>
      </c>
      <c r="S85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57" spans="1:19" x14ac:dyDescent="0.25">
      <c r="A857" t="s">
        <v>1425</v>
      </c>
      <c r="B857">
        <v>202005</v>
      </c>
      <c r="C857" t="s">
        <v>1412</v>
      </c>
      <c r="D857" t="s">
        <v>1413</v>
      </c>
      <c r="E857">
        <v>268.48</v>
      </c>
      <c r="F857">
        <v>0</v>
      </c>
      <c r="G857" s="2">
        <v>100</v>
      </c>
      <c r="H857">
        <v>0</v>
      </c>
      <c r="I857">
        <v>1570</v>
      </c>
      <c r="K857" t="s">
        <v>229</v>
      </c>
      <c r="L857">
        <v>1</v>
      </c>
      <c r="M857">
        <v>0</v>
      </c>
      <c r="N857" t="s">
        <v>259</v>
      </c>
      <c r="O857" t="s">
        <v>1426</v>
      </c>
      <c r="P857">
        <v>12</v>
      </c>
      <c r="Q85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2C901155</v>
      </c>
      <c r="R857" t="s">
        <v>229</v>
      </c>
      <c r="S85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58" spans="1:19" x14ac:dyDescent="0.25">
      <c r="A858" t="s">
        <v>1425</v>
      </c>
      <c r="B858">
        <v>202005</v>
      </c>
      <c r="C858" t="s">
        <v>1399</v>
      </c>
      <c r="D858" t="s">
        <v>1400</v>
      </c>
      <c r="E858">
        <v>436.59</v>
      </c>
      <c r="F858">
        <v>0</v>
      </c>
      <c r="G858" s="2">
        <v>44.4</v>
      </c>
      <c r="H858">
        <v>0</v>
      </c>
      <c r="K858" t="s">
        <v>229</v>
      </c>
      <c r="L858">
        <v>6</v>
      </c>
      <c r="M858">
        <v>0</v>
      </c>
      <c r="N858" t="s">
        <v>259</v>
      </c>
      <c r="O858" t="s">
        <v>1426</v>
      </c>
      <c r="P858">
        <v>12</v>
      </c>
      <c r="Q85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2C901256</v>
      </c>
      <c r="R858" t="s">
        <v>229</v>
      </c>
      <c r="S85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59" spans="1:19" x14ac:dyDescent="0.25">
      <c r="A859" t="s">
        <v>1425</v>
      </c>
      <c r="B859">
        <v>202005</v>
      </c>
      <c r="C859" t="s">
        <v>143</v>
      </c>
      <c r="D859" t="s">
        <v>264</v>
      </c>
      <c r="E859">
        <v>210</v>
      </c>
      <c r="F859">
        <v>0</v>
      </c>
      <c r="G859" s="2">
        <v>15.3</v>
      </c>
      <c r="H859">
        <v>0</v>
      </c>
      <c r="K859" t="s">
        <v>229</v>
      </c>
      <c r="L859">
        <v>7</v>
      </c>
      <c r="M859">
        <v>0</v>
      </c>
      <c r="N859" t="s">
        <v>259</v>
      </c>
      <c r="O859" t="s">
        <v>1426</v>
      </c>
      <c r="P859">
        <v>12</v>
      </c>
      <c r="Q85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2C901195</v>
      </c>
      <c r="R859" t="s">
        <v>229</v>
      </c>
      <c r="S85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60" spans="1:19" x14ac:dyDescent="0.25">
      <c r="A860" t="s">
        <v>1425</v>
      </c>
      <c r="B860">
        <v>202005</v>
      </c>
      <c r="C860" t="s">
        <v>5</v>
      </c>
      <c r="D860" t="s">
        <v>59</v>
      </c>
      <c r="E860">
        <v>8.56</v>
      </c>
      <c r="F860">
        <v>0</v>
      </c>
      <c r="G860" s="2">
        <v>13</v>
      </c>
      <c r="H860">
        <v>0</v>
      </c>
      <c r="K860" t="s">
        <v>229</v>
      </c>
      <c r="L860">
        <v>7</v>
      </c>
      <c r="M860">
        <v>0</v>
      </c>
      <c r="N860" t="s">
        <v>259</v>
      </c>
      <c r="O860" t="s">
        <v>1426</v>
      </c>
      <c r="P860">
        <v>12</v>
      </c>
      <c r="Q86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2C901231</v>
      </c>
      <c r="R860" t="s">
        <v>229</v>
      </c>
      <c r="S86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61" spans="1:19" x14ac:dyDescent="0.25">
      <c r="A861" t="s">
        <v>1425</v>
      </c>
      <c r="B861">
        <v>202005</v>
      </c>
      <c r="C861" t="s">
        <v>312</v>
      </c>
      <c r="D861" t="s">
        <v>332</v>
      </c>
      <c r="E861">
        <v>100</v>
      </c>
      <c r="F861">
        <v>0</v>
      </c>
      <c r="G861" s="2">
        <v>3.1</v>
      </c>
      <c r="H861">
        <v>0</v>
      </c>
      <c r="K861" t="s">
        <v>229</v>
      </c>
      <c r="L861">
        <v>7</v>
      </c>
      <c r="M861">
        <v>0</v>
      </c>
      <c r="N861" t="s">
        <v>259</v>
      </c>
      <c r="O861" t="s">
        <v>1426</v>
      </c>
      <c r="P861">
        <v>12</v>
      </c>
      <c r="Q86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2C901249</v>
      </c>
      <c r="R861" t="s">
        <v>229</v>
      </c>
      <c r="S86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62" spans="1:19" x14ac:dyDescent="0.25">
      <c r="A862" t="s">
        <v>1425</v>
      </c>
      <c r="B862">
        <v>202005</v>
      </c>
      <c r="C862" t="s">
        <v>1290</v>
      </c>
      <c r="D862" t="s">
        <v>1291</v>
      </c>
      <c r="E862">
        <v>190</v>
      </c>
      <c r="F862">
        <v>0</v>
      </c>
      <c r="G862" s="2">
        <v>3</v>
      </c>
      <c r="H862">
        <v>0</v>
      </c>
      <c r="K862" t="s">
        <v>229</v>
      </c>
      <c r="L862">
        <v>7</v>
      </c>
      <c r="M862">
        <v>0</v>
      </c>
      <c r="N862" t="s">
        <v>259</v>
      </c>
      <c r="O862" t="s">
        <v>1426</v>
      </c>
      <c r="P862">
        <v>12</v>
      </c>
      <c r="Q86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2C901306</v>
      </c>
      <c r="R862" t="s">
        <v>229</v>
      </c>
      <c r="S86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63" spans="1:19" x14ac:dyDescent="0.25">
      <c r="A863" t="s">
        <v>1425</v>
      </c>
      <c r="B863">
        <v>202005</v>
      </c>
      <c r="C863" t="s">
        <v>1417</v>
      </c>
      <c r="D863" t="s">
        <v>1418</v>
      </c>
      <c r="E863">
        <v>451.01</v>
      </c>
      <c r="F863">
        <v>0</v>
      </c>
      <c r="G863" s="2">
        <v>19.3</v>
      </c>
      <c r="H863">
        <v>0</v>
      </c>
      <c r="I863">
        <v>1570</v>
      </c>
      <c r="K863" t="s">
        <v>229</v>
      </c>
      <c r="L863">
        <v>7</v>
      </c>
      <c r="M863">
        <v>0</v>
      </c>
      <c r="N863" t="s">
        <v>259</v>
      </c>
      <c r="O863" t="s">
        <v>1426</v>
      </c>
      <c r="P863">
        <v>12</v>
      </c>
      <c r="Q86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2C901307</v>
      </c>
      <c r="R863" t="s">
        <v>229</v>
      </c>
      <c r="S86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64" spans="1:19" x14ac:dyDescent="0.25">
      <c r="A864" t="s">
        <v>1425</v>
      </c>
      <c r="B864">
        <v>202005</v>
      </c>
      <c r="C864" t="s">
        <v>56</v>
      </c>
      <c r="D864" t="s">
        <v>246</v>
      </c>
      <c r="E864">
        <v>0</v>
      </c>
      <c r="F864">
        <v>0</v>
      </c>
      <c r="G864" s="2">
        <v>1.9</v>
      </c>
      <c r="H864">
        <v>0</v>
      </c>
      <c r="K864" t="s">
        <v>229</v>
      </c>
      <c r="L864">
        <v>8</v>
      </c>
      <c r="M864">
        <v>0</v>
      </c>
      <c r="O864" t="s">
        <v>1426</v>
      </c>
      <c r="P864">
        <v>12</v>
      </c>
      <c r="Q86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2C908999</v>
      </c>
      <c r="R864" t="s">
        <v>229</v>
      </c>
      <c r="S86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65" spans="1:19" x14ac:dyDescent="0.25">
      <c r="A865" t="s">
        <v>1427</v>
      </c>
      <c r="B865">
        <v>202005</v>
      </c>
      <c r="C865" t="s">
        <v>1412</v>
      </c>
      <c r="D865" t="s">
        <v>1413</v>
      </c>
      <c r="E865">
        <v>268.48</v>
      </c>
      <c r="F865">
        <v>0</v>
      </c>
      <c r="G865" s="2">
        <v>100</v>
      </c>
      <c r="H865">
        <v>0</v>
      </c>
      <c r="I865">
        <v>1570</v>
      </c>
      <c r="K865" t="s">
        <v>229</v>
      </c>
      <c r="L865">
        <v>1</v>
      </c>
      <c r="M865">
        <v>0</v>
      </c>
      <c r="N865" t="s">
        <v>259</v>
      </c>
      <c r="O865" t="s">
        <v>1428</v>
      </c>
      <c r="P865">
        <v>12</v>
      </c>
      <c r="Q86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2C911155</v>
      </c>
      <c r="R865" t="s">
        <v>229</v>
      </c>
      <c r="S86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66" spans="1:19" x14ac:dyDescent="0.25">
      <c r="A866" t="s">
        <v>1427</v>
      </c>
      <c r="B866">
        <v>202005</v>
      </c>
      <c r="C866" t="s">
        <v>1399</v>
      </c>
      <c r="D866" t="s">
        <v>1400</v>
      </c>
      <c r="E866">
        <v>436.59</v>
      </c>
      <c r="F866">
        <v>0</v>
      </c>
      <c r="G866" s="2">
        <v>59.84</v>
      </c>
      <c r="H866">
        <v>0</v>
      </c>
      <c r="K866" t="s">
        <v>229</v>
      </c>
      <c r="L866">
        <v>6</v>
      </c>
      <c r="M866">
        <v>0</v>
      </c>
      <c r="N866" t="s">
        <v>259</v>
      </c>
      <c r="O866" t="s">
        <v>1428</v>
      </c>
      <c r="P866">
        <v>12</v>
      </c>
      <c r="Q86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2C911256</v>
      </c>
      <c r="R866" t="s">
        <v>229</v>
      </c>
      <c r="S86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67" spans="1:19" x14ac:dyDescent="0.25">
      <c r="A867" t="s">
        <v>1427</v>
      </c>
      <c r="B867">
        <v>202005</v>
      </c>
      <c r="C867" t="s">
        <v>143</v>
      </c>
      <c r="D867" t="s">
        <v>264</v>
      </c>
      <c r="E867">
        <v>210</v>
      </c>
      <c r="F867">
        <v>0</v>
      </c>
      <c r="G867" s="2">
        <v>16.2</v>
      </c>
      <c r="H867">
        <v>0</v>
      </c>
      <c r="K867" t="s">
        <v>229</v>
      </c>
      <c r="L867">
        <v>7</v>
      </c>
      <c r="M867">
        <v>0</v>
      </c>
      <c r="N867" t="s">
        <v>259</v>
      </c>
      <c r="O867" t="s">
        <v>1428</v>
      </c>
      <c r="P867">
        <v>12</v>
      </c>
      <c r="Q86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2C911195</v>
      </c>
      <c r="R867" t="s">
        <v>229</v>
      </c>
      <c r="S86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68" spans="1:19" x14ac:dyDescent="0.25">
      <c r="A868" t="s">
        <v>1427</v>
      </c>
      <c r="B868">
        <v>202005</v>
      </c>
      <c r="C868" t="s">
        <v>5</v>
      </c>
      <c r="D868" t="s">
        <v>59</v>
      </c>
      <c r="E868">
        <v>8.56</v>
      </c>
      <c r="F868">
        <v>0</v>
      </c>
      <c r="G868" s="2">
        <v>22.23</v>
      </c>
      <c r="H868">
        <v>0</v>
      </c>
      <c r="K868" t="s">
        <v>229</v>
      </c>
      <c r="L868">
        <v>7</v>
      </c>
      <c r="M868">
        <v>0</v>
      </c>
      <c r="N868" t="s">
        <v>259</v>
      </c>
      <c r="O868" t="s">
        <v>1428</v>
      </c>
      <c r="P868">
        <v>12</v>
      </c>
      <c r="Q86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2C911231</v>
      </c>
      <c r="R868" t="s">
        <v>229</v>
      </c>
      <c r="S86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69" spans="1:19" x14ac:dyDescent="0.25">
      <c r="A869" t="s">
        <v>1427</v>
      </c>
      <c r="B869">
        <v>202005</v>
      </c>
      <c r="C869" t="s">
        <v>312</v>
      </c>
      <c r="D869" t="s">
        <v>332</v>
      </c>
      <c r="E869">
        <v>100</v>
      </c>
      <c r="F869">
        <v>0</v>
      </c>
      <c r="G869" s="2">
        <v>1.39</v>
      </c>
      <c r="H869">
        <v>0</v>
      </c>
      <c r="I869">
        <v>1570</v>
      </c>
      <c r="K869" t="s">
        <v>229</v>
      </c>
      <c r="L869">
        <v>7</v>
      </c>
      <c r="M869">
        <v>0</v>
      </c>
      <c r="N869" t="s">
        <v>259</v>
      </c>
      <c r="O869" t="s">
        <v>1428</v>
      </c>
      <c r="P869">
        <v>12</v>
      </c>
      <c r="Q86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2C911249</v>
      </c>
      <c r="R869" t="s">
        <v>229</v>
      </c>
      <c r="S86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70" spans="1:19" x14ac:dyDescent="0.25">
      <c r="A870" t="s">
        <v>1427</v>
      </c>
      <c r="B870">
        <v>202005</v>
      </c>
      <c r="C870" t="s">
        <v>56</v>
      </c>
      <c r="D870" t="s">
        <v>246</v>
      </c>
      <c r="E870">
        <v>0</v>
      </c>
      <c r="F870">
        <v>0</v>
      </c>
      <c r="G870" s="2">
        <v>0.34</v>
      </c>
      <c r="H870">
        <v>0</v>
      </c>
      <c r="K870" t="s">
        <v>229</v>
      </c>
      <c r="L870">
        <v>8</v>
      </c>
      <c r="M870">
        <v>0</v>
      </c>
      <c r="O870" t="s">
        <v>1428</v>
      </c>
      <c r="P870">
        <v>12</v>
      </c>
      <c r="Q87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2C918999</v>
      </c>
      <c r="R870" t="s">
        <v>229</v>
      </c>
      <c r="S87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71" spans="1:19" x14ac:dyDescent="0.25">
      <c r="A871" t="s">
        <v>1429</v>
      </c>
      <c r="B871">
        <v>202005</v>
      </c>
      <c r="C871" t="s">
        <v>1412</v>
      </c>
      <c r="D871" t="s">
        <v>1413</v>
      </c>
      <c r="E871">
        <v>268.48</v>
      </c>
      <c r="F871">
        <v>0</v>
      </c>
      <c r="G871" s="2">
        <v>100</v>
      </c>
      <c r="H871">
        <v>0</v>
      </c>
      <c r="I871">
        <v>1570</v>
      </c>
      <c r="K871" t="s">
        <v>229</v>
      </c>
      <c r="L871">
        <v>1</v>
      </c>
      <c r="M871">
        <v>0</v>
      </c>
      <c r="N871" t="s">
        <v>259</v>
      </c>
      <c r="O871" t="s">
        <v>1430</v>
      </c>
      <c r="P871">
        <v>12</v>
      </c>
      <c r="Q87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2C921155</v>
      </c>
      <c r="R871" t="s">
        <v>229</v>
      </c>
      <c r="S87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72" spans="1:19" x14ac:dyDescent="0.25">
      <c r="A872" t="s">
        <v>1429</v>
      </c>
      <c r="B872">
        <v>202005</v>
      </c>
      <c r="C872" t="s">
        <v>132</v>
      </c>
      <c r="D872" t="s">
        <v>234</v>
      </c>
      <c r="E872">
        <v>981.68124</v>
      </c>
      <c r="F872">
        <v>0</v>
      </c>
      <c r="G872" s="2">
        <v>68.22</v>
      </c>
      <c r="H872">
        <v>0</v>
      </c>
      <c r="K872" t="s">
        <v>229</v>
      </c>
      <c r="L872">
        <v>6</v>
      </c>
      <c r="M872">
        <v>0</v>
      </c>
      <c r="N872" t="s">
        <v>259</v>
      </c>
      <c r="O872" t="s">
        <v>1430</v>
      </c>
      <c r="P872">
        <v>12</v>
      </c>
      <c r="Q87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2C921199</v>
      </c>
      <c r="R872" t="s">
        <v>229</v>
      </c>
      <c r="S87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73" spans="1:19" x14ac:dyDescent="0.25">
      <c r="A873" t="s">
        <v>1429</v>
      </c>
      <c r="B873">
        <v>202005</v>
      </c>
      <c r="C873" t="s">
        <v>143</v>
      </c>
      <c r="D873" t="s">
        <v>264</v>
      </c>
      <c r="E873">
        <v>210</v>
      </c>
      <c r="F873">
        <v>0</v>
      </c>
      <c r="G873" s="2">
        <v>12.35</v>
      </c>
      <c r="H873">
        <v>0</v>
      </c>
      <c r="K873" t="s">
        <v>229</v>
      </c>
      <c r="L873">
        <v>7</v>
      </c>
      <c r="M873">
        <v>0</v>
      </c>
      <c r="N873" t="s">
        <v>259</v>
      </c>
      <c r="O873" t="s">
        <v>1430</v>
      </c>
      <c r="P873">
        <v>12</v>
      </c>
      <c r="Q87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2C921195</v>
      </c>
      <c r="R873" t="s">
        <v>229</v>
      </c>
      <c r="S87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74" spans="1:19" x14ac:dyDescent="0.25">
      <c r="A874" t="s">
        <v>1429</v>
      </c>
      <c r="B874">
        <v>202005</v>
      </c>
      <c r="C874" t="s">
        <v>5</v>
      </c>
      <c r="D874" t="s">
        <v>59</v>
      </c>
      <c r="E874">
        <v>8.56</v>
      </c>
      <c r="F874">
        <v>0</v>
      </c>
      <c r="G874" s="2">
        <v>16.64</v>
      </c>
      <c r="H874">
        <v>0</v>
      </c>
      <c r="K874" t="s">
        <v>229</v>
      </c>
      <c r="L874">
        <v>7</v>
      </c>
      <c r="M874">
        <v>0</v>
      </c>
      <c r="N874" t="s">
        <v>259</v>
      </c>
      <c r="O874" t="s">
        <v>1430</v>
      </c>
      <c r="P874">
        <v>12</v>
      </c>
      <c r="Q87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2C921231</v>
      </c>
      <c r="R874" t="s">
        <v>229</v>
      </c>
      <c r="S87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75" spans="1:19" x14ac:dyDescent="0.25">
      <c r="A875" t="s">
        <v>1429</v>
      </c>
      <c r="B875">
        <v>202005</v>
      </c>
      <c r="C875" t="s">
        <v>312</v>
      </c>
      <c r="D875" t="s">
        <v>332</v>
      </c>
      <c r="E875">
        <v>100</v>
      </c>
      <c r="F875">
        <v>0</v>
      </c>
      <c r="G875" s="2">
        <v>1.99</v>
      </c>
      <c r="H875">
        <v>0</v>
      </c>
      <c r="I875">
        <v>1570</v>
      </c>
      <c r="K875" t="s">
        <v>229</v>
      </c>
      <c r="L875">
        <v>7</v>
      </c>
      <c r="M875">
        <v>0</v>
      </c>
      <c r="N875" t="s">
        <v>259</v>
      </c>
      <c r="O875" t="s">
        <v>1430</v>
      </c>
      <c r="P875">
        <v>12</v>
      </c>
      <c r="Q87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2C921249</v>
      </c>
      <c r="R875" t="s">
        <v>229</v>
      </c>
      <c r="S87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76" spans="1:19" x14ac:dyDescent="0.25">
      <c r="A876" t="s">
        <v>1429</v>
      </c>
      <c r="B876">
        <v>202005</v>
      </c>
      <c r="C876" t="s">
        <v>56</v>
      </c>
      <c r="D876" t="s">
        <v>246</v>
      </c>
      <c r="E876">
        <v>0</v>
      </c>
      <c r="F876">
        <v>0</v>
      </c>
      <c r="G876" s="2">
        <v>0.8</v>
      </c>
      <c r="H876">
        <v>0</v>
      </c>
      <c r="K876" t="s">
        <v>229</v>
      </c>
      <c r="L876">
        <v>8</v>
      </c>
      <c r="M876">
        <v>0</v>
      </c>
      <c r="O876" t="s">
        <v>1430</v>
      </c>
      <c r="P876">
        <v>12</v>
      </c>
      <c r="Q87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2C928999</v>
      </c>
      <c r="R876" t="s">
        <v>229</v>
      </c>
      <c r="S87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77" spans="1:19" x14ac:dyDescent="0.25">
      <c r="A877" t="s">
        <v>1431</v>
      </c>
      <c r="B877">
        <v>202005</v>
      </c>
      <c r="C877" t="s">
        <v>1432</v>
      </c>
      <c r="D877" t="s">
        <v>1433</v>
      </c>
      <c r="E877">
        <v>268.48</v>
      </c>
      <c r="F877">
        <v>0</v>
      </c>
      <c r="G877" s="2">
        <v>100</v>
      </c>
      <c r="H877">
        <v>0</v>
      </c>
      <c r="I877">
        <v>1570</v>
      </c>
      <c r="K877" t="s">
        <v>229</v>
      </c>
      <c r="L877">
        <v>1</v>
      </c>
      <c r="M877">
        <v>0</v>
      </c>
      <c r="N877" t="s">
        <v>259</v>
      </c>
      <c r="O877" t="s">
        <v>1434</v>
      </c>
      <c r="P877">
        <v>12</v>
      </c>
      <c r="Q87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2C931099</v>
      </c>
      <c r="R877" t="s">
        <v>229</v>
      </c>
      <c r="S87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78" spans="1:19" x14ac:dyDescent="0.25">
      <c r="A878" t="s">
        <v>1431</v>
      </c>
      <c r="B878">
        <v>202005</v>
      </c>
      <c r="C878" t="s">
        <v>1435</v>
      </c>
      <c r="D878" t="s">
        <v>1436</v>
      </c>
      <c r="E878">
        <v>282.33999999999997</v>
      </c>
      <c r="F878">
        <v>0</v>
      </c>
      <c r="G878" s="2">
        <v>57</v>
      </c>
      <c r="H878">
        <v>60</v>
      </c>
      <c r="K878" t="s">
        <v>229</v>
      </c>
      <c r="L878">
        <v>6</v>
      </c>
      <c r="M878">
        <v>0</v>
      </c>
      <c r="N878" t="s">
        <v>259</v>
      </c>
      <c r="O878" t="s">
        <v>1434</v>
      </c>
      <c r="P878">
        <v>12</v>
      </c>
      <c r="Q87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2C931179</v>
      </c>
      <c r="R878" t="s">
        <v>229</v>
      </c>
      <c r="S87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79" spans="1:19" x14ac:dyDescent="0.25">
      <c r="A879" t="s">
        <v>1431</v>
      </c>
      <c r="B879">
        <v>202005</v>
      </c>
      <c r="C879" t="s">
        <v>1437</v>
      </c>
      <c r="D879" t="s">
        <v>1438</v>
      </c>
      <c r="E879">
        <v>275.10000000000002</v>
      </c>
      <c r="F879">
        <v>0</v>
      </c>
      <c r="G879" s="2">
        <v>39</v>
      </c>
      <c r="H879">
        <v>40</v>
      </c>
      <c r="K879" t="s">
        <v>229</v>
      </c>
      <c r="L879">
        <v>7</v>
      </c>
      <c r="M879">
        <v>0</v>
      </c>
      <c r="N879" t="s">
        <v>259</v>
      </c>
      <c r="O879" t="s">
        <v>1434</v>
      </c>
      <c r="P879">
        <v>12</v>
      </c>
      <c r="Q87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2C931180</v>
      </c>
      <c r="R879" t="s">
        <v>229</v>
      </c>
      <c r="S87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80" spans="1:19" x14ac:dyDescent="0.25">
      <c r="A880" t="s">
        <v>1431</v>
      </c>
      <c r="B880">
        <v>202005</v>
      </c>
      <c r="C880" t="s">
        <v>5</v>
      </c>
      <c r="D880" t="s">
        <v>59</v>
      </c>
      <c r="E880">
        <v>8.56</v>
      </c>
      <c r="F880">
        <v>0</v>
      </c>
      <c r="G880" s="2">
        <v>5.5</v>
      </c>
      <c r="H880">
        <v>0</v>
      </c>
      <c r="I880">
        <v>1570</v>
      </c>
      <c r="K880" t="s">
        <v>229</v>
      </c>
      <c r="L880">
        <v>7</v>
      </c>
      <c r="M880">
        <v>0</v>
      </c>
      <c r="N880" t="s">
        <v>259</v>
      </c>
      <c r="O880" t="s">
        <v>1434</v>
      </c>
      <c r="P880">
        <v>12</v>
      </c>
      <c r="Q88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2C931231</v>
      </c>
      <c r="R880" t="s">
        <v>229</v>
      </c>
      <c r="S88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81" spans="1:19" x14ac:dyDescent="0.25">
      <c r="A881" t="s">
        <v>1431</v>
      </c>
      <c r="B881">
        <v>202005</v>
      </c>
      <c r="C881" t="s">
        <v>56</v>
      </c>
      <c r="D881" t="s">
        <v>246</v>
      </c>
      <c r="E881">
        <v>0</v>
      </c>
      <c r="F881">
        <v>0</v>
      </c>
      <c r="G881" s="2">
        <v>1</v>
      </c>
      <c r="H881">
        <v>0</v>
      </c>
      <c r="K881" t="s">
        <v>229</v>
      </c>
      <c r="L881">
        <v>8</v>
      </c>
      <c r="M881">
        <v>0</v>
      </c>
      <c r="O881" t="s">
        <v>1434</v>
      </c>
      <c r="P881">
        <v>12</v>
      </c>
      <c r="Q88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2C938999</v>
      </c>
      <c r="R881" t="s">
        <v>229</v>
      </c>
      <c r="S88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82" spans="1:19" x14ac:dyDescent="0.25">
      <c r="A882" t="s">
        <v>1439</v>
      </c>
      <c r="B882">
        <v>202005</v>
      </c>
      <c r="C882" t="s">
        <v>324</v>
      </c>
      <c r="D882" t="s">
        <v>1440</v>
      </c>
      <c r="E882">
        <v>494.42</v>
      </c>
      <c r="F882">
        <v>0</v>
      </c>
      <c r="G882" s="2">
        <v>100</v>
      </c>
      <c r="H882">
        <v>0</v>
      </c>
      <c r="I882">
        <v>1570</v>
      </c>
      <c r="K882" t="s">
        <v>229</v>
      </c>
      <c r="L882">
        <v>1</v>
      </c>
      <c r="M882">
        <v>0</v>
      </c>
      <c r="N882" t="s">
        <v>259</v>
      </c>
      <c r="O882" t="s">
        <v>1441</v>
      </c>
      <c r="P882">
        <v>12</v>
      </c>
      <c r="Q88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2C941093</v>
      </c>
      <c r="R882" t="s">
        <v>229</v>
      </c>
      <c r="S88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83" spans="1:19" x14ac:dyDescent="0.25">
      <c r="A883" t="s">
        <v>1439</v>
      </c>
      <c r="B883">
        <v>202005</v>
      </c>
      <c r="C883" t="s">
        <v>323</v>
      </c>
      <c r="D883" t="s">
        <v>535</v>
      </c>
      <c r="E883">
        <v>535.6866</v>
      </c>
      <c r="F883">
        <v>0</v>
      </c>
      <c r="G883" s="2">
        <v>90.3</v>
      </c>
      <c r="H883">
        <v>0</v>
      </c>
      <c r="I883">
        <v>1570</v>
      </c>
      <c r="K883" t="s">
        <v>229</v>
      </c>
      <c r="L883">
        <v>6</v>
      </c>
      <c r="M883">
        <v>0</v>
      </c>
      <c r="N883" t="s">
        <v>259</v>
      </c>
      <c r="O883" t="s">
        <v>1441</v>
      </c>
      <c r="P883">
        <v>12</v>
      </c>
      <c r="Q88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2C941295</v>
      </c>
      <c r="R883" t="s">
        <v>229</v>
      </c>
      <c r="S88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84" spans="1:19" x14ac:dyDescent="0.25">
      <c r="A884" t="s">
        <v>1439</v>
      </c>
      <c r="B884">
        <v>202005</v>
      </c>
      <c r="C884" t="s">
        <v>322</v>
      </c>
      <c r="D884" t="s">
        <v>536</v>
      </c>
      <c r="E884">
        <v>115</v>
      </c>
      <c r="F884">
        <v>0</v>
      </c>
      <c r="G884" s="2">
        <v>9.3000000000000007</v>
      </c>
      <c r="H884">
        <v>0</v>
      </c>
      <c r="I884">
        <v>1570</v>
      </c>
      <c r="K884" t="s">
        <v>229</v>
      </c>
      <c r="L884">
        <v>7</v>
      </c>
      <c r="M884">
        <v>0</v>
      </c>
      <c r="N884" t="s">
        <v>259</v>
      </c>
      <c r="O884" t="s">
        <v>1441</v>
      </c>
      <c r="P884">
        <v>12</v>
      </c>
      <c r="Q88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2C941296</v>
      </c>
      <c r="R884" t="s">
        <v>229</v>
      </c>
      <c r="S88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85" spans="1:19" x14ac:dyDescent="0.25">
      <c r="A885" t="s">
        <v>1439</v>
      </c>
      <c r="B885">
        <v>202005</v>
      </c>
      <c r="C885" t="s">
        <v>56</v>
      </c>
      <c r="D885" t="s">
        <v>246</v>
      </c>
      <c r="E885">
        <v>0</v>
      </c>
      <c r="F885">
        <v>0</v>
      </c>
      <c r="G885" s="2">
        <v>1.3855</v>
      </c>
      <c r="H885">
        <v>0</v>
      </c>
      <c r="K885" t="s">
        <v>229</v>
      </c>
      <c r="L885">
        <v>8</v>
      </c>
      <c r="M885">
        <v>0</v>
      </c>
      <c r="O885" t="s">
        <v>1441</v>
      </c>
      <c r="P885">
        <v>12</v>
      </c>
      <c r="Q88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2C948999</v>
      </c>
      <c r="R885" t="s">
        <v>229</v>
      </c>
      <c r="S88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86" spans="1:19" x14ac:dyDescent="0.25">
      <c r="A886" t="s">
        <v>1442</v>
      </c>
      <c r="B886">
        <v>202005</v>
      </c>
      <c r="C886" t="s">
        <v>45</v>
      </c>
      <c r="D886" t="s">
        <v>543</v>
      </c>
      <c r="E886">
        <v>203.78781000000001</v>
      </c>
      <c r="F886">
        <v>0</v>
      </c>
      <c r="G886" s="2">
        <v>100</v>
      </c>
      <c r="H886">
        <v>0</v>
      </c>
      <c r="I886">
        <v>1570</v>
      </c>
      <c r="K886" t="s">
        <v>229</v>
      </c>
      <c r="L886">
        <v>1</v>
      </c>
      <c r="M886">
        <v>0</v>
      </c>
      <c r="N886" t="s">
        <v>259</v>
      </c>
      <c r="O886" t="s">
        <v>1443</v>
      </c>
      <c r="P886">
        <v>12</v>
      </c>
      <c r="Q88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2D001101</v>
      </c>
      <c r="R886" t="s">
        <v>229</v>
      </c>
      <c r="S88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87" spans="1:19" x14ac:dyDescent="0.25">
      <c r="A887" t="s">
        <v>1442</v>
      </c>
      <c r="B887">
        <v>202005</v>
      </c>
      <c r="C887" t="s">
        <v>1444</v>
      </c>
      <c r="D887" t="s">
        <v>1445</v>
      </c>
      <c r="E887">
        <v>205.5</v>
      </c>
      <c r="F887">
        <v>0</v>
      </c>
      <c r="G887" s="2">
        <v>89.2</v>
      </c>
      <c r="H887">
        <v>0</v>
      </c>
      <c r="K887" t="s">
        <v>229</v>
      </c>
      <c r="L887">
        <v>6</v>
      </c>
      <c r="M887">
        <v>0</v>
      </c>
      <c r="N887" t="s">
        <v>259</v>
      </c>
      <c r="O887" t="s">
        <v>1443</v>
      </c>
      <c r="P887">
        <v>12</v>
      </c>
      <c r="Q88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2D001163</v>
      </c>
      <c r="R887" t="s">
        <v>229</v>
      </c>
      <c r="S88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88" spans="1:19" x14ac:dyDescent="0.25">
      <c r="A888" t="s">
        <v>1442</v>
      </c>
      <c r="B888">
        <v>202005</v>
      </c>
      <c r="C888" t="s">
        <v>2</v>
      </c>
      <c r="D888" t="s">
        <v>182</v>
      </c>
      <c r="E888">
        <v>25</v>
      </c>
      <c r="F888">
        <v>0</v>
      </c>
      <c r="G888" s="2">
        <v>0.4</v>
      </c>
      <c r="H888">
        <v>0</v>
      </c>
      <c r="K888" t="s">
        <v>229</v>
      </c>
      <c r="L888">
        <v>7</v>
      </c>
      <c r="M888">
        <v>0</v>
      </c>
      <c r="N888" t="s">
        <v>259</v>
      </c>
      <c r="O888" t="s">
        <v>1443</v>
      </c>
      <c r="P888">
        <v>12</v>
      </c>
      <c r="Q88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2D001227</v>
      </c>
      <c r="R888" t="s">
        <v>229</v>
      </c>
      <c r="S88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89" spans="1:19" x14ac:dyDescent="0.25">
      <c r="A889" t="s">
        <v>1442</v>
      </c>
      <c r="B889">
        <v>202005</v>
      </c>
      <c r="C889" t="s">
        <v>4</v>
      </c>
      <c r="D889" t="s">
        <v>265</v>
      </c>
      <c r="E889">
        <v>115</v>
      </c>
      <c r="F889">
        <v>0</v>
      </c>
      <c r="G889" s="2">
        <v>5.0999999999999996</v>
      </c>
      <c r="H889">
        <v>0</v>
      </c>
      <c r="K889" t="s">
        <v>229</v>
      </c>
      <c r="L889">
        <v>7</v>
      </c>
      <c r="M889">
        <v>0</v>
      </c>
      <c r="N889" t="s">
        <v>259</v>
      </c>
      <c r="O889" t="s">
        <v>1443</v>
      </c>
      <c r="P889">
        <v>12</v>
      </c>
      <c r="Q88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2D001230</v>
      </c>
      <c r="R889" t="s">
        <v>229</v>
      </c>
      <c r="S88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90" spans="1:19" x14ac:dyDescent="0.25">
      <c r="A890" t="s">
        <v>1442</v>
      </c>
      <c r="B890">
        <v>202005</v>
      </c>
      <c r="C890" t="s">
        <v>6</v>
      </c>
      <c r="D890" t="s">
        <v>60</v>
      </c>
      <c r="E890">
        <v>50</v>
      </c>
      <c r="F890">
        <v>0</v>
      </c>
      <c r="G890" s="2">
        <v>3.4</v>
      </c>
      <c r="H890">
        <v>0</v>
      </c>
      <c r="I890">
        <v>1570</v>
      </c>
      <c r="K890" t="s">
        <v>229</v>
      </c>
      <c r="L890">
        <v>7</v>
      </c>
      <c r="M890">
        <v>0</v>
      </c>
      <c r="N890" t="s">
        <v>259</v>
      </c>
      <c r="O890" t="s">
        <v>1443</v>
      </c>
      <c r="P890">
        <v>12</v>
      </c>
      <c r="Q89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2D001245</v>
      </c>
      <c r="R890" t="s">
        <v>229</v>
      </c>
      <c r="S89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91" spans="1:19" x14ac:dyDescent="0.25">
      <c r="A891" t="s">
        <v>1442</v>
      </c>
      <c r="B891">
        <v>202005</v>
      </c>
      <c r="C891" t="s">
        <v>56</v>
      </c>
      <c r="D891" t="s">
        <v>246</v>
      </c>
      <c r="E891">
        <v>0</v>
      </c>
      <c r="F891">
        <v>0</v>
      </c>
      <c r="G891" s="2">
        <v>1.9</v>
      </c>
      <c r="H891">
        <v>0</v>
      </c>
      <c r="K891" t="s">
        <v>229</v>
      </c>
      <c r="L891">
        <v>8</v>
      </c>
      <c r="M891">
        <v>0</v>
      </c>
      <c r="O891" t="s">
        <v>1443</v>
      </c>
      <c r="P891">
        <v>12</v>
      </c>
      <c r="Q89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2D008999</v>
      </c>
      <c r="R891" t="s">
        <v>229</v>
      </c>
      <c r="S89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92" spans="1:19" x14ac:dyDescent="0.25">
      <c r="A892" t="s">
        <v>1446</v>
      </c>
      <c r="B892">
        <v>202005</v>
      </c>
      <c r="C892" t="s">
        <v>45</v>
      </c>
      <c r="D892" t="s">
        <v>543</v>
      </c>
      <c r="E892">
        <v>203.78781000000001</v>
      </c>
      <c r="F892">
        <v>0</v>
      </c>
      <c r="G892" s="2">
        <v>100</v>
      </c>
      <c r="H892">
        <v>0</v>
      </c>
      <c r="I892">
        <v>1570</v>
      </c>
      <c r="K892" t="s">
        <v>229</v>
      </c>
      <c r="L892">
        <v>1</v>
      </c>
      <c r="M892">
        <v>0</v>
      </c>
      <c r="N892" t="s">
        <v>259</v>
      </c>
      <c r="O892" t="s">
        <v>1447</v>
      </c>
      <c r="P892">
        <v>12</v>
      </c>
      <c r="Q89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2D011101</v>
      </c>
      <c r="R892" t="s">
        <v>229</v>
      </c>
      <c r="S89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93" spans="1:19" x14ac:dyDescent="0.25">
      <c r="A893" t="s">
        <v>1446</v>
      </c>
      <c r="B893">
        <v>202005</v>
      </c>
      <c r="C893" t="s">
        <v>19</v>
      </c>
      <c r="D893" t="s">
        <v>568</v>
      </c>
      <c r="E893">
        <v>426.88508999999999</v>
      </c>
      <c r="F893">
        <v>0</v>
      </c>
      <c r="G893" s="2">
        <v>14.91</v>
      </c>
      <c r="H893">
        <v>0</v>
      </c>
      <c r="K893" t="s">
        <v>229</v>
      </c>
      <c r="L893">
        <v>6</v>
      </c>
      <c r="M893">
        <v>0</v>
      </c>
      <c r="N893" t="s">
        <v>259</v>
      </c>
      <c r="O893" t="s">
        <v>1447</v>
      </c>
      <c r="P893">
        <v>12</v>
      </c>
      <c r="Q89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2D011161</v>
      </c>
      <c r="R893" t="s">
        <v>229</v>
      </c>
      <c r="S89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94" spans="1:19" x14ac:dyDescent="0.25">
      <c r="A894" t="s">
        <v>1446</v>
      </c>
      <c r="B894">
        <v>202005</v>
      </c>
      <c r="C894" t="s">
        <v>23</v>
      </c>
      <c r="D894" t="s">
        <v>27</v>
      </c>
      <c r="E894">
        <v>290.78937999999999</v>
      </c>
      <c r="F894">
        <v>0</v>
      </c>
      <c r="G894" s="2">
        <v>20.73</v>
      </c>
      <c r="H894">
        <v>0</v>
      </c>
      <c r="K894" t="s">
        <v>229</v>
      </c>
      <c r="L894">
        <v>7</v>
      </c>
      <c r="M894">
        <v>0</v>
      </c>
      <c r="N894" t="s">
        <v>259</v>
      </c>
      <c r="O894" t="s">
        <v>1447</v>
      </c>
      <c r="P894">
        <v>12</v>
      </c>
      <c r="Q89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2D011162</v>
      </c>
      <c r="R894" t="s">
        <v>229</v>
      </c>
      <c r="S89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95" spans="1:19" x14ac:dyDescent="0.25">
      <c r="A895" t="s">
        <v>1446</v>
      </c>
      <c r="B895">
        <v>202005</v>
      </c>
      <c r="C895" t="s">
        <v>1</v>
      </c>
      <c r="D895" t="s">
        <v>569</v>
      </c>
      <c r="E895">
        <v>170</v>
      </c>
      <c r="F895">
        <v>0</v>
      </c>
      <c r="G895" s="2">
        <v>5.57</v>
      </c>
      <c r="H895">
        <v>0</v>
      </c>
      <c r="K895" t="s">
        <v>229</v>
      </c>
      <c r="L895">
        <v>7</v>
      </c>
      <c r="M895">
        <v>0</v>
      </c>
      <c r="N895" t="s">
        <v>259</v>
      </c>
      <c r="O895" t="s">
        <v>1447</v>
      </c>
      <c r="P895">
        <v>12</v>
      </c>
      <c r="Q89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2D011168</v>
      </c>
      <c r="R895" t="s">
        <v>229</v>
      </c>
      <c r="S89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96" spans="1:19" x14ac:dyDescent="0.25">
      <c r="A896" t="s">
        <v>1446</v>
      </c>
      <c r="B896">
        <v>202005</v>
      </c>
      <c r="C896" t="s">
        <v>2</v>
      </c>
      <c r="D896" t="s">
        <v>182</v>
      </c>
      <c r="E896">
        <v>25</v>
      </c>
      <c r="F896">
        <v>0</v>
      </c>
      <c r="G896" s="2">
        <v>1.56</v>
      </c>
      <c r="H896">
        <v>0</v>
      </c>
      <c r="K896" t="s">
        <v>229</v>
      </c>
      <c r="L896">
        <v>7</v>
      </c>
      <c r="M896">
        <v>0</v>
      </c>
      <c r="N896" t="s">
        <v>259</v>
      </c>
      <c r="O896" t="s">
        <v>1447</v>
      </c>
      <c r="P896">
        <v>12</v>
      </c>
      <c r="Q89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2D011227</v>
      </c>
      <c r="R896" t="s">
        <v>229</v>
      </c>
      <c r="S89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97" spans="1:20" x14ac:dyDescent="0.25">
      <c r="A897" t="s">
        <v>1446</v>
      </c>
      <c r="B897">
        <v>202005</v>
      </c>
      <c r="C897" t="s">
        <v>3</v>
      </c>
      <c r="D897" t="s">
        <v>58</v>
      </c>
      <c r="E897">
        <v>275</v>
      </c>
      <c r="F897">
        <v>0</v>
      </c>
      <c r="G897" s="2">
        <v>24.48</v>
      </c>
      <c r="H897">
        <v>0</v>
      </c>
      <c r="K897" t="s">
        <v>229</v>
      </c>
      <c r="L897">
        <v>7</v>
      </c>
      <c r="M897">
        <v>0</v>
      </c>
      <c r="N897" t="s">
        <v>259</v>
      </c>
      <c r="O897" t="s">
        <v>1447</v>
      </c>
      <c r="P897">
        <v>12</v>
      </c>
      <c r="Q89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2D011229</v>
      </c>
      <c r="R897" t="s">
        <v>229</v>
      </c>
      <c r="S89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98" spans="1:20" x14ac:dyDescent="0.25">
      <c r="A898" t="s">
        <v>1446</v>
      </c>
      <c r="B898">
        <v>202005</v>
      </c>
      <c r="C898" t="s">
        <v>4</v>
      </c>
      <c r="D898" t="s">
        <v>265</v>
      </c>
      <c r="E898">
        <v>115</v>
      </c>
      <c r="F898">
        <v>0</v>
      </c>
      <c r="G898" s="2">
        <v>6.29</v>
      </c>
      <c r="H898">
        <v>0</v>
      </c>
      <c r="K898" t="s">
        <v>229</v>
      </c>
      <c r="L898">
        <v>7</v>
      </c>
      <c r="M898">
        <v>0</v>
      </c>
      <c r="N898" t="s">
        <v>259</v>
      </c>
      <c r="O898" t="s">
        <v>1447</v>
      </c>
      <c r="P898">
        <v>12</v>
      </c>
      <c r="Q89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2D011230</v>
      </c>
      <c r="R898" t="s">
        <v>229</v>
      </c>
      <c r="S89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899" spans="1:20" x14ac:dyDescent="0.25">
      <c r="A899" t="s">
        <v>1446</v>
      </c>
      <c r="B899">
        <v>202005</v>
      </c>
      <c r="C899" t="s">
        <v>5</v>
      </c>
      <c r="D899" t="s">
        <v>59</v>
      </c>
      <c r="E899">
        <v>8.56</v>
      </c>
      <c r="F899">
        <v>0</v>
      </c>
      <c r="G899" s="2">
        <v>10.53</v>
      </c>
      <c r="H899">
        <v>0</v>
      </c>
      <c r="K899" t="s">
        <v>229</v>
      </c>
      <c r="L899">
        <v>7</v>
      </c>
      <c r="M899">
        <v>0</v>
      </c>
      <c r="N899" t="s">
        <v>259</v>
      </c>
      <c r="O899" t="s">
        <v>1447</v>
      </c>
      <c r="P899">
        <v>12</v>
      </c>
      <c r="Q89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2D011231</v>
      </c>
      <c r="R899" t="s">
        <v>229</v>
      </c>
      <c r="S89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900" spans="1:20" x14ac:dyDescent="0.25">
      <c r="A900" t="s">
        <v>1446</v>
      </c>
      <c r="B900">
        <v>202005</v>
      </c>
      <c r="C900" t="s">
        <v>6</v>
      </c>
      <c r="D900" t="s">
        <v>60</v>
      </c>
      <c r="E900">
        <v>50</v>
      </c>
      <c r="F900">
        <v>0</v>
      </c>
      <c r="G900" s="2">
        <v>15.71</v>
      </c>
      <c r="H900">
        <v>0</v>
      </c>
      <c r="K900" t="s">
        <v>229</v>
      </c>
      <c r="L900">
        <v>7</v>
      </c>
      <c r="M900">
        <v>0</v>
      </c>
      <c r="N900" t="s">
        <v>259</v>
      </c>
      <c r="O900" t="s">
        <v>1447</v>
      </c>
      <c r="P900">
        <v>12</v>
      </c>
      <c r="Q90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2D011245</v>
      </c>
      <c r="R900" t="s">
        <v>229</v>
      </c>
      <c r="S90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901" spans="1:20" x14ac:dyDescent="0.25">
      <c r="A901" t="s">
        <v>1446</v>
      </c>
      <c r="B901">
        <v>202005</v>
      </c>
      <c r="C901" t="s">
        <v>7</v>
      </c>
      <c r="D901" t="s">
        <v>570</v>
      </c>
      <c r="E901">
        <v>80</v>
      </c>
      <c r="F901">
        <v>0</v>
      </c>
      <c r="G901" s="2">
        <v>0.1</v>
      </c>
      <c r="H901">
        <v>0</v>
      </c>
      <c r="I901">
        <v>1570</v>
      </c>
      <c r="K901" t="s">
        <v>229</v>
      </c>
      <c r="L901">
        <v>7</v>
      </c>
      <c r="M901">
        <v>0</v>
      </c>
      <c r="N901" t="s">
        <v>259</v>
      </c>
      <c r="O901" t="s">
        <v>1447</v>
      </c>
      <c r="P901">
        <v>12</v>
      </c>
      <c r="Q90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2D011246</v>
      </c>
      <c r="R901" t="s">
        <v>229</v>
      </c>
      <c r="S90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902" spans="1:20" x14ac:dyDescent="0.25">
      <c r="A902" t="s">
        <v>1446</v>
      </c>
      <c r="B902">
        <v>202005</v>
      </c>
      <c r="C902" t="s">
        <v>56</v>
      </c>
      <c r="D902" t="s">
        <v>246</v>
      </c>
      <c r="E902">
        <v>0</v>
      </c>
      <c r="F902">
        <v>0</v>
      </c>
      <c r="G902" s="2">
        <v>0.12</v>
      </c>
      <c r="H902">
        <v>0</v>
      </c>
      <c r="K902" t="s">
        <v>229</v>
      </c>
      <c r="L902">
        <v>8</v>
      </c>
      <c r="M902">
        <v>0</v>
      </c>
      <c r="O902" t="s">
        <v>1447</v>
      </c>
      <c r="P902">
        <v>12</v>
      </c>
      <c r="Q90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2D018999</v>
      </c>
      <c r="R902" t="s">
        <v>229</v>
      </c>
      <c r="S90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903" spans="1:20" x14ac:dyDescent="0.25">
      <c r="A903" t="s">
        <v>22</v>
      </c>
      <c r="B903">
        <v>202005</v>
      </c>
      <c r="C903" t="s">
        <v>45</v>
      </c>
      <c r="D903" t="s">
        <v>543</v>
      </c>
      <c r="E903">
        <v>203.78781000000001</v>
      </c>
      <c r="F903">
        <v>0</v>
      </c>
      <c r="G903" s="2">
        <v>100</v>
      </c>
      <c r="H903">
        <v>0</v>
      </c>
      <c r="I903">
        <v>1570</v>
      </c>
      <c r="K903" t="s">
        <v>229</v>
      </c>
      <c r="L903">
        <v>1</v>
      </c>
      <c r="M903">
        <v>0</v>
      </c>
      <c r="N903" t="s">
        <v>259</v>
      </c>
      <c r="O903" t="s">
        <v>571</v>
      </c>
      <c r="P903">
        <v>12</v>
      </c>
      <c r="Q90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2D021101</v>
      </c>
      <c r="R903" t="s">
        <v>644</v>
      </c>
      <c r="S90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904" spans="1:20" x14ac:dyDescent="0.25">
      <c r="A904" t="s">
        <v>22</v>
      </c>
      <c r="B904">
        <v>202005</v>
      </c>
      <c r="C904" t="s">
        <v>19</v>
      </c>
      <c r="D904" t="s">
        <v>568</v>
      </c>
      <c r="E904">
        <v>426.88508999999999</v>
      </c>
      <c r="F904">
        <v>0</v>
      </c>
      <c r="G904" s="2">
        <v>16.670000000000002</v>
      </c>
      <c r="H904">
        <v>0</v>
      </c>
      <c r="I904">
        <v>1570</v>
      </c>
      <c r="K904" t="s">
        <v>229</v>
      </c>
      <c r="L904">
        <v>6</v>
      </c>
      <c r="M904">
        <v>0</v>
      </c>
      <c r="N904" t="s">
        <v>259</v>
      </c>
      <c r="O904" t="s">
        <v>571</v>
      </c>
      <c r="P904">
        <v>12</v>
      </c>
      <c r="Q90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2D021161</v>
      </c>
      <c r="R904" t="s">
        <v>644</v>
      </c>
      <c r="S90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  <c r="T904" t="s">
        <v>7</v>
      </c>
    </row>
    <row r="905" spans="1:20" x14ac:dyDescent="0.25">
      <c r="A905" t="s">
        <v>22</v>
      </c>
      <c r="B905">
        <v>202005</v>
      </c>
      <c r="C905" t="s">
        <v>1</v>
      </c>
      <c r="D905" t="s">
        <v>569</v>
      </c>
      <c r="E905">
        <v>170</v>
      </c>
      <c r="F905">
        <v>0</v>
      </c>
      <c r="G905" s="2">
        <v>12.31</v>
      </c>
      <c r="H905">
        <v>0</v>
      </c>
      <c r="I905">
        <v>1570</v>
      </c>
      <c r="K905" t="s">
        <v>229</v>
      </c>
      <c r="L905">
        <v>7</v>
      </c>
      <c r="M905">
        <v>0</v>
      </c>
      <c r="N905" t="s">
        <v>259</v>
      </c>
      <c r="O905" t="s">
        <v>571</v>
      </c>
      <c r="P905">
        <v>12</v>
      </c>
      <c r="Q90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2D021168</v>
      </c>
      <c r="R905" t="s">
        <v>644</v>
      </c>
      <c r="S90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906" spans="1:20" x14ac:dyDescent="0.25">
      <c r="A906" t="s">
        <v>22</v>
      </c>
      <c r="B906">
        <v>202005</v>
      </c>
      <c r="C906" t="s">
        <v>2</v>
      </c>
      <c r="D906" t="s">
        <v>182</v>
      </c>
      <c r="E906">
        <v>25</v>
      </c>
      <c r="F906">
        <v>0</v>
      </c>
      <c r="G906" s="2">
        <v>2.92</v>
      </c>
      <c r="H906">
        <v>0</v>
      </c>
      <c r="I906">
        <v>1570</v>
      </c>
      <c r="K906" t="s">
        <v>229</v>
      </c>
      <c r="L906">
        <v>7</v>
      </c>
      <c r="M906">
        <v>0</v>
      </c>
      <c r="N906" t="s">
        <v>259</v>
      </c>
      <c r="O906" t="s">
        <v>571</v>
      </c>
      <c r="P906">
        <v>12</v>
      </c>
      <c r="Q90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2D021227</v>
      </c>
      <c r="R906" t="s">
        <v>644</v>
      </c>
      <c r="S90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907" spans="1:20" x14ac:dyDescent="0.25">
      <c r="A907" t="s">
        <v>22</v>
      </c>
      <c r="B907">
        <v>202005</v>
      </c>
      <c r="C907" t="s">
        <v>3</v>
      </c>
      <c r="D907" t="s">
        <v>58</v>
      </c>
      <c r="E907">
        <v>275</v>
      </c>
      <c r="F907">
        <v>0</v>
      </c>
      <c r="G907" s="2">
        <v>29.26</v>
      </c>
      <c r="H907">
        <v>0</v>
      </c>
      <c r="I907">
        <v>1570</v>
      </c>
      <c r="K907" t="s">
        <v>229</v>
      </c>
      <c r="L907">
        <v>7</v>
      </c>
      <c r="M907">
        <v>0</v>
      </c>
      <c r="N907" t="s">
        <v>259</v>
      </c>
      <c r="O907" t="s">
        <v>571</v>
      </c>
      <c r="P907">
        <v>12</v>
      </c>
      <c r="Q90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2D021229</v>
      </c>
      <c r="R907" t="s">
        <v>644</v>
      </c>
      <c r="S90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908" spans="1:20" x14ac:dyDescent="0.25">
      <c r="A908" t="s">
        <v>22</v>
      </c>
      <c r="B908">
        <v>202005</v>
      </c>
      <c r="C908" t="s">
        <v>4</v>
      </c>
      <c r="D908" t="s">
        <v>265</v>
      </c>
      <c r="E908">
        <v>115</v>
      </c>
      <c r="F908">
        <v>0</v>
      </c>
      <c r="G908" s="2">
        <v>3.98</v>
      </c>
      <c r="H908">
        <v>0</v>
      </c>
      <c r="I908">
        <v>1570</v>
      </c>
      <c r="K908" t="s">
        <v>229</v>
      </c>
      <c r="L908">
        <v>7</v>
      </c>
      <c r="M908">
        <v>0</v>
      </c>
      <c r="N908" t="s">
        <v>259</v>
      </c>
      <c r="O908" t="s">
        <v>571</v>
      </c>
      <c r="P908">
        <v>12</v>
      </c>
      <c r="Q90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2D021230</v>
      </c>
      <c r="R908" t="s">
        <v>644</v>
      </c>
      <c r="S90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909" spans="1:20" x14ac:dyDescent="0.25">
      <c r="A909" t="s">
        <v>22</v>
      </c>
      <c r="B909">
        <v>202005</v>
      </c>
      <c r="C909" t="s">
        <v>5</v>
      </c>
      <c r="D909" t="s">
        <v>59</v>
      </c>
      <c r="E909">
        <v>8.56</v>
      </c>
      <c r="F909">
        <v>0</v>
      </c>
      <c r="G909" s="2">
        <v>3.88</v>
      </c>
      <c r="H909">
        <v>0</v>
      </c>
      <c r="I909">
        <v>1570</v>
      </c>
      <c r="K909" t="s">
        <v>229</v>
      </c>
      <c r="L909">
        <v>7</v>
      </c>
      <c r="M909">
        <v>0</v>
      </c>
      <c r="N909" t="s">
        <v>259</v>
      </c>
      <c r="O909" t="s">
        <v>571</v>
      </c>
      <c r="P909">
        <v>12</v>
      </c>
      <c r="Q90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2D021231</v>
      </c>
      <c r="R909" t="s">
        <v>644</v>
      </c>
      <c r="S90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910" spans="1:20" x14ac:dyDescent="0.25">
      <c r="A910" t="s">
        <v>22</v>
      </c>
      <c r="B910">
        <v>202005</v>
      </c>
      <c r="C910" t="s">
        <v>6</v>
      </c>
      <c r="D910" t="s">
        <v>60</v>
      </c>
      <c r="E910">
        <v>50</v>
      </c>
      <c r="F910">
        <v>0</v>
      </c>
      <c r="G910" s="2">
        <v>15.95</v>
      </c>
      <c r="H910">
        <v>0</v>
      </c>
      <c r="I910">
        <v>1570</v>
      </c>
      <c r="K910" t="s">
        <v>229</v>
      </c>
      <c r="L910">
        <v>7</v>
      </c>
      <c r="M910">
        <v>0</v>
      </c>
      <c r="N910" t="s">
        <v>259</v>
      </c>
      <c r="O910" t="s">
        <v>571</v>
      </c>
      <c r="P910">
        <v>12</v>
      </c>
      <c r="Q91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2D021245</v>
      </c>
      <c r="R910" t="s">
        <v>644</v>
      </c>
      <c r="S91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911" spans="1:20" x14ac:dyDescent="0.25">
      <c r="A911" t="s">
        <v>22</v>
      </c>
      <c r="B911">
        <v>202005</v>
      </c>
      <c r="C911" t="s">
        <v>7</v>
      </c>
      <c r="D911" t="s">
        <v>570</v>
      </c>
      <c r="E911">
        <v>80</v>
      </c>
      <c r="F911">
        <v>0</v>
      </c>
      <c r="G911" s="2">
        <v>11.45</v>
      </c>
      <c r="H911">
        <v>0</v>
      </c>
      <c r="I911">
        <v>1570</v>
      </c>
      <c r="K911" t="s">
        <v>229</v>
      </c>
      <c r="L911">
        <v>7</v>
      </c>
      <c r="M911">
        <v>0</v>
      </c>
      <c r="N911" t="s">
        <v>259</v>
      </c>
      <c r="O911" t="s">
        <v>571</v>
      </c>
      <c r="P911">
        <v>12</v>
      </c>
      <c r="Q91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2D021246</v>
      </c>
      <c r="R911" t="s">
        <v>644</v>
      </c>
      <c r="S91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912" spans="1:20" x14ac:dyDescent="0.25">
      <c r="A912" t="s">
        <v>22</v>
      </c>
      <c r="B912">
        <v>202005</v>
      </c>
      <c r="C912" t="s">
        <v>260</v>
      </c>
      <c r="D912" t="s">
        <v>261</v>
      </c>
      <c r="E912">
        <v>50</v>
      </c>
      <c r="F912">
        <v>0</v>
      </c>
      <c r="G912" s="2">
        <v>3.3</v>
      </c>
      <c r="H912">
        <v>0</v>
      </c>
      <c r="I912">
        <v>1570</v>
      </c>
      <c r="K912" t="s">
        <v>229</v>
      </c>
      <c r="L912">
        <v>7</v>
      </c>
      <c r="M912">
        <v>0</v>
      </c>
      <c r="N912" t="s">
        <v>259</v>
      </c>
      <c r="O912" t="s">
        <v>571</v>
      </c>
      <c r="P912">
        <v>12</v>
      </c>
      <c r="Q91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2D021334</v>
      </c>
      <c r="R912" t="s">
        <v>644</v>
      </c>
      <c r="S91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913" spans="1:20" x14ac:dyDescent="0.25">
      <c r="A913" t="s">
        <v>22</v>
      </c>
      <c r="B913">
        <v>202005</v>
      </c>
      <c r="C913" t="s">
        <v>56</v>
      </c>
      <c r="D913" t="s">
        <v>246</v>
      </c>
      <c r="E913">
        <v>0</v>
      </c>
      <c r="F913">
        <v>0</v>
      </c>
      <c r="G913" s="2">
        <v>0.28999999999999998</v>
      </c>
      <c r="H913">
        <v>0</v>
      </c>
      <c r="K913" t="s">
        <v>229</v>
      </c>
      <c r="L913">
        <v>8</v>
      </c>
      <c r="M913">
        <v>0</v>
      </c>
      <c r="O913" t="s">
        <v>571</v>
      </c>
      <c r="P913">
        <v>12</v>
      </c>
      <c r="Q91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2D028999</v>
      </c>
      <c r="R913" t="s">
        <v>644</v>
      </c>
      <c r="S91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914" spans="1:20" x14ac:dyDescent="0.25">
      <c r="A914" t="s">
        <v>1448</v>
      </c>
      <c r="B914">
        <v>202005</v>
      </c>
      <c r="C914" t="s">
        <v>45</v>
      </c>
      <c r="D914" t="s">
        <v>543</v>
      </c>
      <c r="E914">
        <v>203.78781000000001</v>
      </c>
      <c r="F914">
        <v>0</v>
      </c>
      <c r="G914" s="2">
        <v>100</v>
      </c>
      <c r="H914">
        <v>0</v>
      </c>
      <c r="I914">
        <v>1570</v>
      </c>
      <c r="K914" t="s">
        <v>229</v>
      </c>
      <c r="L914">
        <v>1</v>
      </c>
      <c r="M914">
        <v>0</v>
      </c>
      <c r="N914" t="s">
        <v>259</v>
      </c>
      <c r="O914" t="s">
        <v>1449</v>
      </c>
      <c r="P914">
        <v>12</v>
      </c>
      <c r="Q91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2D031101</v>
      </c>
      <c r="R914" t="s">
        <v>229</v>
      </c>
      <c r="S91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915" spans="1:20" x14ac:dyDescent="0.25">
      <c r="A915" t="s">
        <v>1448</v>
      </c>
      <c r="B915">
        <v>202005</v>
      </c>
      <c r="C915" t="s">
        <v>15</v>
      </c>
      <c r="D915" t="s">
        <v>572</v>
      </c>
      <c r="E915">
        <v>321.67621000000003</v>
      </c>
      <c r="F915">
        <v>0</v>
      </c>
      <c r="G915" s="2">
        <v>24.3</v>
      </c>
      <c r="H915">
        <v>0</v>
      </c>
      <c r="K915" t="s">
        <v>229</v>
      </c>
      <c r="L915">
        <v>6</v>
      </c>
      <c r="M915">
        <v>0</v>
      </c>
      <c r="N915" t="s">
        <v>259</v>
      </c>
      <c r="O915" t="s">
        <v>1449</v>
      </c>
      <c r="P915">
        <v>12</v>
      </c>
      <c r="Q91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2D031160</v>
      </c>
      <c r="R915" t="s">
        <v>229</v>
      </c>
      <c r="S91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  <c r="T915" t="s">
        <v>7</v>
      </c>
    </row>
    <row r="916" spans="1:20" x14ac:dyDescent="0.25">
      <c r="A916" t="s">
        <v>1448</v>
      </c>
      <c r="B916">
        <v>202005</v>
      </c>
      <c r="C916" t="s">
        <v>23</v>
      </c>
      <c r="D916" t="s">
        <v>27</v>
      </c>
      <c r="E916">
        <v>290.78937999999999</v>
      </c>
      <c r="F916">
        <v>0</v>
      </c>
      <c r="G916" s="2">
        <v>9.5</v>
      </c>
      <c r="H916">
        <v>0</v>
      </c>
      <c r="K916" t="s">
        <v>229</v>
      </c>
      <c r="L916">
        <v>7</v>
      </c>
      <c r="M916">
        <v>0</v>
      </c>
      <c r="N916" t="s">
        <v>259</v>
      </c>
      <c r="O916" t="s">
        <v>1449</v>
      </c>
      <c r="P916">
        <v>12</v>
      </c>
      <c r="Q91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2D031162</v>
      </c>
      <c r="R916" t="s">
        <v>229</v>
      </c>
      <c r="S91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917" spans="1:20" x14ac:dyDescent="0.25">
      <c r="A917" t="s">
        <v>1448</v>
      </c>
      <c r="B917">
        <v>202005</v>
      </c>
      <c r="C917" t="s">
        <v>1</v>
      </c>
      <c r="D917" t="s">
        <v>569</v>
      </c>
      <c r="E917">
        <v>170</v>
      </c>
      <c r="F917">
        <v>0</v>
      </c>
      <c r="G917" s="2">
        <v>3.3</v>
      </c>
      <c r="H917">
        <v>0</v>
      </c>
      <c r="K917" t="s">
        <v>229</v>
      </c>
      <c r="L917">
        <v>7</v>
      </c>
      <c r="M917">
        <v>0</v>
      </c>
      <c r="N917" t="s">
        <v>259</v>
      </c>
      <c r="O917" t="s">
        <v>1449</v>
      </c>
      <c r="P917">
        <v>12</v>
      </c>
      <c r="Q91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2D031168</v>
      </c>
      <c r="R917" t="s">
        <v>229</v>
      </c>
      <c r="S91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918" spans="1:20" x14ac:dyDescent="0.25">
      <c r="A918" t="s">
        <v>1448</v>
      </c>
      <c r="B918">
        <v>202005</v>
      </c>
      <c r="C918" t="s">
        <v>2</v>
      </c>
      <c r="D918" t="s">
        <v>182</v>
      </c>
      <c r="E918">
        <v>25</v>
      </c>
      <c r="F918">
        <v>0</v>
      </c>
      <c r="G918" s="2">
        <v>1.5</v>
      </c>
      <c r="H918">
        <v>0</v>
      </c>
      <c r="K918" t="s">
        <v>229</v>
      </c>
      <c r="L918">
        <v>7</v>
      </c>
      <c r="M918">
        <v>0</v>
      </c>
      <c r="N918" t="s">
        <v>259</v>
      </c>
      <c r="O918" t="s">
        <v>1449</v>
      </c>
      <c r="P918">
        <v>12</v>
      </c>
      <c r="Q91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2D031227</v>
      </c>
      <c r="R918" t="s">
        <v>229</v>
      </c>
      <c r="S91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919" spans="1:20" x14ac:dyDescent="0.25">
      <c r="A919" t="s">
        <v>1448</v>
      </c>
      <c r="B919">
        <v>202005</v>
      </c>
      <c r="C919" t="s">
        <v>3</v>
      </c>
      <c r="D919" t="s">
        <v>58</v>
      </c>
      <c r="E919">
        <v>275</v>
      </c>
      <c r="F919">
        <v>0</v>
      </c>
      <c r="G919" s="2">
        <v>30.5</v>
      </c>
      <c r="H919">
        <v>0</v>
      </c>
      <c r="K919" t="s">
        <v>229</v>
      </c>
      <c r="L919">
        <v>7</v>
      </c>
      <c r="M919">
        <v>0</v>
      </c>
      <c r="N919" t="s">
        <v>259</v>
      </c>
      <c r="O919" t="s">
        <v>1449</v>
      </c>
      <c r="P919">
        <v>12</v>
      </c>
      <c r="Q91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2D031229</v>
      </c>
      <c r="R919" t="s">
        <v>229</v>
      </c>
      <c r="S91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920" spans="1:20" x14ac:dyDescent="0.25">
      <c r="A920" t="s">
        <v>1448</v>
      </c>
      <c r="B920">
        <v>202005</v>
      </c>
      <c r="C920" t="s">
        <v>4</v>
      </c>
      <c r="D920" t="s">
        <v>265</v>
      </c>
      <c r="E920">
        <v>115</v>
      </c>
      <c r="F920">
        <v>0</v>
      </c>
      <c r="G920" s="2">
        <v>6.3</v>
      </c>
      <c r="H920">
        <v>0</v>
      </c>
      <c r="K920" t="s">
        <v>229</v>
      </c>
      <c r="L920">
        <v>7</v>
      </c>
      <c r="M920">
        <v>0</v>
      </c>
      <c r="N920" t="s">
        <v>259</v>
      </c>
      <c r="O920" t="s">
        <v>1449</v>
      </c>
      <c r="P920">
        <v>12</v>
      </c>
      <c r="Q92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2D031230</v>
      </c>
      <c r="R920" t="s">
        <v>229</v>
      </c>
      <c r="S92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921" spans="1:20" x14ac:dyDescent="0.25">
      <c r="A921" t="s">
        <v>1448</v>
      </c>
      <c r="B921">
        <v>202005</v>
      </c>
      <c r="C921" t="s">
        <v>5</v>
      </c>
      <c r="D921" t="s">
        <v>59</v>
      </c>
      <c r="E921">
        <v>8.56</v>
      </c>
      <c r="F921">
        <v>0</v>
      </c>
      <c r="G921" s="2">
        <v>7.6</v>
      </c>
      <c r="H921">
        <v>0</v>
      </c>
      <c r="K921" t="s">
        <v>229</v>
      </c>
      <c r="L921">
        <v>7</v>
      </c>
      <c r="M921">
        <v>0</v>
      </c>
      <c r="N921" t="s">
        <v>259</v>
      </c>
      <c r="O921" t="s">
        <v>1449</v>
      </c>
      <c r="P921">
        <v>12</v>
      </c>
      <c r="Q92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2D031231</v>
      </c>
      <c r="R921" t="s">
        <v>229</v>
      </c>
      <c r="S92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922" spans="1:20" x14ac:dyDescent="0.25">
      <c r="A922" t="s">
        <v>1448</v>
      </c>
      <c r="B922">
        <v>202005</v>
      </c>
      <c r="C922" t="s">
        <v>6</v>
      </c>
      <c r="D922" t="s">
        <v>60</v>
      </c>
      <c r="E922">
        <v>50</v>
      </c>
      <c r="F922">
        <v>0</v>
      </c>
      <c r="G922" s="2">
        <v>15.6</v>
      </c>
      <c r="H922">
        <v>0</v>
      </c>
      <c r="K922" t="s">
        <v>229</v>
      </c>
      <c r="L922">
        <v>7</v>
      </c>
      <c r="M922">
        <v>0</v>
      </c>
      <c r="N922" t="s">
        <v>259</v>
      </c>
      <c r="O922" t="s">
        <v>1449</v>
      </c>
      <c r="P922">
        <v>12</v>
      </c>
      <c r="Q92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2D031245</v>
      </c>
      <c r="R922" t="s">
        <v>229</v>
      </c>
      <c r="S92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923" spans="1:20" x14ac:dyDescent="0.25">
      <c r="A923" t="s">
        <v>1448</v>
      </c>
      <c r="B923">
        <v>202005</v>
      </c>
      <c r="C923" t="s">
        <v>7</v>
      </c>
      <c r="D923" t="s">
        <v>570</v>
      </c>
      <c r="E923">
        <v>80</v>
      </c>
      <c r="F923">
        <v>0</v>
      </c>
      <c r="G923" s="2">
        <v>0.7</v>
      </c>
      <c r="H923">
        <v>0</v>
      </c>
      <c r="I923">
        <v>1570</v>
      </c>
      <c r="K923" t="s">
        <v>229</v>
      </c>
      <c r="L923">
        <v>7</v>
      </c>
      <c r="M923">
        <v>0</v>
      </c>
      <c r="N923" t="s">
        <v>259</v>
      </c>
      <c r="O923" t="s">
        <v>1449</v>
      </c>
      <c r="P923">
        <v>12</v>
      </c>
      <c r="Q92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2D031246</v>
      </c>
      <c r="R923" t="s">
        <v>229</v>
      </c>
      <c r="S92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924" spans="1:20" x14ac:dyDescent="0.25">
      <c r="A924" t="s">
        <v>1448</v>
      </c>
      <c r="B924">
        <v>202005</v>
      </c>
      <c r="C924" t="s">
        <v>56</v>
      </c>
      <c r="D924" t="s">
        <v>246</v>
      </c>
      <c r="E924">
        <v>0</v>
      </c>
      <c r="F924">
        <v>0</v>
      </c>
      <c r="G924" s="2">
        <v>0.7</v>
      </c>
      <c r="H924">
        <v>0</v>
      </c>
      <c r="K924" t="s">
        <v>229</v>
      </c>
      <c r="L924">
        <v>8</v>
      </c>
      <c r="M924">
        <v>0</v>
      </c>
      <c r="O924" t="s">
        <v>1449</v>
      </c>
      <c r="P924">
        <v>12</v>
      </c>
      <c r="Q92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2D038999</v>
      </c>
      <c r="R924" t="s">
        <v>229</v>
      </c>
      <c r="S92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925" spans="1:20" x14ac:dyDescent="0.25">
      <c r="A925" t="s">
        <v>34</v>
      </c>
      <c r="B925">
        <v>202005</v>
      </c>
      <c r="C925" t="s">
        <v>45</v>
      </c>
      <c r="D925" t="s">
        <v>543</v>
      </c>
      <c r="E925">
        <v>203.78781000000001</v>
      </c>
      <c r="F925">
        <v>0</v>
      </c>
      <c r="G925" s="2">
        <v>100</v>
      </c>
      <c r="H925">
        <v>0</v>
      </c>
      <c r="I925">
        <v>1570</v>
      </c>
      <c r="K925" t="s">
        <v>229</v>
      </c>
      <c r="L925">
        <v>1</v>
      </c>
      <c r="M925">
        <v>0</v>
      </c>
      <c r="N925" t="s">
        <v>259</v>
      </c>
      <c r="O925" t="s">
        <v>573</v>
      </c>
      <c r="P925">
        <v>12</v>
      </c>
      <c r="Q92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2D041101</v>
      </c>
      <c r="R925" t="s">
        <v>644</v>
      </c>
      <c r="S92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926" spans="1:20" x14ac:dyDescent="0.25">
      <c r="A926" t="s">
        <v>34</v>
      </c>
      <c r="B926">
        <v>202005</v>
      </c>
      <c r="C926" t="s">
        <v>32</v>
      </c>
      <c r="D926" t="s">
        <v>33</v>
      </c>
      <c r="E926">
        <v>321.24337000000003</v>
      </c>
      <c r="F926">
        <v>0</v>
      </c>
      <c r="G926" s="2">
        <v>48.21</v>
      </c>
      <c r="H926">
        <v>0</v>
      </c>
      <c r="I926">
        <v>1570</v>
      </c>
      <c r="K926" t="s">
        <v>229</v>
      </c>
      <c r="L926">
        <v>6</v>
      </c>
      <c r="M926">
        <v>0</v>
      </c>
      <c r="N926" t="s">
        <v>259</v>
      </c>
      <c r="O926" t="s">
        <v>573</v>
      </c>
      <c r="P926">
        <v>12</v>
      </c>
      <c r="Q92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2D041166</v>
      </c>
      <c r="R926" t="s">
        <v>644</v>
      </c>
      <c r="S92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  <c r="T926" t="s">
        <v>617</v>
      </c>
    </row>
    <row r="927" spans="1:20" x14ac:dyDescent="0.25">
      <c r="A927" t="s">
        <v>34</v>
      </c>
      <c r="B927">
        <v>202005</v>
      </c>
      <c r="C927" t="s">
        <v>1</v>
      </c>
      <c r="D927" t="s">
        <v>569</v>
      </c>
      <c r="E927">
        <v>170</v>
      </c>
      <c r="F927">
        <v>0</v>
      </c>
      <c r="G927" s="2">
        <v>13.37</v>
      </c>
      <c r="H927">
        <v>0</v>
      </c>
      <c r="I927">
        <v>1570</v>
      </c>
      <c r="K927" t="s">
        <v>229</v>
      </c>
      <c r="L927">
        <v>7</v>
      </c>
      <c r="M927">
        <v>0</v>
      </c>
      <c r="N927" t="s">
        <v>259</v>
      </c>
      <c r="O927" t="s">
        <v>573</v>
      </c>
      <c r="P927">
        <v>12</v>
      </c>
      <c r="Q92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2D041168</v>
      </c>
      <c r="R927" t="s">
        <v>644</v>
      </c>
      <c r="S92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928" spans="1:20" x14ac:dyDescent="0.25">
      <c r="A928" t="s">
        <v>34</v>
      </c>
      <c r="B928">
        <v>202005</v>
      </c>
      <c r="C928" t="s">
        <v>2</v>
      </c>
      <c r="D928" t="s">
        <v>182</v>
      </c>
      <c r="E928">
        <v>25</v>
      </c>
      <c r="F928">
        <v>0</v>
      </c>
      <c r="G928" s="2">
        <v>1.35</v>
      </c>
      <c r="H928">
        <v>0</v>
      </c>
      <c r="I928">
        <v>1570</v>
      </c>
      <c r="K928" t="s">
        <v>229</v>
      </c>
      <c r="L928">
        <v>7</v>
      </c>
      <c r="M928">
        <v>0</v>
      </c>
      <c r="N928" t="s">
        <v>259</v>
      </c>
      <c r="O928" t="s">
        <v>573</v>
      </c>
      <c r="P928">
        <v>12</v>
      </c>
      <c r="Q92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2D041227</v>
      </c>
      <c r="R928" t="s">
        <v>644</v>
      </c>
      <c r="S92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929" spans="1:20" x14ac:dyDescent="0.25">
      <c r="A929" t="s">
        <v>34</v>
      </c>
      <c r="B929">
        <v>202005</v>
      </c>
      <c r="C929" t="s">
        <v>3</v>
      </c>
      <c r="D929" t="s">
        <v>58</v>
      </c>
      <c r="E929">
        <v>275</v>
      </c>
      <c r="F929">
        <v>0</v>
      </c>
      <c r="G929" s="2">
        <v>3.28</v>
      </c>
      <c r="H929">
        <v>0</v>
      </c>
      <c r="I929">
        <v>1570</v>
      </c>
      <c r="K929" t="s">
        <v>229</v>
      </c>
      <c r="L929">
        <v>7</v>
      </c>
      <c r="M929">
        <v>0</v>
      </c>
      <c r="N929" t="s">
        <v>259</v>
      </c>
      <c r="O929" t="s">
        <v>573</v>
      </c>
      <c r="P929">
        <v>12</v>
      </c>
      <c r="Q92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2D041229</v>
      </c>
      <c r="R929" t="s">
        <v>644</v>
      </c>
      <c r="S92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930" spans="1:20" x14ac:dyDescent="0.25">
      <c r="A930" t="s">
        <v>34</v>
      </c>
      <c r="B930">
        <v>202005</v>
      </c>
      <c r="C930" t="s">
        <v>4</v>
      </c>
      <c r="D930" t="s">
        <v>265</v>
      </c>
      <c r="E930">
        <v>115</v>
      </c>
      <c r="F930">
        <v>0</v>
      </c>
      <c r="G930" s="2">
        <v>5.2</v>
      </c>
      <c r="H930">
        <v>0</v>
      </c>
      <c r="I930">
        <v>1570</v>
      </c>
      <c r="K930" t="s">
        <v>229</v>
      </c>
      <c r="L930">
        <v>7</v>
      </c>
      <c r="M930">
        <v>0</v>
      </c>
      <c r="N930" t="s">
        <v>259</v>
      </c>
      <c r="O930" t="s">
        <v>573</v>
      </c>
      <c r="P930">
        <v>12</v>
      </c>
      <c r="Q93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2D041230</v>
      </c>
      <c r="R930" t="s">
        <v>644</v>
      </c>
      <c r="S93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931" spans="1:20" x14ac:dyDescent="0.25">
      <c r="A931" t="s">
        <v>34</v>
      </c>
      <c r="B931">
        <v>202005</v>
      </c>
      <c r="C931" t="s">
        <v>5</v>
      </c>
      <c r="D931" t="s">
        <v>59</v>
      </c>
      <c r="E931">
        <v>8.56</v>
      </c>
      <c r="F931">
        <v>0</v>
      </c>
      <c r="G931" s="2">
        <v>7.3</v>
      </c>
      <c r="H931">
        <v>0</v>
      </c>
      <c r="I931">
        <v>1570</v>
      </c>
      <c r="K931" t="s">
        <v>229</v>
      </c>
      <c r="L931">
        <v>7</v>
      </c>
      <c r="M931">
        <v>0</v>
      </c>
      <c r="N931" t="s">
        <v>259</v>
      </c>
      <c r="O931" t="s">
        <v>573</v>
      </c>
      <c r="P931">
        <v>12</v>
      </c>
      <c r="Q93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2D041231</v>
      </c>
      <c r="R931" t="s">
        <v>644</v>
      </c>
      <c r="S93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932" spans="1:20" x14ac:dyDescent="0.25">
      <c r="A932" t="s">
        <v>34</v>
      </c>
      <c r="B932">
        <v>202005</v>
      </c>
      <c r="C932" t="s">
        <v>6</v>
      </c>
      <c r="D932" t="s">
        <v>60</v>
      </c>
      <c r="E932">
        <v>50</v>
      </c>
      <c r="F932">
        <v>0</v>
      </c>
      <c r="G932" s="2">
        <v>17.350000000000001</v>
      </c>
      <c r="H932">
        <v>0</v>
      </c>
      <c r="I932">
        <v>1570</v>
      </c>
      <c r="K932" t="s">
        <v>229</v>
      </c>
      <c r="L932">
        <v>7</v>
      </c>
      <c r="M932">
        <v>0</v>
      </c>
      <c r="N932" t="s">
        <v>259</v>
      </c>
      <c r="O932" t="s">
        <v>573</v>
      </c>
      <c r="P932">
        <v>12</v>
      </c>
      <c r="Q93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2D041245</v>
      </c>
      <c r="R932" t="s">
        <v>644</v>
      </c>
      <c r="S93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933" spans="1:20" x14ac:dyDescent="0.25">
      <c r="A933" t="s">
        <v>34</v>
      </c>
      <c r="B933">
        <v>202005</v>
      </c>
      <c r="C933" t="s">
        <v>260</v>
      </c>
      <c r="D933" t="s">
        <v>261</v>
      </c>
      <c r="E933">
        <v>50</v>
      </c>
      <c r="F933">
        <v>0</v>
      </c>
      <c r="G933" s="2">
        <v>3.1</v>
      </c>
      <c r="H933">
        <v>0</v>
      </c>
      <c r="I933">
        <v>1570</v>
      </c>
      <c r="K933" t="s">
        <v>229</v>
      </c>
      <c r="L933">
        <v>7</v>
      </c>
      <c r="M933">
        <v>0</v>
      </c>
      <c r="N933" t="s">
        <v>259</v>
      </c>
      <c r="O933" t="s">
        <v>573</v>
      </c>
      <c r="P933">
        <v>12</v>
      </c>
      <c r="Q93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2D041334</v>
      </c>
      <c r="R933" t="s">
        <v>644</v>
      </c>
      <c r="S93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934" spans="1:20" x14ac:dyDescent="0.25">
      <c r="A934" t="s">
        <v>34</v>
      </c>
      <c r="B934">
        <v>202005</v>
      </c>
      <c r="C934" t="s">
        <v>56</v>
      </c>
      <c r="D934" t="s">
        <v>246</v>
      </c>
      <c r="E934">
        <v>0</v>
      </c>
      <c r="F934">
        <v>0</v>
      </c>
      <c r="G934" s="2">
        <v>0.83</v>
      </c>
      <c r="H934">
        <v>0</v>
      </c>
      <c r="K934" t="s">
        <v>229</v>
      </c>
      <c r="L934">
        <v>8</v>
      </c>
      <c r="M934">
        <v>0</v>
      </c>
      <c r="O934" t="s">
        <v>573</v>
      </c>
      <c r="P934">
        <v>12</v>
      </c>
      <c r="Q93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2D048999</v>
      </c>
      <c r="R934" t="s">
        <v>644</v>
      </c>
      <c r="S93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935" spans="1:20" x14ac:dyDescent="0.25">
      <c r="A935" t="s">
        <v>24</v>
      </c>
      <c r="B935">
        <v>202005</v>
      </c>
      <c r="C935" t="s">
        <v>45</v>
      </c>
      <c r="D935" t="s">
        <v>543</v>
      </c>
      <c r="E935">
        <v>203.78781000000001</v>
      </c>
      <c r="F935">
        <v>0</v>
      </c>
      <c r="G935" s="2">
        <v>100</v>
      </c>
      <c r="H935">
        <v>0</v>
      </c>
      <c r="I935">
        <v>1570</v>
      </c>
      <c r="K935" t="s">
        <v>229</v>
      </c>
      <c r="L935">
        <v>1</v>
      </c>
      <c r="M935">
        <v>0</v>
      </c>
      <c r="N935" t="s">
        <v>259</v>
      </c>
      <c r="O935" t="s">
        <v>574</v>
      </c>
      <c r="P935">
        <v>12</v>
      </c>
      <c r="Q93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2D051101</v>
      </c>
      <c r="R935" t="s">
        <v>644</v>
      </c>
      <c r="S93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936" spans="1:20" x14ac:dyDescent="0.25">
      <c r="A936" t="s">
        <v>24</v>
      </c>
      <c r="B936">
        <v>202005</v>
      </c>
      <c r="C936" t="s">
        <v>23</v>
      </c>
      <c r="D936" t="s">
        <v>27</v>
      </c>
      <c r="E936">
        <v>290.78937999999999</v>
      </c>
      <c r="F936">
        <v>0</v>
      </c>
      <c r="G936" s="2">
        <v>51.47</v>
      </c>
      <c r="H936">
        <v>0</v>
      </c>
      <c r="I936">
        <v>1570</v>
      </c>
      <c r="K936" t="s">
        <v>229</v>
      </c>
      <c r="L936">
        <v>6</v>
      </c>
      <c r="M936">
        <v>0</v>
      </c>
      <c r="N936" t="s">
        <v>259</v>
      </c>
      <c r="O936" t="s">
        <v>574</v>
      </c>
      <c r="P936">
        <v>12</v>
      </c>
      <c r="Q93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2D051162</v>
      </c>
      <c r="R936" t="s">
        <v>644</v>
      </c>
      <c r="S93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  <c r="T936" t="s">
        <v>617</v>
      </c>
    </row>
    <row r="937" spans="1:20" x14ac:dyDescent="0.25">
      <c r="A937" t="s">
        <v>24</v>
      </c>
      <c r="B937">
        <v>202005</v>
      </c>
      <c r="C937" t="s">
        <v>1</v>
      </c>
      <c r="D937" t="s">
        <v>569</v>
      </c>
      <c r="E937">
        <v>170</v>
      </c>
      <c r="F937">
        <v>0</v>
      </c>
      <c r="G937" s="2">
        <v>13.37</v>
      </c>
      <c r="H937">
        <v>0</v>
      </c>
      <c r="I937">
        <v>1570</v>
      </c>
      <c r="K937" t="s">
        <v>229</v>
      </c>
      <c r="L937">
        <v>7</v>
      </c>
      <c r="M937">
        <v>0</v>
      </c>
      <c r="N937" t="s">
        <v>259</v>
      </c>
      <c r="O937" t="s">
        <v>574</v>
      </c>
      <c r="P937">
        <v>12</v>
      </c>
      <c r="Q93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2D051168</v>
      </c>
      <c r="R937" t="s">
        <v>644</v>
      </c>
      <c r="S93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938" spans="1:20" x14ac:dyDescent="0.25">
      <c r="A938" t="s">
        <v>24</v>
      </c>
      <c r="B938">
        <v>202005</v>
      </c>
      <c r="C938" t="s">
        <v>2</v>
      </c>
      <c r="D938" t="s">
        <v>182</v>
      </c>
      <c r="E938">
        <v>25</v>
      </c>
      <c r="F938">
        <v>0</v>
      </c>
      <c r="G938" s="2">
        <v>0.53</v>
      </c>
      <c r="H938">
        <v>0</v>
      </c>
      <c r="I938">
        <v>1570</v>
      </c>
      <c r="K938" t="s">
        <v>229</v>
      </c>
      <c r="L938">
        <v>7</v>
      </c>
      <c r="M938">
        <v>0</v>
      </c>
      <c r="N938" t="s">
        <v>259</v>
      </c>
      <c r="O938" t="s">
        <v>574</v>
      </c>
      <c r="P938">
        <v>12</v>
      </c>
      <c r="Q93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2D051227</v>
      </c>
      <c r="R938" t="s">
        <v>644</v>
      </c>
      <c r="S93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939" spans="1:20" x14ac:dyDescent="0.25">
      <c r="A939" t="s">
        <v>24</v>
      </c>
      <c r="B939">
        <v>202005</v>
      </c>
      <c r="C939" t="s">
        <v>3</v>
      </c>
      <c r="D939" t="s">
        <v>58</v>
      </c>
      <c r="E939">
        <v>275</v>
      </c>
      <c r="F939">
        <v>0</v>
      </c>
      <c r="G939" s="2">
        <v>5.57</v>
      </c>
      <c r="H939">
        <v>0</v>
      </c>
      <c r="I939">
        <v>1570</v>
      </c>
      <c r="K939" t="s">
        <v>229</v>
      </c>
      <c r="L939">
        <v>7</v>
      </c>
      <c r="M939">
        <v>0</v>
      </c>
      <c r="N939" t="s">
        <v>259</v>
      </c>
      <c r="O939" t="s">
        <v>574</v>
      </c>
      <c r="P939">
        <v>12</v>
      </c>
      <c r="Q93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2D051229</v>
      </c>
      <c r="R939" t="s">
        <v>644</v>
      </c>
      <c r="S93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940" spans="1:20" x14ac:dyDescent="0.25">
      <c r="A940" t="s">
        <v>24</v>
      </c>
      <c r="B940">
        <v>202005</v>
      </c>
      <c r="C940" t="s">
        <v>4</v>
      </c>
      <c r="D940" t="s">
        <v>265</v>
      </c>
      <c r="E940">
        <v>115</v>
      </c>
      <c r="F940">
        <v>0</v>
      </c>
      <c r="G940" s="2">
        <v>6.93</v>
      </c>
      <c r="H940">
        <v>0</v>
      </c>
      <c r="I940">
        <v>1570</v>
      </c>
      <c r="K940" t="s">
        <v>229</v>
      </c>
      <c r="L940">
        <v>7</v>
      </c>
      <c r="M940">
        <v>0</v>
      </c>
      <c r="N940" t="s">
        <v>259</v>
      </c>
      <c r="O940" t="s">
        <v>574</v>
      </c>
      <c r="P940">
        <v>12</v>
      </c>
      <c r="Q94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2D051230</v>
      </c>
      <c r="R940" t="s">
        <v>644</v>
      </c>
      <c r="S94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941" spans="1:20" x14ac:dyDescent="0.25">
      <c r="A941" t="s">
        <v>24</v>
      </c>
      <c r="B941">
        <v>202005</v>
      </c>
      <c r="C941" t="s">
        <v>5</v>
      </c>
      <c r="D941" t="s">
        <v>59</v>
      </c>
      <c r="E941">
        <v>8.56</v>
      </c>
      <c r="F941">
        <v>0</v>
      </c>
      <c r="G941" s="2">
        <v>7.36</v>
      </c>
      <c r="H941">
        <v>0</v>
      </c>
      <c r="I941">
        <v>1570</v>
      </c>
      <c r="K941" t="s">
        <v>229</v>
      </c>
      <c r="L941">
        <v>7</v>
      </c>
      <c r="M941">
        <v>0</v>
      </c>
      <c r="N941" t="s">
        <v>259</v>
      </c>
      <c r="O941" t="s">
        <v>574</v>
      </c>
      <c r="P941">
        <v>12</v>
      </c>
      <c r="Q94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2D051231</v>
      </c>
      <c r="R941" t="s">
        <v>644</v>
      </c>
      <c r="S94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942" spans="1:20" x14ac:dyDescent="0.25">
      <c r="A942" t="s">
        <v>24</v>
      </c>
      <c r="B942">
        <v>202005</v>
      </c>
      <c r="C942" t="s">
        <v>6</v>
      </c>
      <c r="D942" t="s">
        <v>60</v>
      </c>
      <c r="E942">
        <v>50</v>
      </c>
      <c r="F942">
        <v>0</v>
      </c>
      <c r="G942" s="2">
        <v>11.19</v>
      </c>
      <c r="H942">
        <v>0</v>
      </c>
      <c r="I942">
        <v>1570</v>
      </c>
      <c r="K942" t="s">
        <v>229</v>
      </c>
      <c r="L942">
        <v>7</v>
      </c>
      <c r="M942">
        <v>0</v>
      </c>
      <c r="N942" t="s">
        <v>259</v>
      </c>
      <c r="O942" t="s">
        <v>574</v>
      </c>
      <c r="P942">
        <v>12</v>
      </c>
      <c r="Q94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2D051245</v>
      </c>
      <c r="R942" t="s">
        <v>644</v>
      </c>
      <c r="S94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943" spans="1:20" x14ac:dyDescent="0.25">
      <c r="A943" t="s">
        <v>24</v>
      </c>
      <c r="B943">
        <v>202005</v>
      </c>
      <c r="C943" t="s">
        <v>260</v>
      </c>
      <c r="D943" t="s">
        <v>261</v>
      </c>
      <c r="E943">
        <v>50</v>
      </c>
      <c r="F943">
        <v>0</v>
      </c>
      <c r="G943" s="2">
        <v>3.49</v>
      </c>
      <c r="H943">
        <v>0</v>
      </c>
      <c r="I943">
        <v>1570</v>
      </c>
      <c r="K943" t="s">
        <v>229</v>
      </c>
      <c r="L943">
        <v>7</v>
      </c>
      <c r="M943">
        <v>0</v>
      </c>
      <c r="N943" t="s">
        <v>259</v>
      </c>
      <c r="O943" t="s">
        <v>574</v>
      </c>
      <c r="P943">
        <v>12</v>
      </c>
      <c r="Q94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2D051334</v>
      </c>
      <c r="R943" t="s">
        <v>644</v>
      </c>
      <c r="S94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944" spans="1:20" x14ac:dyDescent="0.25">
      <c r="A944" t="s">
        <v>24</v>
      </c>
      <c r="B944">
        <v>202005</v>
      </c>
      <c r="C944" t="s">
        <v>56</v>
      </c>
      <c r="D944" t="s">
        <v>246</v>
      </c>
      <c r="E944">
        <v>0</v>
      </c>
      <c r="F944">
        <v>0</v>
      </c>
      <c r="G944" s="2">
        <v>0.09</v>
      </c>
      <c r="H944">
        <v>0</v>
      </c>
      <c r="K944" t="s">
        <v>229</v>
      </c>
      <c r="L944">
        <v>8</v>
      </c>
      <c r="M944">
        <v>0</v>
      </c>
      <c r="O944" t="s">
        <v>574</v>
      </c>
      <c r="P944">
        <v>12</v>
      </c>
      <c r="Q94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2D058999</v>
      </c>
      <c r="R944" t="s">
        <v>644</v>
      </c>
      <c r="S94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945" spans="1:20" x14ac:dyDescent="0.25">
      <c r="A945" t="s">
        <v>1450</v>
      </c>
      <c r="B945">
        <v>202005</v>
      </c>
      <c r="C945" t="s">
        <v>45</v>
      </c>
      <c r="D945" t="s">
        <v>543</v>
      </c>
      <c r="E945">
        <v>203.78781000000001</v>
      </c>
      <c r="F945">
        <v>0</v>
      </c>
      <c r="G945" s="2">
        <v>100</v>
      </c>
      <c r="H945">
        <v>0</v>
      </c>
      <c r="I945">
        <v>1570</v>
      </c>
      <c r="K945" t="s">
        <v>229</v>
      </c>
      <c r="L945">
        <v>1</v>
      </c>
      <c r="M945">
        <v>0</v>
      </c>
      <c r="N945" t="s">
        <v>259</v>
      </c>
      <c r="O945" t="s">
        <v>1451</v>
      </c>
      <c r="P945">
        <v>12</v>
      </c>
      <c r="Q94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2D061101</v>
      </c>
      <c r="R945" t="s">
        <v>229</v>
      </c>
      <c r="S94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946" spans="1:20" x14ac:dyDescent="0.25">
      <c r="A946" t="s">
        <v>1450</v>
      </c>
      <c r="B946">
        <v>202005</v>
      </c>
      <c r="C946" t="s">
        <v>12</v>
      </c>
      <c r="D946" t="s">
        <v>13</v>
      </c>
      <c r="E946">
        <v>310.80027000000001</v>
      </c>
      <c r="F946">
        <v>0</v>
      </c>
      <c r="G946" s="2">
        <v>45.5</v>
      </c>
      <c r="H946">
        <v>0</v>
      </c>
      <c r="I946">
        <v>1570</v>
      </c>
      <c r="K946" t="s">
        <v>229</v>
      </c>
      <c r="L946">
        <v>6</v>
      </c>
      <c r="M946">
        <v>0</v>
      </c>
      <c r="N946" t="s">
        <v>259</v>
      </c>
      <c r="O946" t="s">
        <v>1451</v>
      </c>
      <c r="P946">
        <v>12</v>
      </c>
      <c r="Q94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2D061159</v>
      </c>
      <c r="R946" t="s">
        <v>229</v>
      </c>
      <c r="S94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  <c r="T946" t="s">
        <v>617</v>
      </c>
    </row>
    <row r="947" spans="1:20" x14ac:dyDescent="0.25">
      <c r="A947" t="s">
        <v>1450</v>
      </c>
      <c r="B947">
        <v>202005</v>
      </c>
      <c r="C947" t="s">
        <v>1</v>
      </c>
      <c r="D947" t="s">
        <v>569</v>
      </c>
      <c r="E947">
        <v>170</v>
      </c>
      <c r="F947">
        <v>0</v>
      </c>
      <c r="G947" s="2">
        <v>4.68</v>
      </c>
      <c r="H947">
        <v>0</v>
      </c>
      <c r="I947">
        <v>1570</v>
      </c>
      <c r="K947" t="s">
        <v>229</v>
      </c>
      <c r="L947">
        <v>7</v>
      </c>
      <c r="M947">
        <v>0</v>
      </c>
      <c r="N947" t="s">
        <v>259</v>
      </c>
      <c r="O947" t="s">
        <v>1451</v>
      </c>
      <c r="P947">
        <v>12</v>
      </c>
      <c r="Q94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2D061168</v>
      </c>
      <c r="R947" t="s">
        <v>229</v>
      </c>
      <c r="S94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948" spans="1:20" x14ac:dyDescent="0.25">
      <c r="A948" t="s">
        <v>1450</v>
      </c>
      <c r="B948">
        <v>202005</v>
      </c>
      <c r="C948" t="s">
        <v>2</v>
      </c>
      <c r="D948" t="s">
        <v>182</v>
      </c>
      <c r="E948">
        <v>25</v>
      </c>
      <c r="F948">
        <v>0</v>
      </c>
      <c r="G948" s="2">
        <v>1.63</v>
      </c>
      <c r="H948">
        <v>0</v>
      </c>
      <c r="I948">
        <v>1570</v>
      </c>
      <c r="K948" t="s">
        <v>229</v>
      </c>
      <c r="L948">
        <v>7</v>
      </c>
      <c r="M948">
        <v>0</v>
      </c>
      <c r="N948" t="s">
        <v>259</v>
      </c>
      <c r="O948" t="s">
        <v>1451</v>
      </c>
      <c r="P948">
        <v>12</v>
      </c>
      <c r="Q94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2D061227</v>
      </c>
      <c r="R948" t="s">
        <v>229</v>
      </c>
      <c r="S94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949" spans="1:20" x14ac:dyDescent="0.25">
      <c r="A949" t="s">
        <v>1450</v>
      </c>
      <c r="B949">
        <v>202005</v>
      </c>
      <c r="C949" t="s">
        <v>3</v>
      </c>
      <c r="D949" t="s">
        <v>58</v>
      </c>
      <c r="E949">
        <v>275</v>
      </c>
      <c r="F949">
        <v>0</v>
      </c>
      <c r="G949" s="2">
        <v>10.220000000000001</v>
      </c>
      <c r="H949">
        <v>0</v>
      </c>
      <c r="I949">
        <v>1570</v>
      </c>
      <c r="K949" t="s">
        <v>229</v>
      </c>
      <c r="L949">
        <v>7</v>
      </c>
      <c r="M949">
        <v>0</v>
      </c>
      <c r="N949" t="s">
        <v>259</v>
      </c>
      <c r="O949" t="s">
        <v>1451</v>
      </c>
      <c r="P949">
        <v>12</v>
      </c>
      <c r="Q94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2D061229</v>
      </c>
      <c r="R949" t="s">
        <v>229</v>
      </c>
      <c r="S94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950" spans="1:20" x14ac:dyDescent="0.25">
      <c r="A950" t="s">
        <v>1450</v>
      </c>
      <c r="B950">
        <v>202005</v>
      </c>
      <c r="C950" t="s">
        <v>4</v>
      </c>
      <c r="D950" t="s">
        <v>265</v>
      </c>
      <c r="E950">
        <v>115</v>
      </c>
      <c r="F950">
        <v>0</v>
      </c>
      <c r="G950" s="2">
        <v>6.41</v>
      </c>
      <c r="H950">
        <v>0</v>
      </c>
      <c r="I950">
        <v>1570</v>
      </c>
      <c r="K950" t="s">
        <v>229</v>
      </c>
      <c r="L950">
        <v>7</v>
      </c>
      <c r="M950">
        <v>0</v>
      </c>
      <c r="N950" t="s">
        <v>259</v>
      </c>
      <c r="O950" t="s">
        <v>1451</v>
      </c>
      <c r="P950">
        <v>12</v>
      </c>
      <c r="Q95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2D061230</v>
      </c>
      <c r="R950" t="s">
        <v>229</v>
      </c>
      <c r="S95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951" spans="1:20" x14ac:dyDescent="0.25">
      <c r="A951" t="s">
        <v>1450</v>
      </c>
      <c r="B951">
        <v>202005</v>
      </c>
      <c r="C951" t="s">
        <v>5</v>
      </c>
      <c r="D951" t="s">
        <v>59</v>
      </c>
      <c r="E951">
        <v>8.56</v>
      </c>
      <c r="F951">
        <v>0</v>
      </c>
      <c r="G951" s="2">
        <v>14.27</v>
      </c>
      <c r="H951">
        <v>0</v>
      </c>
      <c r="I951">
        <v>1570</v>
      </c>
      <c r="K951" t="s">
        <v>229</v>
      </c>
      <c r="L951">
        <v>7</v>
      </c>
      <c r="M951">
        <v>0</v>
      </c>
      <c r="N951" t="s">
        <v>259</v>
      </c>
      <c r="O951" t="s">
        <v>1451</v>
      </c>
      <c r="P951">
        <v>12</v>
      </c>
      <c r="Q95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2D061231</v>
      </c>
      <c r="R951" t="s">
        <v>229</v>
      </c>
      <c r="S95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952" spans="1:20" x14ac:dyDescent="0.25">
      <c r="A952" t="s">
        <v>1450</v>
      </c>
      <c r="B952">
        <v>202005</v>
      </c>
      <c r="C952" t="s">
        <v>6</v>
      </c>
      <c r="D952" t="s">
        <v>60</v>
      </c>
      <c r="E952">
        <v>50</v>
      </c>
      <c r="F952">
        <v>0</v>
      </c>
      <c r="G952" s="2">
        <v>15.51</v>
      </c>
      <c r="H952">
        <v>0</v>
      </c>
      <c r="I952">
        <v>1570</v>
      </c>
      <c r="K952" t="s">
        <v>229</v>
      </c>
      <c r="L952">
        <v>7</v>
      </c>
      <c r="M952">
        <v>0</v>
      </c>
      <c r="N952" t="s">
        <v>259</v>
      </c>
      <c r="O952" t="s">
        <v>1451</v>
      </c>
      <c r="P952">
        <v>12</v>
      </c>
      <c r="Q95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2D061245</v>
      </c>
      <c r="R952" t="s">
        <v>229</v>
      </c>
      <c r="S95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953" spans="1:20" x14ac:dyDescent="0.25">
      <c r="A953" t="s">
        <v>1450</v>
      </c>
      <c r="B953">
        <v>202005</v>
      </c>
      <c r="C953" t="s">
        <v>56</v>
      </c>
      <c r="D953" t="s">
        <v>246</v>
      </c>
      <c r="E953">
        <v>0</v>
      </c>
      <c r="F953">
        <v>0</v>
      </c>
      <c r="G953" s="2">
        <v>0</v>
      </c>
      <c r="H953">
        <v>0</v>
      </c>
      <c r="K953" t="s">
        <v>229</v>
      </c>
      <c r="L953">
        <v>8</v>
      </c>
      <c r="M953">
        <v>0</v>
      </c>
      <c r="O953" t="s">
        <v>1451</v>
      </c>
      <c r="P953">
        <v>12</v>
      </c>
      <c r="Q95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2D068999</v>
      </c>
      <c r="R953" t="s">
        <v>229</v>
      </c>
      <c r="S95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954" spans="1:20" x14ac:dyDescent="0.25">
      <c r="A954" t="s">
        <v>28</v>
      </c>
      <c r="B954">
        <v>202005</v>
      </c>
      <c r="C954" t="s">
        <v>45</v>
      </c>
      <c r="D954" t="s">
        <v>543</v>
      </c>
      <c r="E954">
        <v>203.78781000000001</v>
      </c>
      <c r="F954">
        <v>0</v>
      </c>
      <c r="G954" s="2">
        <v>100</v>
      </c>
      <c r="H954">
        <v>0</v>
      </c>
      <c r="I954">
        <v>1570</v>
      </c>
      <c r="K954" t="s">
        <v>229</v>
      </c>
      <c r="L954">
        <v>1</v>
      </c>
      <c r="M954">
        <v>0</v>
      </c>
      <c r="N954" t="s">
        <v>259</v>
      </c>
      <c r="O954" t="s">
        <v>575</v>
      </c>
      <c r="P954">
        <v>12</v>
      </c>
      <c r="Q95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2D071101</v>
      </c>
      <c r="R954" t="s">
        <v>644</v>
      </c>
      <c r="S95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955" spans="1:20" x14ac:dyDescent="0.25">
      <c r="A955" t="s">
        <v>28</v>
      </c>
      <c r="B955">
        <v>202005</v>
      </c>
      <c r="C955" t="s">
        <v>25</v>
      </c>
      <c r="D955" t="s">
        <v>26</v>
      </c>
      <c r="E955">
        <v>339.74252000000001</v>
      </c>
      <c r="F955">
        <v>0</v>
      </c>
      <c r="G955" s="2">
        <v>42.48</v>
      </c>
      <c r="H955">
        <v>0</v>
      </c>
      <c r="I955">
        <v>1570</v>
      </c>
      <c r="K955" t="s">
        <v>229</v>
      </c>
      <c r="L955">
        <v>6</v>
      </c>
      <c r="M955">
        <v>0</v>
      </c>
      <c r="N955" t="s">
        <v>259</v>
      </c>
      <c r="O955" t="s">
        <v>575</v>
      </c>
      <c r="P955">
        <v>12</v>
      </c>
      <c r="Q95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2D071164</v>
      </c>
      <c r="R955" t="s">
        <v>644</v>
      </c>
      <c r="S95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  <c r="T955" t="s">
        <v>7</v>
      </c>
    </row>
    <row r="956" spans="1:20" x14ac:dyDescent="0.25">
      <c r="A956" t="s">
        <v>28</v>
      </c>
      <c r="B956">
        <v>202005</v>
      </c>
      <c r="C956" t="s">
        <v>1</v>
      </c>
      <c r="D956" t="s">
        <v>569</v>
      </c>
      <c r="E956">
        <v>170</v>
      </c>
      <c r="F956">
        <v>0</v>
      </c>
      <c r="G956" s="2">
        <v>11.73</v>
      </c>
      <c r="H956">
        <v>0</v>
      </c>
      <c r="I956">
        <v>1570</v>
      </c>
      <c r="K956" t="s">
        <v>229</v>
      </c>
      <c r="L956">
        <v>7</v>
      </c>
      <c r="M956">
        <v>0</v>
      </c>
      <c r="N956" t="s">
        <v>259</v>
      </c>
      <c r="O956" t="s">
        <v>575</v>
      </c>
      <c r="P956">
        <v>12</v>
      </c>
      <c r="Q95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2D071168</v>
      </c>
      <c r="R956" t="s">
        <v>644</v>
      </c>
      <c r="S95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957" spans="1:20" x14ac:dyDescent="0.25">
      <c r="A957" t="s">
        <v>28</v>
      </c>
      <c r="B957">
        <v>202005</v>
      </c>
      <c r="C957" t="s">
        <v>2</v>
      </c>
      <c r="D957" t="s">
        <v>182</v>
      </c>
      <c r="E957">
        <v>25</v>
      </c>
      <c r="F957">
        <v>0</v>
      </c>
      <c r="G957" s="2">
        <v>1.39</v>
      </c>
      <c r="H957">
        <v>0</v>
      </c>
      <c r="I957">
        <v>1570</v>
      </c>
      <c r="K957" t="s">
        <v>229</v>
      </c>
      <c r="L957">
        <v>7</v>
      </c>
      <c r="M957">
        <v>0</v>
      </c>
      <c r="N957" t="s">
        <v>259</v>
      </c>
      <c r="O957" t="s">
        <v>575</v>
      </c>
      <c r="P957">
        <v>12</v>
      </c>
      <c r="Q95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2D071227</v>
      </c>
      <c r="R957" t="s">
        <v>644</v>
      </c>
      <c r="S95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958" spans="1:20" x14ac:dyDescent="0.25">
      <c r="A958" t="s">
        <v>28</v>
      </c>
      <c r="B958">
        <v>202005</v>
      </c>
      <c r="C958" t="s">
        <v>3</v>
      </c>
      <c r="D958" t="s">
        <v>58</v>
      </c>
      <c r="E958">
        <v>275</v>
      </c>
      <c r="F958">
        <v>0</v>
      </c>
      <c r="G958" s="2">
        <v>4.74</v>
      </c>
      <c r="H958">
        <v>0</v>
      </c>
      <c r="I958">
        <v>1570</v>
      </c>
      <c r="K958" t="s">
        <v>229</v>
      </c>
      <c r="L958">
        <v>7</v>
      </c>
      <c r="M958">
        <v>0</v>
      </c>
      <c r="N958" t="s">
        <v>259</v>
      </c>
      <c r="O958" t="s">
        <v>575</v>
      </c>
      <c r="P958">
        <v>12</v>
      </c>
      <c r="Q95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2D071229</v>
      </c>
      <c r="R958" t="s">
        <v>644</v>
      </c>
      <c r="S95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959" spans="1:20" x14ac:dyDescent="0.25">
      <c r="A959" t="s">
        <v>28</v>
      </c>
      <c r="B959">
        <v>202005</v>
      </c>
      <c r="C959" t="s">
        <v>4</v>
      </c>
      <c r="D959" t="s">
        <v>265</v>
      </c>
      <c r="E959">
        <v>115</v>
      </c>
      <c r="F959">
        <v>0</v>
      </c>
      <c r="G959" s="2">
        <v>6.18</v>
      </c>
      <c r="H959">
        <v>0</v>
      </c>
      <c r="I959">
        <v>1570</v>
      </c>
      <c r="K959" t="s">
        <v>229</v>
      </c>
      <c r="L959">
        <v>7</v>
      </c>
      <c r="M959">
        <v>0</v>
      </c>
      <c r="N959" t="s">
        <v>259</v>
      </c>
      <c r="O959" t="s">
        <v>575</v>
      </c>
      <c r="P959">
        <v>12</v>
      </c>
      <c r="Q95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2D071230</v>
      </c>
      <c r="R959" t="s">
        <v>644</v>
      </c>
      <c r="S95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960" spans="1:20" x14ac:dyDescent="0.25">
      <c r="A960" t="s">
        <v>28</v>
      </c>
      <c r="B960">
        <v>202005</v>
      </c>
      <c r="C960" t="s">
        <v>5</v>
      </c>
      <c r="D960" t="s">
        <v>59</v>
      </c>
      <c r="E960">
        <v>8.56</v>
      </c>
      <c r="F960">
        <v>0</v>
      </c>
      <c r="G960" s="2">
        <v>2.73</v>
      </c>
      <c r="H960">
        <v>0</v>
      </c>
      <c r="I960">
        <v>1570</v>
      </c>
      <c r="K960" t="s">
        <v>229</v>
      </c>
      <c r="L960">
        <v>7</v>
      </c>
      <c r="M960">
        <v>0</v>
      </c>
      <c r="N960" t="s">
        <v>259</v>
      </c>
      <c r="O960" t="s">
        <v>575</v>
      </c>
      <c r="P960">
        <v>12</v>
      </c>
      <c r="Q96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2D071231</v>
      </c>
      <c r="R960" t="s">
        <v>644</v>
      </c>
      <c r="S96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961" spans="1:20" x14ac:dyDescent="0.25">
      <c r="A961" t="s">
        <v>28</v>
      </c>
      <c r="B961">
        <v>202005</v>
      </c>
      <c r="C961" t="s">
        <v>6</v>
      </c>
      <c r="D961" t="s">
        <v>60</v>
      </c>
      <c r="E961">
        <v>50</v>
      </c>
      <c r="F961">
        <v>0</v>
      </c>
      <c r="G961" s="2">
        <v>13.83</v>
      </c>
      <c r="H961">
        <v>0</v>
      </c>
      <c r="I961">
        <v>1570</v>
      </c>
      <c r="K961" t="s">
        <v>229</v>
      </c>
      <c r="L961">
        <v>7</v>
      </c>
      <c r="M961">
        <v>0</v>
      </c>
      <c r="N961" t="s">
        <v>259</v>
      </c>
      <c r="O961" t="s">
        <v>575</v>
      </c>
      <c r="P961">
        <v>12</v>
      </c>
      <c r="Q96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2D071245</v>
      </c>
      <c r="R961" t="s">
        <v>644</v>
      </c>
      <c r="S96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962" spans="1:20" x14ac:dyDescent="0.25">
      <c r="A962" t="s">
        <v>28</v>
      </c>
      <c r="B962">
        <v>202005</v>
      </c>
      <c r="C962" t="s">
        <v>7</v>
      </c>
      <c r="D962" t="s">
        <v>570</v>
      </c>
      <c r="E962">
        <v>80</v>
      </c>
      <c r="F962">
        <v>0</v>
      </c>
      <c r="G962" s="2">
        <v>12.62</v>
      </c>
      <c r="H962">
        <v>0</v>
      </c>
      <c r="I962">
        <v>1570</v>
      </c>
      <c r="K962" t="s">
        <v>229</v>
      </c>
      <c r="L962">
        <v>7</v>
      </c>
      <c r="M962">
        <v>0</v>
      </c>
      <c r="N962" t="s">
        <v>259</v>
      </c>
      <c r="O962" t="s">
        <v>575</v>
      </c>
      <c r="P962">
        <v>12</v>
      </c>
      <c r="Q96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2D071246</v>
      </c>
      <c r="R962" t="s">
        <v>644</v>
      </c>
      <c r="S96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963" spans="1:20" x14ac:dyDescent="0.25">
      <c r="A963" t="s">
        <v>28</v>
      </c>
      <c r="B963">
        <v>202005</v>
      </c>
      <c r="C963" t="s">
        <v>260</v>
      </c>
      <c r="D963" t="s">
        <v>261</v>
      </c>
      <c r="E963">
        <v>50</v>
      </c>
      <c r="F963">
        <v>0</v>
      </c>
      <c r="G963" s="2">
        <v>3.58</v>
      </c>
      <c r="H963">
        <v>0</v>
      </c>
      <c r="I963">
        <v>1570</v>
      </c>
      <c r="K963" t="s">
        <v>229</v>
      </c>
      <c r="L963">
        <v>7</v>
      </c>
      <c r="M963">
        <v>0</v>
      </c>
      <c r="N963" t="s">
        <v>259</v>
      </c>
      <c r="O963" t="s">
        <v>575</v>
      </c>
      <c r="P963">
        <v>12</v>
      </c>
      <c r="Q96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2D071334</v>
      </c>
      <c r="R963" t="s">
        <v>644</v>
      </c>
      <c r="S96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964" spans="1:20" x14ac:dyDescent="0.25">
      <c r="A964" t="s">
        <v>28</v>
      </c>
      <c r="B964">
        <v>202005</v>
      </c>
      <c r="C964" t="s">
        <v>56</v>
      </c>
      <c r="D964" t="s">
        <v>246</v>
      </c>
      <c r="E964">
        <v>0</v>
      </c>
      <c r="F964">
        <v>0</v>
      </c>
      <c r="G964" s="2">
        <v>0.72</v>
      </c>
      <c r="H964">
        <v>0</v>
      </c>
      <c r="K964" t="s">
        <v>229</v>
      </c>
      <c r="L964">
        <v>8</v>
      </c>
      <c r="M964">
        <v>0</v>
      </c>
      <c r="O964" t="s">
        <v>575</v>
      </c>
      <c r="P964">
        <v>12</v>
      </c>
      <c r="Q96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2D078999</v>
      </c>
      <c r="R964" t="s">
        <v>644</v>
      </c>
      <c r="S96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965" spans="1:20" x14ac:dyDescent="0.25">
      <c r="A965" t="s">
        <v>17</v>
      </c>
      <c r="B965">
        <v>202005</v>
      </c>
      <c r="C965" t="s">
        <v>45</v>
      </c>
      <c r="D965" t="s">
        <v>543</v>
      </c>
      <c r="E965">
        <v>203.78781000000001</v>
      </c>
      <c r="F965">
        <v>0</v>
      </c>
      <c r="G965" s="2">
        <v>100</v>
      </c>
      <c r="H965">
        <v>0</v>
      </c>
      <c r="I965">
        <v>1570</v>
      </c>
      <c r="K965" t="s">
        <v>229</v>
      </c>
      <c r="L965">
        <v>1</v>
      </c>
      <c r="M965">
        <v>0</v>
      </c>
      <c r="N965" t="s">
        <v>259</v>
      </c>
      <c r="O965" t="s">
        <v>576</v>
      </c>
      <c r="P965">
        <v>12</v>
      </c>
      <c r="Q96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2D081101</v>
      </c>
      <c r="R965" t="s">
        <v>644</v>
      </c>
      <c r="S96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966" spans="1:20" x14ac:dyDescent="0.25">
      <c r="A966" t="s">
        <v>17</v>
      </c>
      <c r="B966">
        <v>202005</v>
      </c>
      <c r="C966" t="s">
        <v>15</v>
      </c>
      <c r="D966" t="s">
        <v>572</v>
      </c>
      <c r="E966">
        <v>321.67621000000003</v>
      </c>
      <c r="F966">
        <v>0</v>
      </c>
      <c r="G966" s="2">
        <v>25.27</v>
      </c>
      <c r="H966">
        <v>0</v>
      </c>
      <c r="I966">
        <v>1570</v>
      </c>
      <c r="K966" t="s">
        <v>229</v>
      </c>
      <c r="L966">
        <v>6</v>
      </c>
      <c r="M966">
        <v>0</v>
      </c>
      <c r="N966" t="s">
        <v>259</v>
      </c>
      <c r="O966" t="s">
        <v>576</v>
      </c>
      <c r="P966">
        <v>12</v>
      </c>
      <c r="Q96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2D081160</v>
      </c>
      <c r="R966" t="s">
        <v>644</v>
      </c>
      <c r="S96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  <c r="T966" t="s">
        <v>7</v>
      </c>
    </row>
    <row r="967" spans="1:20" x14ac:dyDescent="0.25">
      <c r="A967" t="s">
        <v>17</v>
      </c>
      <c r="B967">
        <v>202005</v>
      </c>
      <c r="C967" t="s">
        <v>1</v>
      </c>
      <c r="D967" t="s">
        <v>569</v>
      </c>
      <c r="E967">
        <v>170</v>
      </c>
      <c r="F967">
        <v>0</v>
      </c>
      <c r="G967" s="2">
        <v>4.9400000000000004</v>
      </c>
      <c r="H967">
        <v>0</v>
      </c>
      <c r="I967">
        <v>1570</v>
      </c>
      <c r="K967" t="s">
        <v>229</v>
      </c>
      <c r="L967">
        <v>7</v>
      </c>
      <c r="M967">
        <v>0</v>
      </c>
      <c r="N967" t="s">
        <v>259</v>
      </c>
      <c r="O967" t="s">
        <v>576</v>
      </c>
      <c r="P967">
        <v>12</v>
      </c>
      <c r="Q96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2D081168</v>
      </c>
      <c r="R967" t="s">
        <v>644</v>
      </c>
      <c r="S96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968" spans="1:20" x14ac:dyDescent="0.25">
      <c r="A968" t="s">
        <v>17</v>
      </c>
      <c r="B968">
        <v>202005</v>
      </c>
      <c r="C968" t="s">
        <v>2</v>
      </c>
      <c r="D968" t="s">
        <v>182</v>
      </c>
      <c r="E968">
        <v>25</v>
      </c>
      <c r="F968">
        <v>0</v>
      </c>
      <c r="G968" s="2">
        <v>0.81</v>
      </c>
      <c r="H968">
        <v>0</v>
      </c>
      <c r="I968">
        <v>1570</v>
      </c>
      <c r="K968" t="s">
        <v>229</v>
      </c>
      <c r="L968">
        <v>7</v>
      </c>
      <c r="M968">
        <v>0</v>
      </c>
      <c r="N968" t="s">
        <v>259</v>
      </c>
      <c r="O968" t="s">
        <v>576</v>
      </c>
      <c r="P968">
        <v>12</v>
      </c>
      <c r="Q96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2D081227</v>
      </c>
      <c r="R968" t="s">
        <v>644</v>
      </c>
      <c r="S96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969" spans="1:20" x14ac:dyDescent="0.25">
      <c r="A969" t="s">
        <v>17</v>
      </c>
      <c r="B969">
        <v>202005</v>
      </c>
      <c r="C969" t="s">
        <v>3</v>
      </c>
      <c r="D969" t="s">
        <v>58</v>
      </c>
      <c r="E969">
        <v>275</v>
      </c>
      <c r="F969">
        <v>0</v>
      </c>
      <c r="G969" s="2">
        <v>27.84</v>
      </c>
      <c r="H969">
        <v>0</v>
      </c>
      <c r="I969">
        <v>1570</v>
      </c>
      <c r="K969" t="s">
        <v>229</v>
      </c>
      <c r="L969">
        <v>7</v>
      </c>
      <c r="M969">
        <v>0</v>
      </c>
      <c r="N969" t="s">
        <v>259</v>
      </c>
      <c r="O969" t="s">
        <v>576</v>
      </c>
      <c r="P969">
        <v>12</v>
      </c>
      <c r="Q96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2D081229</v>
      </c>
      <c r="R969" t="s">
        <v>644</v>
      </c>
      <c r="S96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970" spans="1:20" x14ac:dyDescent="0.25">
      <c r="A970" t="s">
        <v>17</v>
      </c>
      <c r="B970">
        <v>202005</v>
      </c>
      <c r="C970" t="s">
        <v>4</v>
      </c>
      <c r="D970" t="s">
        <v>265</v>
      </c>
      <c r="E970">
        <v>115</v>
      </c>
      <c r="F970">
        <v>0</v>
      </c>
      <c r="G970" s="2">
        <v>4.09</v>
      </c>
      <c r="H970">
        <v>0</v>
      </c>
      <c r="I970">
        <v>1570</v>
      </c>
      <c r="K970" t="s">
        <v>229</v>
      </c>
      <c r="L970">
        <v>7</v>
      </c>
      <c r="M970">
        <v>0</v>
      </c>
      <c r="N970" t="s">
        <v>259</v>
      </c>
      <c r="O970" t="s">
        <v>576</v>
      </c>
      <c r="P970">
        <v>12</v>
      </c>
      <c r="Q97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2D081230</v>
      </c>
      <c r="R970" t="s">
        <v>644</v>
      </c>
      <c r="S97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971" spans="1:20" x14ac:dyDescent="0.25">
      <c r="A971" t="s">
        <v>17</v>
      </c>
      <c r="B971">
        <v>202005</v>
      </c>
      <c r="C971" t="s">
        <v>5</v>
      </c>
      <c r="D971" t="s">
        <v>59</v>
      </c>
      <c r="E971">
        <v>8.56</v>
      </c>
      <c r="F971">
        <v>0</v>
      </c>
      <c r="G971" s="2">
        <v>5.55</v>
      </c>
      <c r="H971">
        <v>0</v>
      </c>
      <c r="I971">
        <v>1570</v>
      </c>
      <c r="K971" t="s">
        <v>229</v>
      </c>
      <c r="L971">
        <v>7</v>
      </c>
      <c r="M971">
        <v>0</v>
      </c>
      <c r="N971" t="s">
        <v>259</v>
      </c>
      <c r="O971" t="s">
        <v>576</v>
      </c>
      <c r="P971">
        <v>12</v>
      </c>
      <c r="Q97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2D081231</v>
      </c>
      <c r="R971" t="s">
        <v>644</v>
      </c>
      <c r="S97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972" spans="1:20" x14ac:dyDescent="0.25">
      <c r="A972" t="s">
        <v>17</v>
      </c>
      <c r="B972">
        <v>202005</v>
      </c>
      <c r="C972" t="s">
        <v>6</v>
      </c>
      <c r="D972" t="s">
        <v>60</v>
      </c>
      <c r="E972">
        <v>50</v>
      </c>
      <c r="F972">
        <v>0</v>
      </c>
      <c r="G972" s="2">
        <v>17.559999999999999</v>
      </c>
      <c r="H972">
        <v>0</v>
      </c>
      <c r="I972">
        <v>1570</v>
      </c>
      <c r="K972" t="s">
        <v>229</v>
      </c>
      <c r="L972">
        <v>7</v>
      </c>
      <c r="M972">
        <v>0</v>
      </c>
      <c r="N972" t="s">
        <v>259</v>
      </c>
      <c r="O972" t="s">
        <v>576</v>
      </c>
      <c r="P972">
        <v>12</v>
      </c>
      <c r="Q97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2D081245</v>
      </c>
      <c r="R972" t="s">
        <v>644</v>
      </c>
      <c r="S97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973" spans="1:20" x14ac:dyDescent="0.25">
      <c r="A973" t="s">
        <v>17</v>
      </c>
      <c r="B973">
        <v>202005</v>
      </c>
      <c r="C973" t="s">
        <v>7</v>
      </c>
      <c r="D973" t="s">
        <v>570</v>
      </c>
      <c r="E973">
        <v>80</v>
      </c>
      <c r="F973">
        <v>0</v>
      </c>
      <c r="G973" s="2">
        <v>10.25</v>
      </c>
      <c r="H973">
        <v>0</v>
      </c>
      <c r="I973">
        <v>1570</v>
      </c>
      <c r="K973" t="s">
        <v>229</v>
      </c>
      <c r="L973">
        <v>7</v>
      </c>
      <c r="M973">
        <v>0</v>
      </c>
      <c r="N973" t="s">
        <v>259</v>
      </c>
      <c r="O973" t="s">
        <v>576</v>
      </c>
      <c r="P973">
        <v>12</v>
      </c>
      <c r="Q97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2D081246</v>
      </c>
      <c r="R973" t="s">
        <v>644</v>
      </c>
      <c r="S97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974" spans="1:20" x14ac:dyDescent="0.25">
      <c r="A974" t="s">
        <v>17</v>
      </c>
      <c r="B974">
        <v>202005</v>
      </c>
      <c r="C974" t="s">
        <v>260</v>
      </c>
      <c r="D974" t="s">
        <v>261</v>
      </c>
      <c r="E974">
        <v>50</v>
      </c>
      <c r="F974">
        <v>0</v>
      </c>
      <c r="G974" s="2">
        <v>3.45</v>
      </c>
      <c r="H974">
        <v>0</v>
      </c>
      <c r="I974">
        <v>1570</v>
      </c>
      <c r="K974" t="s">
        <v>229</v>
      </c>
      <c r="L974">
        <v>7</v>
      </c>
      <c r="M974">
        <v>0</v>
      </c>
      <c r="N974" t="s">
        <v>259</v>
      </c>
      <c r="O974" t="s">
        <v>576</v>
      </c>
      <c r="P974">
        <v>12</v>
      </c>
      <c r="Q97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2D081334</v>
      </c>
      <c r="R974" t="s">
        <v>644</v>
      </c>
      <c r="S97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975" spans="1:20" x14ac:dyDescent="0.25">
      <c r="A975" t="s">
        <v>17</v>
      </c>
      <c r="B975">
        <v>202005</v>
      </c>
      <c r="C975" t="s">
        <v>56</v>
      </c>
      <c r="D975" t="s">
        <v>246</v>
      </c>
      <c r="E975">
        <v>0</v>
      </c>
      <c r="F975">
        <v>0</v>
      </c>
      <c r="G975" s="2">
        <v>0.27</v>
      </c>
      <c r="H975">
        <v>0</v>
      </c>
      <c r="K975" t="s">
        <v>229</v>
      </c>
      <c r="L975">
        <v>8</v>
      </c>
      <c r="M975">
        <v>0</v>
      </c>
      <c r="O975" t="s">
        <v>576</v>
      </c>
      <c r="P975">
        <v>12</v>
      </c>
      <c r="Q97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2D088999</v>
      </c>
      <c r="R975" t="s">
        <v>644</v>
      </c>
      <c r="S97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976" spans="1:20" x14ac:dyDescent="0.25">
      <c r="A976" t="s">
        <v>31</v>
      </c>
      <c r="B976">
        <v>202005</v>
      </c>
      <c r="C976" t="s">
        <v>45</v>
      </c>
      <c r="D976" t="s">
        <v>543</v>
      </c>
      <c r="E976">
        <v>203.78781000000001</v>
      </c>
      <c r="F976">
        <v>0</v>
      </c>
      <c r="G976" s="2">
        <v>100</v>
      </c>
      <c r="H976">
        <v>0</v>
      </c>
      <c r="I976">
        <v>1570</v>
      </c>
      <c r="K976" t="s">
        <v>229</v>
      </c>
      <c r="L976">
        <v>1</v>
      </c>
      <c r="M976">
        <v>0</v>
      </c>
      <c r="N976" t="s">
        <v>259</v>
      </c>
      <c r="O976" t="s">
        <v>577</v>
      </c>
      <c r="P976">
        <v>12</v>
      </c>
      <c r="Q97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2D091101</v>
      </c>
      <c r="R976" t="s">
        <v>644</v>
      </c>
      <c r="S97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977" spans="1:20" x14ac:dyDescent="0.25">
      <c r="A977" t="s">
        <v>31</v>
      </c>
      <c r="B977">
        <v>202005</v>
      </c>
      <c r="C977" t="s">
        <v>29</v>
      </c>
      <c r="D977" t="s">
        <v>30</v>
      </c>
      <c r="E977">
        <v>284.52485999999999</v>
      </c>
      <c r="F977">
        <v>0</v>
      </c>
      <c r="G977" s="2">
        <v>55.07</v>
      </c>
      <c r="H977">
        <v>0</v>
      </c>
      <c r="I977">
        <v>1570</v>
      </c>
      <c r="K977" t="s">
        <v>229</v>
      </c>
      <c r="L977">
        <v>6</v>
      </c>
      <c r="M977">
        <v>0</v>
      </c>
      <c r="N977" t="s">
        <v>259</v>
      </c>
      <c r="O977" t="s">
        <v>577</v>
      </c>
      <c r="P977">
        <v>12</v>
      </c>
      <c r="Q97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2D091165</v>
      </c>
      <c r="R977" t="s">
        <v>644</v>
      </c>
      <c r="S97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  <c r="T977" t="s">
        <v>617</v>
      </c>
    </row>
    <row r="978" spans="1:20" x14ac:dyDescent="0.25">
      <c r="A978" t="s">
        <v>31</v>
      </c>
      <c r="B978">
        <v>202005</v>
      </c>
      <c r="C978" t="s">
        <v>1</v>
      </c>
      <c r="D978" t="s">
        <v>569</v>
      </c>
      <c r="E978">
        <v>170</v>
      </c>
      <c r="F978">
        <v>0</v>
      </c>
      <c r="G978" s="2">
        <v>12.33</v>
      </c>
      <c r="H978">
        <v>0</v>
      </c>
      <c r="I978">
        <v>1570</v>
      </c>
      <c r="K978" t="s">
        <v>229</v>
      </c>
      <c r="L978">
        <v>7</v>
      </c>
      <c r="M978">
        <v>0</v>
      </c>
      <c r="N978" t="s">
        <v>259</v>
      </c>
      <c r="O978" t="s">
        <v>577</v>
      </c>
      <c r="P978">
        <v>12</v>
      </c>
      <c r="Q97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2D091168</v>
      </c>
      <c r="R978" t="s">
        <v>644</v>
      </c>
      <c r="S97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979" spans="1:20" x14ac:dyDescent="0.25">
      <c r="A979" t="s">
        <v>31</v>
      </c>
      <c r="B979">
        <v>202005</v>
      </c>
      <c r="C979" t="s">
        <v>2</v>
      </c>
      <c r="D979" t="s">
        <v>182</v>
      </c>
      <c r="E979">
        <v>25</v>
      </c>
      <c r="F979">
        <v>0</v>
      </c>
      <c r="G979" s="2">
        <v>2</v>
      </c>
      <c r="H979">
        <v>0</v>
      </c>
      <c r="I979">
        <v>1570</v>
      </c>
      <c r="K979" t="s">
        <v>229</v>
      </c>
      <c r="L979">
        <v>7</v>
      </c>
      <c r="M979">
        <v>0</v>
      </c>
      <c r="N979" t="s">
        <v>259</v>
      </c>
      <c r="O979" t="s">
        <v>577</v>
      </c>
      <c r="P979">
        <v>12</v>
      </c>
      <c r="Q97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2D091227</v>
      </c>
      <c r="R979" t="s">
        <v>644</v>
      </c>
      <c r="S97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980" spans="1:20" x14ac:dyDescent="0.25">
      <c r="A980" t="s">
        <v>31</v>
      </c>
      <c r="B980">
        <v>202005</v>
      </c>
      <c r="C980" t="s">
        <v>3</v>
      </c>
      <c r="D980" t="s">
        <v>58</v>
      </c>
      <c r="E980">
        <v>275</v>
      </c>
      <c r="F980">
        <v>0</v>
      </c>
      <c r="G980" s="2">
        <v>4</v>
      </c>
      <c r="H980">
        <v>0</v>
      </c>
      <c r="I980">
        <v>1570</v>
      </c>
      <c r="K980" t="s">
        <v>229</v>
      </c>
      <c r="L980">
        <v>7</v>
      </c>
      <c r="M980">
        <v>0</v>
      </c>
      <c r="N980" t="s">
        <v>259</v>
      </c>
      <c r="O980" t="s">
        <v>577</v>
      </c>
      <c r="P980">
        <v>12</v>
      </c>
      <c r="Q98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2D091229</v>
      </c>
      <c r="R980" t="s">
        <v>644</v>
      </c>
      <c r="S98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981" spans="1:20" x14ac:dyDescent="0.25">
      <c r="A981" t="s">
        <v>31</v>
      </c>
      <c r="B981">
        <v>202005</v>
      </c>
      <c r="C981" t="s">
        <v>4</v>
      </c>
      <c r="D981" t="s">
        <v>265</v>
      </c>
      <c r="E981">
        <v>115</v>
      </c>
      <c r="F981">
        <v>0</v>
      </c>
      <c r="G981" s="2">
        <v>6.73</v>
      </c>
      <c r="H981">
        <v>0</v>
      </c>
      <c r="I981">
        <v>1570</v>
      </c>
      <c r="K981" t="s">
        <v>229</v>
      </c>
      <c r="L981">
        <v>7</v>
      </c>
      <c r="M981">
        <v>0</v>
      </c>
      <c r="N981" t="s">
        <v>259</v>
      </c>
      <c r="O981" t="s">
        <v>577</v>
      </c>
      <c r="P981">
        <v>12</v>
      </c>
      <c r="Q98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2D091230</v>
      </c>
      <c r="R981" t="s">
        <v>644</v>
      </c>
      <c r="S98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982" spans="1:20" x14ac:dyDescent="0.25">
      <c r="A982" t="s">
        <v>31</v>
      </c>
      <c r="B982">
        <v>202005</v>
      </c>
      <c r="C982" t="s">
        <v>5</v>
      </c>
      <c r="D982" t="s">
        <v>59</v>
      </c>
      <c r="E982">
        <v>8.56</v>
      </c>
      <c r="F982">
        <v>0</v>
      </c>
      <c r="G982" s="2">
        <v>7.12</v>
      </c>
      <c r="H982">
        <v>0</v>
      </c>
      <c r="I982">
        <v>1570</v>
      </c>
      <c r="K982" t="s">
        <v>229</v>
      </c>
      <c r="L982">
        <v>7</v>
      </c>
      <c r="M982">
        <v>0</v>
      </c>
      <c r="N982" t="s">
        <v>259</v>
      </c>
      <c r="O982" t="s">
        <v>577</v>
      </c>
      <c r="P982">
        <v>12</v>
      </c>
      <c r="Q98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2D091231</v>
      </c>
      <c r="R982" t="s">
        <v>644</v>
      </c>
      <c r="S98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983" spans="1:20" x14ac:dyDescent="0.25">
      <c r="A983" t="s">
        <v>31</v>
      </c>
      <c r="B983">
        <v>202005</v>
      </c>
      <c r="C983" t="s">
        <v>6</v>
      </c>
      <c r="D983" t="s">
        <v>60</v>
      </c>
      <c r="E983">
        <v>50</v>
      </c>
      <c r="F983">
        <v>0</v>
      </c>
      <c r="G983" s="2">
        <v>9.36</v>
      </c>
      <c r="H983">
        <v>0</v>
      </c>
      <c r="I983">
        <v>1570</v>
      </c>
      <c r="K983" t="s">
        <v>229</v>
      </c>
      <c r="L983">
        <v>7</v>
      </c>
      <c r="M983">
        <v>0</v>
      </c>
      <c r="N983" t="s">
        <v>259</v>
      </c>
      <c r="O983" t="s">
        <v>577</v>
      </c>
      <c r="P983">
        <v>12</v>
      </c>
      <c r="Q98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2D091245</v>
      </c>
      <c r="R983" t="s">
        <v>644</v>
      </c>
      <c r="S98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984" spans="1:20" x14ac:dyDescent="0.25">
      <c r="A984" t="s">
        <v>31</v>
      </c>
      <c r="B984">
        <v>202005</v>
      </c>
      <c r="C984" t="s">
        <v>260</v>
      </c>
      <c r="D984" t="s">
        <v>261</v>
      </c>
      <c r="E984">
        <v>50</v>
      </c>
      <c r="F984">
        <v>0</v>
      </c>
      <c r="G984" s="2">
        <v>3.22</v>
      </c>
      <c r="H984">
        <v>0</v>
      </c>
      <c r="I984">
        <v>1570</v>
      </c>
      <c r="K984" t="s">
        <v>229</v>
      </c>
      <c r="L984">
        <v>7</v>
      </c>
      <c r="M984">
        <v>0</v>
      </c>
      <c r="N984" t="s">
        <v>259</v>
      </c>
      <c r="O984" t="s">
        <v>577</v>
      </c>
      <c r="P984">
        <v>12</v>
      </c>
      <c r="Q98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2D091334</v>
      </c>
      <c r="R984" t="s">
        <v>644</v>
      </c>
      <c r="S98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985" spans="1:20" x14ac:dyDescent="0.25">
      <c r="A985" t="s">
        <v>31</v>
      </c>
      <c r="B985">
        <v>202005</v>
      </c>
      <c r="C985" t="s">
        <v>56</v>
      </c>
      <c r="D985" t="s">
        <v>246</v>
      </c>
      <c r="E985">
        <v>0</v>
      </c>
      <c r="F985">
        <v>0</v>
      </c>
      <c r="G985" s="2">
        <v>0.19</v>
      </c>
      <c r="H985">
        <v>0</v>
      </c>
      <c r="K985" t="s">
        <v>229</v>
      </c>
      <c r="L985">
        <v>8</v>
      </c>
      <c r="M985">
        <v>0</v>
      </c>
      <c r="O985" t="s">
        <v>577</v>
      </c>
      <c r="P985">
        <v>12</v>
      </c>
      <c r="Q98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2D098999</v>
      </c>
      <c r="R985" t="s">
        <v>644</v>
      </c>
      <c r="S98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986" spans="1:20" x14ac:dyDescent="0.25">
      <c r="A986" t="s">
        <v>14</v>
      </c>
      <c r="B986">
        <v>202005</v>
      </c>
      <c r="C986" t="s">
        <v>45</v>
      </c>
      <c r="D986" t="s">
        <v>543</v>
      </c>
      <c r="E986">
        <v>203.78781000000001</v>
      </c>
      <c r="F986">
        <v>0</v>
      </c>
      <c r="G986" s="2">
        <v>100</v>
      </c>
      <c r="H986">
        <v>0</v>
      </c>
      <c r="I986">
        <v>1570</v>
      </c>
      <c r="K986" t="s">
        <v>229</v>
      </c>
      <c r="L986">
        <v>1</v>
      </c>
      <c r="M986">
        <v>0</v>
      </c>
      <c r="N986" t="s">
        <v>259</v>
      </c>
      <c r="O986" t="s">
        <v>578</v>
      </c>
      <c r="P986">
        <v>12</v>
      </c>
      <c r="Q98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2D101101</v>
      </c>
      <c r="R986" t="s">
        <v>644</v>
      </c>
      <c r="S98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987" spans="1:20" x14ac:dyDescent="0.25">
      <c r="A987" t="s">
        <v>14</v>
      </c>
      <c r="B987">
        <v>202005</v>
      </c>
      <c r="C987" t="s">
        <v>12</v>
      </c>
      <c r="D987" t="s">
        <v>13</v>
      </c>
      <c r="E987">
        <v>310.80027000000001</v>
      </c>
      <c r="F987">
        <v>0</v>
      </c>
      <c r="G987" s="2">
        <v>48.62</v>
      </c>
      <c r="H987">
        <v>0</v>
      </c>
      <c r="I987">
        <v>1570</v>
      </c>
      <c r="K987" t="s">
        <v>229</v>
      </c>
      <c r="L987">
        <v>6</v>
      </c>
      <c r="M987">
        <v>0</v>
      </c>
      <c r="N987" t="s">
        <v>259</v>
      </c>
      <c r="O987" t="s">
        <v>578</v>
      </c>
      <c r="P987">
        <v>12</v>
      </c>
      <c r="Q98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2D101159</v>
      </c>
      <c r="R987" t="s">
        <v>644</v>
      </c>
      <c r="S98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  <c r="T987" t="s">
        <v>617</v>
      </c>
    </row>
    <row r="988" spans="1:20" x14ac:dyDescent="0.25">
      <c r="A988" t="s">
        <v>14</v>
      </c>
      <c r="B988">
        <v>202005</v>
      </c>
      <c r="C988" t="s">
        <v>1</v>
      </c>
      <c r="D988" t="s">
        <v>569</v>
      </c>
      <c r="E988">
        <v>170</v>
      </c>
      <c r="F988">
        <v>0</v>
      </c>
      <c r="G988" s="2">
        <v>13.69</v>
      </c>
      <c r="H988">
        <v>0</v>
      </c>
      <c r="I988">
        <v>1570</v>
      </c>
      <c r="K988" t="s">
        <v>229</v>
      </c>
      <c r="L988">
        <v>7</v>
      </c>
      <c r="M988">
        <v>0</v>
      </c>
      <c r="N988" t="s">
        <v>259</v>
      </c>
      <c r="O988" t="s">
        <v>578</v>
      </c>
      <c r="P988">
        <v>12</v>
      </c>
      <c r="Q98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2D101168</v>
      </c>
      <c r="R988" t="s">
        <v>644</v>
      </c>
      <c r="S98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989" spans="1:20" x14ac:dyDescent="0.25">
      <c r="A989" t="s">
        <v>14</v>
      </c>
      <c r="B989">
        <v>202005</v>
      </c>
      <c r="C989" t="s">
        <v>2</v>
      </c>
      <c r="D989" t="s">
        <v>182</v>
      </c>
      <c r="E989">
        <v>25</v>
      </c>
      <c r="F989">
        <v>0</v>
      </c>
      <c r="G989" s="2">
        <v>1.65</v>
      </c>
      <c r="H989">
        <v>0</v>
      </c>
      <c r="I989">
        <v>1570</v>
      </c>
      <c r="K989" t="s">
        <v>229</v>
      </c>
      <c r="L989">
        <v>7</v>
      </c>
      <c r="M989">
        <v>0</v>
      </c>
      <c r="N989" t="s">
        <v>259</v>
      </c>
      <c r="O989" t="s">
        <v>578</v>
      </c>
      <c r="P989">
        <v>12</v>
      </c>
      <c r="Q98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2D101227</v>
      </c>
      <c r="R989" t="s">
        <v>644</v>
      </c>
      <c r="S98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990" spans="1:20" x14ac:dyDescent="0.25">
      <c r="A990" t="s">
        <v>14</v>
      </c>
      <c r="B990">
        <v>202005</v>
      </c>
      <c r="C990" t="s">
        <v>3</v>
      </c>
      <c r="D990" t="s">
        <v>58</v>
      </c>
      <c r="E990">
        <v>275</v>
      </c>
      <c r="F990">
        <v>0</v>
      </c>
      <c r="G990" s="2">
        <v>4.9400000000000004</v>
      </c>
      <c r="H990">
        <v>0</v>
      </c>
      <c r="I990">
        <v>1570</v>
      </c>
      <c r="K990" t="s">
        <v>229</v>
      </c>
      <c r="L990">
        <v>7</v>
      </c>
      <c r="M990">
        <v>0</v>
      </c>
      <c r="N990" t="s">
        <v>259</v>
      </c>
      <c r="O990" t="s">
        <v>578</v>
      </c>
      <c r="P990">
        <v>12</v>
      </c>
      <c r="Q99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2D101229</v>
      </c>
      <c r="R990" t="s">
        <v>644</v>
      </c>
      <c r="S99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991" spans="1:20" x14ac:dyDescent="0.25">
      <c r="A991" t="s">
        <v>14</v>
      </c>
      <c r="B991">
        <v>202005</v>
      </c>
      <c r="C991" t="s">
        <v>4</v>
      </c>
      <c r="D991" t="s">
        <v>265</v>
      </c>
      <c r="E991">
        <v>115</v>
      </c>
      <c r="F991">
        <v>0</v>
      </c>
      <c r="G991" s="2">
        <v>4.6900000000000004</v>
      </c>
      <c r="H991">
        <v>0</v>
      </c>
      <c r="I991">
        <v>1570</v>
      </c>
      <c r="K991" t="s">
        <v>229</v>
      </c>
      <c r="L991">
        <v>7</v>
      </c>
      <c r="M991">
        <v>0</v>
      </c>
      <c r="N991" t="s">
        <v>259</v>
      </c>
      <c r="O991" t="s">
        <v>578</v>
      </c>
      <c r="P991">
        <v>12</v>
      </c>
      <c r="Q99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2D101230</v>
      </c>
      <c r="R991" t="s">
        <v>644</v>
      </c>
      <c r="S99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992" spans="1:20" x14ac:dyDescent="0.25">
      <c r="A992" t="s">
        <v>14</v>
      </c>
      <c r="B992">
        <v>202005</v>
      </c>
      <c r="C992" t="s">
        <v>5</v>
      </c>
      <c r="D992" t="s">
        <v>59</v>
      </c>
      <c r="E992">
        <v>8.56</v>
      </c>
      <c r="F992">
        <v>0</v>
      </c>
      <c r="G992" s="2">
        <v>7.45</v>
      </c>
      <c r="H992">
        <v>0</v>
      </c>
      <c r="I992">
        <v>1570</v>
      </c>
      <c r="K992" t="s">
        <v>229</v>
      </c>
      <c r="L992">
        <v>7</v>
      </c>
      <c r="M992">
        <v>0</v>
      </c>
      <c r="N992" t="s">
        <v>259</v>
      </c>
      <c r="O992" t="s">
        <v>578</v>
      </c>
      <c r="P992">
        <v>12</v>
      </c>
      <c r="Q99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2D101231</v>
      </c>
      <c r="R992" t="s">
        <v>644</v>
      </c>
      <c r="S99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993" spans="1:20" x14ac:dyDescent="0.25">
      <c r="A993" t="s">
        <v>14</v>
      </c>
      <c r="B993">
        <v>202005</v>
      </c>
      <c r="C993" t="s">
        <v>6</v>
      </c>
      <c r="D993" t="s">
        <v>60</v>
      </c>
      <c r="E993">
        <v>50</v>
      </c>
      <c r="F993">
        <v>0</v>
      </c>
      <c r="G993" s="2">
        <v>15.4</v>
      </c>
      <c r="H993">
        <v>0</v>
      </c>
      <c r="I993">
        <v>1570</v>
      </c>
      <c r="K993" t="s">
        <v>229</v>
      </c>
      <c r="L993">
        <v>7</v>
      </c>
      <c r="M993">
        <v>0</v>
      </c>
      <c r="N993" t="s">
        <v>259</v>
      </c>
      <c r="O993" t="s">
        <v>578</v>
      </c>
      <c r="P993">
        <v>12</v>
      </c>
      <c r="Q99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2D101245</v>
      </c>
      <c r="R993" t="s">
        <v>644</v>
      </c>
      <c r="S99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994" spans="1:20" x14ac:dyDescent="0.25">
      <c r="A994" t="s">
        <v>14</v>
      </c>
      <c r="B994">
        <v>202005</v>
      </c>
      <c r="C994" t="s">
        <v>260</v>
      </c>
      <c r="D994" t="s">
        <v>261</v>
      </c>
      <c r="E994">
        <v>50</v>
      </c>
      <c r="F994">
        <v>0</v>
      </c>
      <c r="G994" s="2">
        <v>3.35</v>
      </c>
      <c r="H994">
        <v>0</v>
      </c>
      <c r="I994">
        <v>1570</v>
      </c>
      <c r="K994" t="s">
        <v>229</v>
      </c>
      <c r="L994">
        <v>7</v>
      </c>
      <c r="M994">
        <v>0</v>
      </c>
      <c r="N994" t="s">
        <v>259</v>
      </c>
      <c r="O994" t="s">
        <v>578</v>
      </c>
      <c r="P994">
        <v>12</v>
      </c>
      <c r="Q99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2D101334</v>
      </c>
      <c r="R994" t="s">
        <v>644</v>
      </c>
      <c r="S99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995" spans="1:20" x14ac:dyDescent="0.25">
      <c r="A995" t="s">
        <v>14</v>
      </c>
      <c r="B995">
        <v>202005</v>
      </c>
      <c r="C995" t="s">
        <v>56</v>
      </c>
      <c r="D995" t="s">
        <v>246</v>
      </c>
      <c r="E995">
        <v>0</v>
      </c>
      <c r="F995">
        <v>0</v>
      </c>
      <c r="G995" s="2">
        <v>0.2</v>
      </c>
      <c r="H995">
        <v>0</v>
      </c>
      <c r="K995" t="s">
        <v>229</v>
      </c>
      <c r="L995">
        <v>8</v>
      </c>
      <c r="M995">
        <v>0</v>
      </c>
      <c r="O995" t="s">
        <v>578</v>
      </c>
      <c r="P995">
        <v>12</v>
      </c>
      <c r="Q99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2D108999</v>
      </c>
      <c r="R995" t="s">
        <v>644</v>
      </c>
      <c r="S99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996" spans="1:20" x14ac:dyDescent="0.25">
      <c r="A996" t="s">
        <v>37</v>
      </c>
      <c r="B996">
        <v>202005</v>
      </c>
      <c r="C996" t="s">
        <v>45</v>
      </c>
      <c r="D996" t="s">
        <v>543</v>
      </c>
      <c r="E996">
        <v>203.78781000000001</v>
      </c>
      <c r="F996">
        <v>0</v>
      </c>
      <c r="G996" s="2">
        <v>100</v>
      </c>
      <c r="H996">
        <v>0</v>
      </c>
      <c r="I996">
        <v>1570</v>
      </c>
      <c r="K996" t="s">
        <v>229</v>
      </c>
      <c r="L996">
        <v>1</v>
      </c>
      <c r="M996">
        <v>0</v>
      </c>
      <c r="N996" t="s">
        <v>259</v>
      </c>
      <c r="O996" t="s">
        <v>579</v>
      </c>
      <c r="P996">
        <v>12</v>
      </c>
      <c r="Q99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2D111101</v>
      </c>
      <c r="R996" t="s">
        <v>644</v>
      </c>
      <c r="S99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997" spans="1:20" x14ac:dyDescent="0.25">
      <c r="A997" t="s">
        <v>37</v>
      </c>
      <c r="B997">
        <v>202005</v>
      </c>
      <c r="C997" t="s">
        <v>35</v>
      </c>
      <c r="D997" t="s">
        <v>36</v>
      </c>
      <c r="E997">
        <v>361.92511000000002</v>
      </c>
      <c r="F997">
        <v>0</v>
      </c>
      <c r="G997" s="2">
        <v>29.33</v>
      </c>
      <c r="H997">
        <v>0</v>
      </c>
      <c r="I997">
        <v>1570</v>
      </c>
      <c r="K997" t="s">
        <v>229</v>
      </c>
      <c r="L997">
        <v>6</v>
      </c>
      <c r="M997">
        <v>0</v>
      </c>
      <c r="N997" t="s">
        <v>259</v>
      </c>
      <c r="O997" t="s">
        <v>579</v>
      </c>
      <c r="P997">
        <v>12</v>
      </c>
      <c r="Q99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2D111169</v>
      </c>
      <c r="R997" t="s">
        <v>644</v>
      </c>
      <c r="S99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  <c r="T997" t="s">
        <v>617</v>
      </c>
    </row>
    <row r="998" spans="1:20" x14ac:dyDescent="0.25">
      <c r="A998" t="s">
        <v>37</v>
      </c>
      <c r="B998">
        <v>202005</v>
      </c>
      <c r="C998" t="s">
        <v>260</v>
      </c>
      <c r="D998" t="s">
        <v>261</v>
      </c>
      <c r="E998">
        <v>50</v>
      </c>
      <c r="F998">
        <v>0</v>
      </c>
      <c r="G998" s="2">
        <v>3.94</v>
      </c>
      <c r="H998">
        <v>0</v>
      </c>
      <c r="I998">
        <v>1570</v>
      </c>
      <c r="K998" t="s">
        <v>229</v>
      </c>
      <c r="L998">
        <v>7</v>
      </c>
      <c r="M998">
        <v>0</v>
      </c>
      <c r="N998" t="s">
        <v>259</v>
      </c>
      <c r="O998" t="s">
        <v>579</v>
      </c>
      <c r="P998">
        <v>12</v>
      </c>
      <c r="Q99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2D111334</v>
      </c>
      <c r="R998" t="s">
        <v>644</v>
      </c>
      <c r="S99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999" spans="1:20" x14ac:dyDescent="0.25">
      <c r="A999" t="s">
        <v>37</v>
      </c>
      <c r="B999">
        <v>202005</v>
      </c>
      <c r="C999" t="s">
        <v>1</v>
      </c>
      <c r="D999" t="s">
        <v>569</v>
      </c>
      <c r="E999">
        <v>170</v>
      </c>
      <c r="F999">
        <v>0</v>
      </c>
      <c r="G999" s="2">
        <v>14.02</v>
      </c>
      <c r="H999">
        <v>0</v>
      </c>
      <c r="I999">
        <v>1570</v>
      </c>
      <c r="K999" t="s">
        <v>229</v>
      </c>
      <c r="L999">
        <v>7</v>
      </c>
      <c r="M999">
        <v>0</v>
      </c>
      <c r="N999" t="s">
        <v>259</v>
      </c>
      <c r="O999" t="s">
        <v>579</v>
      </c>
      <c r="P999">
        <v>12</v>
      </c>
      <c r="Q99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2D111168</v>
      </c>
      <c r="R999" t="s">
        <v>644</v>
      </c>
      <c r="S99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000" spans="1:20" x14ac:dyDescent="0.25">
      <c r="A1000" t="s">
        <v>37</v>
      </c>
      <c r="B1000">
        <v>202005</v>
      </c>
      <c r="C1000" t="s">
        <v>2</v>
      </c>
      <c r="D1000" t="s">
        <v>182</v>
      </c>
      <c r="E1000">
        <v>25</v>
      </c>
      <c r="F1000">
        <v>0</v>
      </c>
      <c r="G1000" s="2">
        <v>1.0900000000000001</v>
      </c>
      <c r="H1000">
        <v>0</v>
      </c>
      <c r="I1000">
        <v>1570</v>
      </c>
      <c r="K1000" t="s">
        <v>229</v>
      </c>
      <c r="L1000">
        <v>7</v>
      </c>
      <c r="M1000">
        <v>0</v>
      </c>
      <c r="N1000" t="s">
        <v>259</v>
      </c>
      <c r="O1000" t="s">
        <v>579</v>
      </c>
      <c r="P1000">
        <v>12</v>
      </c>
      <c r="Q100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2D111227</v>
      </c>
      <c r="R1000" t="s">
        <v>644</v>
      </c>
      <c r="S100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001" spans="1:20" x14ac:dyDescent="0.25">
      <c r="A1001" t="s">
        <v>37</v>
      </c>
      <c r="B1001">
        <v>202005</v>
      </c>
      <c r="C1001" t="s">
        <v>3</v>
      </c>
      <c r="D1001" t="s">
        <v>58</v>
      </c>
      <c r="E1001">
        <v>275</v>
      </c>
      <c r="F1001">
        <v>0</v>
      </c>
      <c r="G1001" s="2">
        <v>20.77</v>
      </c>
      <c r="H1001">
        <v>0</v>
      </c>
      <c r="I1001">
        <v>1570</v>
      </c>
      <c r="K1001" t="s">
        <v>229</v>
      </c>
      <c r="L1001">
        <v>7</v>
      </c>
      <c r="M1001">
        <v>0</v>
      </c>
      <c r="N1001" t="s">
        <v>259</v>
      </c>
      <c r="O1001" t="s">
        <v>579</v>
      </c>
      <c r="P1001">
        <v>12</v>
      </c>
      <c r="Q100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2D111229</v>
      </c>
      <c r="R1001" t="s">
        <v>644</v>
      </c>
      <c r="S100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002" spans="1:20" x14ac:dyDescent="0.25">
      <c r="A1002" t="s">
        <v>37</v>
      </c>
      <c r="B1002">
        <v>202005</v>
      </c>
      <c r="C1002" t="s">
        <v>4</v>
      </c>
      <c r="D1002" t="s">
        <v>265</v>
      </c>
      <c r="E1002">
        <v>115</v>
      </c>
      <c r="F1002">
        <v>0</v>
      </c>
      <c r="G1002" s="2">
        <v>4.18</v>
      </c>
      <c r="H1002">
        <v>0</v>
      </c>
      <c r="I1002">
        <v>1570</v>
      </c>
      <c r="K1002" t="s">
        <v>229</v>
      </c>
      <c r="L1002">
        <v>7</v>
      </c>
      <c r="M1002">
        <v>0</v>
      </c>
      <c r="N1002" t="s">
        <v>259</v>
      </c>
      <c r="O1002" t="s">
        <v>579</v>
      </c>
      <c r="P1002">
        <v>12</v>
      </c>
      <c r="Q100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2D111230</v>
      </c>
      <c r="R1002" t="s">
        <v>644</v>
      </c>
      <c r="S100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003" spans="1:20" x14ac:dyDescent="0.25">
      <c r="A1003" t="s">
        <v>37</v>
      </c>
      <c r="B1003">
        <v>202005</v>
      </c>
      <c r="C1003" t="s">
        <v>5</v>
      </c>
      <c r="D1003" t="s">
        <v>59</v>
      </c>
      <c r="E1003">
        <v>8.56</v>
      </c>
      <c r="F1003">
        <v>0</v>
      </c>
      <c r="G1003" s="2">
        <v>8.4600000000000009</v>
      </c>
      <c r="H1003">
        <v>0</v>
      </c>
      <c r="I1003">
        <v>1570</v>
      </c>
      <c r="K1003" t="s">
        <v>229</v>
      </c>
      <c r="L1003">
        <v>7</v>
      </c>
      <c r="M1003">
        <v>0</v>
      </c>
      <c r="N1003" t="s">
        <v>259</v>
      </c>
      <c r="O1003" t="s">
        <v>579</v>
      </c>
      <c r="P1003">
        <v>12</v>
      </c>
      <c r="Q100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2D111231</v>
      </c>
      <c r="R1003" t="s">
        <v>644</v>
      </c>
      <c r="S100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004" spans="1:20" x14ac:dyDescent="0.25">
      <c r="A1004" t="s">
        <v>37</v>
      </c>
      <c r="B1004">
        <v>202005</v>
      </c>
      <c r="C1004" t="s">
        <v>6</v>
      </c>
      <c r="D1004" t="s">
        <v>60</v>
      </c>
      <c r="E1004">
        <v>50</v>
      </c>
      <c r="F1004">
        <v>0</v>
      </c>
      <c r="G1004" s="2">
        <v>17.82</v>
      </c>
      <c r="H1004">
        <v>0</v>
      </c>
      <c r="I1004">
        <v>1570</v>
      </c>
      <c r="K1004" t="s">
        <v>229</v>
      </c>
      <c r="L1004">
        <v>7</v>
      </c>
      <c r="M1004">
        <v>0</v>
      </c>
      <c r="N1004" t="s">
        <v>259</v>
      </c>
      <c r="O1004" t="s">
        <v>579</v>
      </c>
      <c r="P1004">
        <v>12</v>
      </c>
      <c r="Q100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2D111245</v>
      </c>
      <c r="R1004" t="s">
        <v>644</v>
      </c>
      <c r="S100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005" spans="1:20" x14ac:dyDescent="0.25">
      <c r="A1005" t="s">
        <v>37</v>
      </c>
      <c r="B1005">
        <v>202005</v>
      </c>
      <c r="C1005" t="s">
        <v>56</v>
      </c>
      <c r="D1005" t="s">
        <v>246</v>
      </c>
      <c r="E1005">
        <v>0</v>
      </c>
      <c r="F1005">
        <v>0</v>
      </c>
      <c r="G1005" s="2">
        <v>0.38</v>
      </c>
      <c r="H1005">
        <v>0</v>
      </c>
      <c r="K1005" t="s">
        <v>229</v>
      </c>
      <c r="L1005">
        <v>8</v>
      </c>
      <c r="M1005">
        <v>0</v>
      </c>
      <c r="O1005" t="s">
        <v>579</v>
      </c>
      <c r="P1005">
        <v>12</v>
      </c>
      <c r="Q100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2D118999</v>
      </c>
      <c r="R1005" t="s">
        <v>644</v>
      </c>
      <c r="S100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1006" spans="1:20" x14ac:dyDescent="0.25">
      <c r="A1006" t="s">
        <v>1452</v>
      </c>
      <c r="B1006">
        <v>202005</v>
      </c>
      <c r="C1006" t="s">
        <v>45</v>
      </c>
      <c r="D1006" t="s">
        <v>543</v>
      </c>
      <c r="E1006">
        <v>203.78781000000001</v>
      </c>
      <c r="F1006">
        <v>0</v>
      </c>
      <c r="G1006" s="2">
        <v>100</v>
      </c>
      <c r="H1006">
        <v>0</v>
      </c>
      <c r="I1006">
        <v>1570</v>
      </c>
      <c r="K1006" t="s">
        <v>229</v>
      </c>
      <c r="L1006">
        <v>1</v>
      </c>
      <c r="M1006">
        <v>0</v>
      </c>
      <c r="N1006" t="s">
        <v>259</v>
      </c>
      <c r="O1006" t="s">
        <v>1453</v>
      </c>
      <c r="P1006">
        <v>12</v>
      </c>
      <c r="Q100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2D121101</v>
      </c>
      <c r="R1006" t="s">
        <v>229</v>
      </c>
      <c r="S100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07" spans="1:20" x14ac:dyDescent="0.25">
      <c r="A1007" t="s">
        <v>1452</v>
      </c>
      <c r="B1007">
        <v>202005</v>
      </c>
      <c r="C1007" t="s">
        <v>38</v>
      </c>
      <c r="D1007" t="s">
        <v>39</v>
      </c>
      <c r="E1007">
        <v>319.60086000000001</v>
      </c>
      <c r="F1007">
        <v>0</v>
      </c>
      <c r="G1007" s="2">
        <v>49.24</v>
      </c>
      <c r="H1007">
        <v>0</v>
      </c>
      <c r="I1007">
        <v>1570</v>
      </c>
      <c r="K1007" t="s">
        <v>229</v>
      </c>
      <c r="L1007">
        <v>6</v>
      </c>
      <c r="M1007">
        <v>0</v>
      </c>
      <c r="N1007" t="s">
        <v>259</v>
      </c>
      <c r="O1007" t="s">
        <v>1453</v>
      </c>
      <c r="P1007">
        <v>12</v>
      </c>
      <c r="Q100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2D121170</v>
      </c>
      <c r="R1007" t="s">
        <v>229</v>
      </c>
      <c r="S100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  <c r="T1007" t="s">
        <v>617</v>
      </c>
    </row>
    <row r="1008" spans="1:20" x14ac:dyDescent="0.25">
      <c r="A1008" t="s">
        <v>1452</v>
      </c>
      <c r="B1008">
        <v>202005</v>
      </c>
      <c r="C1008" t="s">
        <v>1</v>
      </c>
      <c r="D1008" t="s">
        <v>569</v>
      </c>
      <c r="E1008">
        <v>170</v>
      </c>
      <c r="F1008">
        <v>0</v>
      </c>
      <c r="G1008" s="2">
        <v>3.19</v>
      </c>
      <c r="H1008">
        <v>0</v>
      </c>
      <c r="I1008">
        <v>1570</v>
      </c>
      <c r="K1008" t="s">
        <v>229</v>
      </c>
      <c r="L1008">
        <v>7</v>
      </c>
      <c r="M1008">
        <v>0</v>
      </c>
      <c r="N1008" t="s">
        <v>259</v>
      </c>
      <c r="O1008" t="s">
        <v>1453</v>
      </c>
      <c r="P1008">
        <v>12</v>
      </c>
      <c r="Q100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2D121168</v>
      </c>
      <c r="R1008" t="s">
        <v>229</v>
      </c>
      <c r="S100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09" spans="1:20" x14ac:dyDescent="0.25">
      <c r="A1009" t="s">
        <v>1452</v>
      </c>
      <c r="B1009">
        <v>202005</v>
      </c>
      <c r="C1009" t="s">
        <v>2</v>
      </c>
      <c r="D1009" t="s">
        <v>182</v>
      </c>
      <c r="E1009">
        <v>25</v>
      </c>
      <c r="F1009">
        <v>0</v>
      </c>
      <c r="G1009" s="2">
        <v>0.86</v>
      </c>
      <c r="H1009">
        <v>0</v>
      </c>
      <c r="I1009">
        <v>1570</v>
      </c>
      <c r="K1009" t="s">
        <v>229</v>
      </c>
      <c r="L1009">
        <v>7</v>
      </c>
      <c r="M1009">
        <v>0</v>
      </c>
      <c r="N1009" t="s">
        <v>259</v>
      </c>
      <c r="O1009" t="s">
        <v>1453</v>
      </c>
      <c r="P1009">
        <v>12</v>
      </c>
      <c r="Q100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2D121227</v>
      </c>
      <c r="R1009" t="s">
        <v>229</v>
      </c>
      <c r="S100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10" spans="1:20" x14ac:dyDescent="0.25">
      <c r="A1010" t="s">
        <v>1452</v>
      </c>
      <c r="B1010">
        <v>202005</v>
      </c>
      <c r="C1010" t="s">
        <v>3</v>
      </c>
      <c r="D1010" t="s">
        <v>58</v>
      </c>
      <c r="E1010">
        <v>275</v>
      </c>
      <c r="F1010">
        <v>0</v>
      </c>
      <c r="G1010" s="2">
        <v>15.37</v>
      </c>
      <c r="H1010">
        <v>0</v>
      </c>
      <c r="I1010">
        <v>1570</v>
      </c>
      <c r="K1010" t="s">
        <v>229</v>
      </c>
      <c r="L1010">
        <v>7</v>
      </c>
      <c r="M1010">
        <v>0</v>
      </c>
      <c r="N1010" t="s">
        <v>259</v>
      </c>
      <c r="O1010" t="s">
        <v>1453</v>
      </c>
      <c r="P1010">
        <v>12</v>
      </c>
      <c r="Q101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2D121229</v>
      </c>
      <c r="R1010" t="s">
        <v>229</v>
      </c>
      <c r="S101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11" spans="1:20" x14ac:dyDescent="0.25">
      <c r="A1011" t="s">
        <v>1452</v>
      </c>
      <c r="B1011">
        <v>202005</v>
      </c>
      <c r="C1011" t="s">
        <v>4</v>
      </c>
      <c r="D1011" t="s">
        <v>265</v>
      </c>
      <c r="E1011">
        <v>115</v>
      </c>
      <c r="F1011">
        <v>0</v>
      </c>
      <c r="G1011" s="2">
        <v>4.42</v>
      </c>
      <c r="H1011">
        <v>0</v>
      </c>
      <c r="I1011">
        <v>1570</v>
      </c>
      <c r="K1011" t="s">
        <v>229</v>
      </c>
      <c r="L1011">
        <v>7</v>
      </c>
      <c r="M1011">
        <v>0</v>
      </c>
      <c r="N1011" t="s">
        <v>259</v>
      </c>
      <c r="O1011" t="s">
        <v>1453</v>
      </c>
      <c r="P1011">
        <v>12</v>
      </c>
      <c r="Q101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2D121230</v>
      </c>
      <c r="R1011" t="s">
        <v>229</v>
      </c>
      <c r="S101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12" spans="1:20" x14ac:dyDescent="0.25">
      <c r="A1012" t="s">
        <v>1452</v>
      </c>
      <c r="B1012">
        <v>202005</v>
      </c>
      <c r="C1012" t="s">
        <v>5</v>
      </c>
      <c r="D1012" t="s">
        <v>59</v>
      </c>
      <c r="E1012">
        <v>8.56</v>
      </c>
      <c r="F1012">
        <v>0</v>
      </c>
      <c r="G1012" s="2">
        <v>9.1300000000000008</v>
      </c>
      <c r="H1012">
        <v>0</v>
      </c>
      <c r="I1012">
        <v>1570</v>
      </c>
      <c r="K1012" t="s">
        <v>229</v>
      </c>
      <c r="L1012">
        <v>7</v>
      </c>
      <c r="M1012">
        <v>0</v>
      </c>
      <c r="N1012" t="s">
        <v>259</v>
      </c>
      <c r="O1012" t="s">
        <v>1453</v>
      </c>
      <c r="P1012">
        <v>12</v>
      </c>
      <c r="Q101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2D121231</v>
      </c>
      <c r="R1012" t="s">
        <v>229</v>
      </c>
      <c r="S101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13" spans="1:20" x14ac:dyDescent="0.25">
      <c r="A1013" t="s">
        <v>1452</v>
      </c>
      <c r="B1013">
        <v>202005</v>
      </c>
      <c r="C1013" t="s">
        <v>6</v>
      </c>
      <c r="D1013" t="s">
        <v>60</v>
      </c>
      <c r="E1013">
        <v>50</v>
      </c>
      <c r="F1013">
        <v>0</v>
      </c>
      <c r="G1013" s="2">
        <v>17.55</v>
      </c>
      <c r="H1013">
        <v>0</v>
      </c>
      <c r="I1013">
        <v>1570</v>
      </c>
      <c r="K1013" t="s">
        <v>229</v>
      </c>
      <c r="L1013">
        <v>7</v>
      </c>
      <c r="M1013">
        <v>0</v>
      </c>
      <c r="N1013" t="s">
        <v>259</v>
      </c>
      <c r="O1013" t="s">
        <v>1453</v>
      </c>
      <c r="P1013">
        <v>12</v>
      </c>
      <c r="Q101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2D121245</v>
      </c>
      <c r="R1013" t="s">
        <v>229</v>
      </c>
      <c r="S101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14" spans="1:20" x14ac:dyDescent="0.25">
      <c r="A1014" t="s">
        <v>1452</v>
      </c>
      <c r="B1014">
        <v>202005</v>
      </c>
      <c r="C1014" t="s">
        <v>56</v>
      </c>
      <c r="D1014" t="s">
        <v>246</v>
      </c>
      <c r="E1014">
        <v>0</v>
      </c>
      <c r="F1014">
        <v>0</v>
      </c>
      <c r="G1014" s="2">
        <v>0</v>
      </c>
      <c r="H1014">
        <v>0</v>
      </c>
      <c r="K1014" t="s">
        <v>229</v>
      </c>
      <c r="L1014">
        <v>8</v>
      </c>
      <c r="M1014">
        <v>0</v>
      </c>
      <c r="O1014" t="s">
        <v>1453</v>
      </c>
      <c r="P1014">
        <v>12</v>
      </c>
      <c r="Q101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2D128999</v>
      </c>
      <c r="R1014" t="s">
        <v>229</v>
      </c>
      <c r="S101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15" spans="1:20" x14ac:dyDescent="0.25">
      <c r="A1015" t="s">
        <v>1454</v>
      </c>
      <c r="B1015">
        <v>202005</v>
      </c>
      <c r="C1015" t="s">
        <v>45</v>
      </c>
      <c r="D1015" t="s">
        <v>543</v>
      </c>
      <c r="E1015">
        <v>203.78781000000001</v>
      </c>
      <c r="F1015">
        <v>0</v>
      </c>
      <c r="G1015" s="2">
        <v>100</v>
      </c>
      <c r="H1015">
        <v>0</v>
      </c>
      <c r="I1015">
        <v>1570</v>
      </c>
      <c r="K1015" t="s">
        <v>229</v>
      </c>
      <c r="L1015">
        <v>1</v>
      </c>
      <c r="M1015">
        <v>0</v>
      </c>
      <c r="N1015" t="s">
        <v>259</v>
      </c>
      <c r="O1015" t="s">
        <v>1455</v>
      </c>
      <c r="P1015">
        <v>12</v>
      </c>
      <c r="Q101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2D131101</v>
      </c>
      <c r="R1015" t="s">
        <v>229</v>
      </c>
      <c r="S101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16" spans="1:20" x14ac:dyDescent="0.25">
      <c r="A1016" t="s">
        <v>1454</v>
      </c>
      <c r="B1016">
        <v>202005</v>
      </c>
      <c r="C1016" t="s">
        <v>1456</v>
      </c>
      <c r="D1016" t="s">
        <v>1457</v>
      </c>
      <c r="E1016">
        <v>322.62</v>
      </c>
      <c r="F1016">
        <v>0</v>
      </c>
      <c r="G1016" s="2">
        <v>33.799999999999997</v>
      </c>
      <c r="H1016">
        <v>0</v>
      </c>
      <c r="K1016" t="s">
        <v>229</v>
      </c>
      <c r="L1016">
        <v>6</v>
      </c>
      <c r="M1016">
        <v>0</v>
      </c>
      <c r="N1016" t="s">
        <v>259</v>
      </c>
      <c r="O1016" t="s">
        <v>1455</v>
      </c>
      <c r="P1016">
        <v>12</v>
      </c>
      <c r="Q101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2D131282</v>
      </c>
      <c r="R1016" t="s">
        <v>229</v>
      </c>
      <c r="S101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  <c r="T1016" t="s">
        <v>617</v>
      </c>
    </row>
    <row r="1017" spans="1:20" x14ac:dyDescent="0.25">
      <c r="A1017" t="s">
        <v>1454</v>
      </c>
      <c r="B1017">
        <v>202005</v>
      </c>
      <c r="C1017" t="s">
        <v>1</v>
      </c>
      <c r="D1017" t="s">
        <v>569</v>
      </c>
      <c r="E1017">
        <v>170</v>
      </c>
      <c r="F1017">
        <v>0</v>
      </c>
      <c r="G1017" s="2">
        <v>4.4000000000000004</v>
      </c>
      <c r="H1017">
        <v>0</v>
      </c>
      <c r="K1017" t="s">
        <v>229</v>
      </c>
      <c r="L1017">
        <v>7</v>
      </c>
      <c r="M1017">
        <v>0</v>
      </c>
      <c r="N1017" t="s">
        <v>259</v>
      </c>
      <c r="O1017" t="s">
        <v>1455</v>
      </c>
      <c r="P1017">
        <v>12</v>
      </c>
      <c r="Q101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2D131168</v>
      </c>
      <c r="R1017" t="s">
        <v>229</v>
      </c>
      <c r="S101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18" spans="1:20" x14ac:dyDescent="0.25">
      <c r="A1018" t="s">
        <v>1454</v>
      </c>
      <c r="B1018">
        <v>202005</v>
      </c>
      <c r="C1018" t="s">
        <v>2</v>
      </c>
      <c r="D1018" t="s">
        <v>182</v>
      </c>
      <c r="E1018">
        <v>25</v>
      </c>
      <c r="F1018">
        <v>0</v>
      </c>
      <c r="G1018" s="2">
        <v>4.9000000000000004</v>
      </c>
      <c r="H1018">
        <v>0</v>
      </c>
      <c r="K1018" t="s">
        <v>229</v>
      </c>
      <c r="L1018">
        <v>7</v>
      </c>
      <c r="M1018">
        <v>0</v>
      </c>
      <c r="N1018" t="s">
        <v>259</v>
      </c>
      <c r="O1018" t="s">
        <v>1455</v>
      </c>
      <c r="P1018">
        <v>12</v>
      </c>
      <c r="Q101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2D131227</v>
      </c>
      <c r="R1018" t="s">
        <v>229</v>
      </c>
      <c r="S101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19" spans="1:20" x14ac:dyDescent="0.25">
      <c r="A1019" t="s">
        <v>1454</v>
      </c>
      <c r="B1019">
        <v>202005</v>
      </c>
      <c r="C1019" t="s">
        <v>3</v>
      </c>
      <c r="D1019" t="s">
        <v>58</v>
      </c>
      <c r="E1019">
        <v>275</v>
      </c>
      <c r="F1019">
        <v>0</v>
      </c>
      <c r="G1019" s="2">
        <v>31.5</v>
      </c>
      <c r="H1019">
        <v>0</v>
      </c>
      <c r="K1019" t="s">
        <v>229</v>
      </c>
      <c r="L1019">
        <v>7</v>
      </c>
      <c r="M1019">
        <v>0</v>
      </c>
      <c r="N1019" t="s">
        <v>259</v>
      </c>
      <c r="O1019" t="s">
        <v>1455</v>
      </c>
      <c r="P1019">
        <v>12</v>
      </c>
      <c r="Q101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2D131229</v>
      </c>
      <c r="R1019" t="s">
        <v>229</v>
      </c>
      <c r="S101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20" spans="1:20" x14ac:dyDescent="0.25">
      <c r="A1020" t="s">
        <v>1454</v>
      </c>
      <c r="B1020">
        <v>202005</v>
      </c>
      <c r="C1020" t="s">
        <v>4</v>
      </c>
      <c r="D1020" t="s">
        <v>265</v>
      </c>
      <c r="E1020">
        <v>115</v>
      </c>
      <c r="F1020">
        <v>0</v>
      </c>
      <c r="G1020" s="2">
        <v>6.5</v>
      </c>
      <c r="H1020">
        <v>0</v>
      </c>
      <c r="K1020" t="s">
        <v>229</v>
      </c>
      <c r="L1020">
        <v>7</v>
      </c>
      <c r="M1020">
        <v>0</v>
      </c>
      <c r="N1020" t="s">
        <v>259</v>
      </c>
      <c r="O1020" t="s">
        <v>1455</v>
      </c>
      <c r="P1020">
        <v>12</v>
      </c>
      <c r="Q102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2D131230</v>
      </c>
      <c r="R1020" t="s">
        <v>229</v>
      </c>
      <c r="S102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21" spans="1:20" x14ac:dyDescent="0.25">
      <c r="A1021" t="s">
        <v>1454</v>
      </c>
      <c r="B1021">
        <v>202005</v>
      </c>
      <c r="C1021" t="s">
        <v>5</v>
      </c>
      <c r="D1021" t="s">
        <v>59</v>
      </c>
      <c r="E1021">
        <v>8.56</v>
      </c>
      <c r="F1021">
        <v>0</v>
      </c>
      <c r="G1021" s="2">
        <v>8</v>
      </c>
      <c r="H1021">
        <v>0</v>
      </c>
      <c r="K1021" t="s">
        <v>229</v>
      </c>
      <c r="L1021">
        <v>7</v>
      </c>
      <c r="M1021">
        <v>0</v>
      </c>
      <c r="N1021" t="s">
        <v>259</v>
      </c>
      <c r="O1021" t="s">
        <v>1455</v>
      </c>
      <c r="P1021">
        <v>12</v>
      </c>
      <c r="Q102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2D131231</v>
      </c>
      <c r="R1021" t="s">
        <v>229</v>
      </c>
      <c r="S102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22" spans="1:20" x14ac:dyDescent="0.25">
      <c r="A1022" t="s">
        <v>1454</v>
      </c>
      <c r="B1022">
        <v>202005</v>
      </c>
      <c r="C1022" t="s">
        <v>6</v>
      </c>
      <c r="D1022" t="s">
        <v>60</v>
      </c>
      <c r="E1022">
        <v>50</v>
      </c>
      <c r="F1022">
        <v>0</v>
      </c>
      <c r="G1022" s="2">
        <v>10.4</v>
      </c>
      <c r="H1022">
        <v>0</v>
      </c>
      <c r="I1022">
        <v>1570</v>
      </c>
      <c r="K1022" t="s">
        <v>229</v>
      </c>
      <c r="L1022">
        <v>7</v>
      </c>
      <c r="M1022">
        <v>0</v>
      </c>
      <c r="N1022" t="s">
        <v>259</v>
      </c>
      <c r="O1022" t="s">
        <v>1455</v>
      </c>
      <c r="P1022">
        <v>12</v>
      </c>
      <c r="Q102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2D131245</v>
      </c>
      <c r="R1022" t="s">
        <v>229</v>
      </c>
      <c r="S102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23" spans="1:20" x14ac:dyDescent="0.25">
      <c r="A1023" t="s">
        <v>1454</v>
      </c>
      <c r="B1023">
        <v>202005</v>
      </c>
      <c r="C1023" t="s">
        <v>56</v>
      </c>
      <c r="D1023" t="s">
        <v>246</v>
      </c>
      <c r="E1023">
        <v>0</v>
      </c>
      <c r="F1023">
        <v>0</v>
      </c>
      <c r="G1023" s="2">
        <v>0.5</v>
      </c>
      <c r="H1023">
        <v>0</v>
      </c>
      <c r="K1023" t="s">
        <v>229</v>
      </c>
      <c r="L1023">
        <v>8</v>
      </c>
      <c r="M1023">
        <v>0</v>
      </c>
      <c r="O1023" t="s">
        <v>1455</v>
      </c>
      <c r="P1023">
        <v>12</v>
      </c>
      <c r="Q102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2D138999</v>
      </c>
      <c r="R1023" t="s">
        <v>229</v>
      </c>
      <c r="S102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24" spans="1:20" x14ac:dyDescent="0.25">
      <c r="A1024" t="s">
        <v>1458</v>
      </c>
      <c r="B1024">
        <v>202005</v>
      </c>
      <c r="C1024" t="s">
        <v>45</v>
      </c>
      <c r="D1024" t="s">
        <v>543</v>
      </c>
      <c r="E1024">
        <v>203.78781000000001</v>
      </c>
      <c r="F1024">
        <v>0</v>
      </c>
      <c r="G1024" s="2">
        <v>100</v>
      </c>
      <c r="H1024">
        <v>0</v>
      </c>
      <c r="I1024">
        <v>1570</v>
      </c>
      <c r="K1024" t="s">
        <v>229</v>
      </c>
      <c r="L1024">
        <v>1</v>
      </c>
      <c r="M1024">
        <v>0</v>
      </c>
      <c r="N1024" t="s">
        <v>259</v>
      </c>
      <c r="O1024" t="s">
        <v>1459</v>
      </c>
      <c r="P1024">
        <v>12</v>
      </c>
      <c r="Q102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2D141101</v>
      </c>
      <c r="R1024" t="s">
        <v>229</v>
      </c>
      <c r="S102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25" spans="1:20" x14ac:dyDescent="0.25">
      <c r="A1025" t="s">
        <v>1458</v>
      </c>
      <c r="B1025">
        <v>202005</v>
      </c>
      <c r="C1025" t="s">
        <v>23</v>
      </c>
      <c r="D1025" t="s">
        <v>27</v>
      </c>
      <c r="E1025">
        <v>290.78937999999999</v>
      </c>
      <c r="F1025">
        <v>0</v>
      </c>
      <c r="G1025" s="2">
        <v>38.9</v>
      </c>
      <c r="H1025">
        <v>0</v>
      </c>
      <c r="K1025" t="s">
        <v>229</v>
      </c>
      <c r="L1025">
        <v>6</v>
      </c>
      <c r="M1025">
        <v>0</v>
      </c>
      <c r="N1025" t="s">
        <v>259</v>
      </c>
      <c r="O1025" t="s">
        <v>1459</v>
      </c>
      <c r="P1025">
        <v>12</v>
      </c>
      <c r="Q102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2D141162</v>
      </c>
      <c r="R1025" t="s">
        <v>229</v>
      </c>
      <c r="S102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  <c r="T1025" t="s">
        <v>1460</v>
      </c>
    </row>
    <row r="1026" spans="1:20" x14ac:dyDescent="0.25">
      <c r="A1026" t="s">
        <v>1458</v>
      </c>
      <c r="B1026">
        <v>202005</v>
      </c>
      <c r="C1026" t="s">
        <v>1</v>
      </c>
      <c r="D1026" t="s">
        <v>569</v>
      </c>
      <c r="E1026">
        <v>170</v>
      </c>
      <c r="F1026">
        <v>0</v>
      </c>
      <c r="G1026" s="2">
        <v>6.7</v>
      </c>
      <c r="H1026">
        <v>0</v>
      </c>
      <c r="K1026" t="s">
        <v>229</v>
      </c>
      <c r="L1026">
        <v>7</v>
      </c>
      <c r="M1026">
        <v>0</v>
      </c>
      <c r="N1026" t="s">
        <v>259</v>
      </c>
      <c r="O1026" t="s">
        <v>1459</v>
      </c>
      <c r="P1026">
        <v>12</v>
      </c>
      <c r="Q102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2D141168</v>
      </c>
      <c r="R1026" t="s">
        <v>229</v>
      </c>
      <c r="S102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27" spans="1:20" x14ac:dyDescent="0.25">
      <c r="A1027" t="s">
        <v>1458</v>
      </c>
      <c r="B1027">
        <v>202005</v>
      </c>
      <c r="C1027" t="s">
        <v>2</v>
      </c>
      <c r="D1027" t="s">
        <v>182</v>
      </c>
      <c r="E1027">
        <v>25</v>
      </c>
      <c r="F1027">
        <v>0</v>
      </c>
      <c r="G1027" s="2">
        <v>1.4</v>
      </c>
      <c r="H1027">
        <v>0</v>
      </c>
      <c r="K1027" t="s">
        <v>229</v>
      </c>
      <c r="L1027">
        <v>7</v>
      </c>
      <c r="M1027">
        <v>0</v>
      </c>
      <c r="N1027" t="s">
        <v>259</v>
      </c>
      <c r="O1027" t="s">
        <v>1459</v>
      </c>
      <c r="P1027">
        <v>12</v>
      </c>
      <c r="Q102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2D141227</v>
      </c>
      <c r="R1027" t="s">
        <v>229</v>
      </c>
      <c r="S102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28" spans="1:20" x14ac:dyDescent="0.25">
      <c r="A1028" t="s">
        <v>1458</v>
      </c>
      <c r="B1028">
        <v>202005</v>
      </c>
      <c r="C1028" t="s">
        <v>3</v>
      </c>
      <c r="D1028" t="s">
        <v>58</v>
      </c>
      <c r="E1028">
        <v>275</v>
      </c>
      <c r="F1028">
        <v>0</v>
      </c>
      <c r="G1028" s="2">
        <v>23.3</v>
      </c>
      <c r="H1028">
        <v>0</v>
      </c>
      <c r="K1028" t="s">
        <v>229</v>
      </c>
      <c r="L1028">
        <v>7</v>
      </c>
      <c r="M1028">
        <v>0</v>
      </c>
      <c r="N1028" t="s">
        <v>259</v>
      </c>
      <c r="O1028" t="s">
        <v>1459</v>
      </c>
      <c r="P1028">
        <v>12</v>
      </c>
      <c r="Q102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2D141229</v>
      </c>
      <c r="R1028" t="s">
        <v>229</v>
      </c>
      <c r="S102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29" spans="1:20" x14ac:dyDescent="0.25">
      <c r="A1029" t="s">
        <v>1458</v>
      </c>
      <c r="B1029">
        <v>202005</v>
      </c>
      <c r="C1029" t="s">
        <v>4</v>
      </c>
      <c r="D1029" t="s">
        <v>265</v>
      </c>
      <c r="E1029">
        <v>115</v>
      </c>
      <c r="F1029">
        <v>0</v>
      </c>
      <c r="G1029" s="2">
        <v>5.7</v>
      </c>
      <c r="H1029">
        <v>0</v>
      </c>
      <c r="K1029" t="s">
        <v>229</v>
      </c>
      <c r="L1029">
        <v>7</v>
      </c>
      <c r="M1029">
        <v>0</v>
      </c>
      <c r="N1029" t="s">
        <v>259</v>
      </c>
      <c r="O1029" t="s">
        <v>1459</v>
      </c>
      <c r="P1029">
        <v>12</v>
      </c>
      <c r="Q102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2D141230</v>
      </c>
      <c r="R1029" t="s">
        <v>229</v>
      </c>
      <c r="S102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30" spans="1:20" x14ac:dyDescent="0.25">
      <c r="A1030" t="s">
        <v>1458</v>
      </c>
      <c r="B1030">
        <v>202005</v>
      </c>
      <c r="C1030" t="s">
        <v>5</v>
      </c>
      <c r="D1030" t="s">
        <v>59</v>
      </c>
      <c r="E1030">
        <v>8.56</v>
      </c>
      <c r="F1030">
        <v>0</v>
      </c>
      <c r="G1030" s="2">
        <v>10.5</v>
      </c>
      <c r="H1030">
        <v>0</v>
      </c>
      <c r="K1030" t="s">
        <v>229</v>
      </c>
      <c r="L1030">
        <v>7</v>
      </c>
      <c r="M1030">
        <v>0</v>
      </c>
      <c r="N1030" t="s">
        <v>259</v>
      </c>
      <c r="O1030" t="s">
        <v>1459</v>
      </c>
      <c r="P1030">
        <v>12</v>
      </c>
      <c r="Q103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2D141231</v>
      </c>
      <c r="R1030" t="s">
        <v>229</v>
      </c>
      <c r="S103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31" spans="1:20" x14ac:dyDescent="0.25">
      <c r="A1031" t="s">
        <v>1458</v>
      </c>
      <c r="B1031">
        <v>202005</v>
      </c>
      <c r="C1031" t="s">
        <v>6</v>
      </c>
      <c r="D1031" t="s">
        <v>60</v>
      </c>
      <c r="E1031">
        <v>50</v>
      </c>
      <c r="F1031">
        <v>0</v>
      </c>
      <c r="G1031" s="2">
        <v>11.8</v>
      </c>
      <c r="H1031">
        <v>0</v>
      </c>
      <c r="K1031" t="s">
        <v>229</v>
      </c>
      <c r="L1031">
        <v>7</v>
      </c>
      <c r="M1031">
        <v>0</v>
      </c>
      <c r="N1031" t="s">
        <v>259</v>
      </c>
      <c r="O1031" t="s">
        <v>1459</v>
      </c>
      <c r="P1031">
        <v>12</v>
      </c>
      <c r="Q103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2D141245</v>
      </c>
      <c r="R1031" t="s">
        <v>229</v>
      </c>
      <c r="S103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32" spans="1:20" x14ac:dyDescent="0.25">
      <c r="A1032" t="s">
        <v>1458</v>
      </c>
      <c r="B1032">
        <v>202005</v>
      </c>
      <c r="C1032" t="s">
        <v>1460</v>
      </c>
      <c r="D1032" t="s">
        <v>1461</v>
      </c>
      <c r="E1032">
        <v>62.5</v>
      </c>
      <c r="F1032">
        <v>0</v>
      </c>
      <c r="G1032" s="2">
        <v>1.3</v>
      </c>
      <c r="H1032">
        <v>0</v>
      </c>
      <c r="I1032">
        <v>1570</v>
      </c>
      <c r="K1032" t="s">
        <v>229</v>
      </c>
      <c r="L1032">
        <v>7</v>
      </c>
      <c r="M1032">
        <v>0</v>
      </c>
      <c r="N1032" t="s">
        <v>259</v>
      </c>
      <c r="O1032" t="s">
        <v>1459</v>
      </c>
      <c r="P1032">
        <v>12</v>
      </c>
      <c r="Q103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2D141285</v>
      </c>
      <c r="R1032" t="s">
        <v>229</v>
      </c>
      <c r="S103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33" spans="1:20" x14ac:dyDescent="0.25">
      <c r="A1033" t="s">
        <v>1458</v>
      </c>
      <c r="B1033">
        <v>202005</v>
      </c>
      <c r="C1033" t="s">
        <v>56</v>
      </c>
      <c r="D1033" t="s">
        <v>246</v>
      </c>
      <c r="E1033">
        <v>0</v>
      </c>
      <c r="F1033">
        <v>0</v>
      </c>
      <c r="G1033" s="2">
        <v>0.4</v>
      </c>
      <c r="H1033">
        <v>0</v>
      </c>
      <c r="K1033" t="s">
        <v>229</v>
      </c>
      <c r="L1033">
        <v>8</v>
      </c>
      <c r="M1033">
        <v>0</v>
      </c>
      <c r="O1033" t="s">
        <v>1459</v>
      </c>
      <c r="P1033">
        <v>12</v>
      </c>
      <c r="Q103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2D148999</v>
      </c>
      <c r="R1033" t="s">
        <v>229</v>
      </c>
      <c r="S103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34" spans="1:20" x14ac:dyDescent="0.25">
      <c r="A1034" t="s">
        <v>1462</v>
      </c>
      <c r="B1034">
        <v>202005</v>
      </c>
      <c r="C1034" t="s">
        <v>45</v>
      </c>
      <c r="D1034" t="s">
        <v>543</v>
      </c>
      <c r="E1034">
        <v>203.78781000000001</v>
      </c>
      <c r="F1034">
        <v>0</v>
      </c>
      <c r="G1034" s="2">
        <v>100</v>
      </c>
      <c r="H1034">
        <v>0</v>
      </c>
      <c r="I1034">
        <v>1570</v>
      </c>
      <c r="K1034" t="s">
        <v>229</v>
      </c>
      <c r="L1034">
        <v>1</v>
      </c>
      <c r="M1034">
        <v>0</v>
      </c>
      <c r="N1034" t="s">
        <v>259</v>
      </c>
      <c r="O1034" t="s">
        <v>1463</v>
      </c>
      <c r="P1034">
        <v>12</v>
      </c>
      <c r="Q103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2D151101</v>
      </c>
      <c r="R1034" t="s">
        <v>229</v>
      </c>
      <c r="S103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35" spans="1:20" x14ac:dyDescent="0.25">
      <c r="A1035" t="s">
        <v>1462</v>
      </c>
      <c r="B1035">
        <v>202005</v>
      </c>
      <c r="C1035" t="s">
        <v>1464</v>
      </c>
      <c r="D1035" t="s">
        <v>1465</v>
      </c>
      <c r="E1035">
        <v>268.87</v>
      </c>
      <c r="F1035">
        <v>0</v>
      </c>
      <c r="G1035" s="2">
        <v>59.7</v>
      </c>
      <c r="H1035">
        <v>0</v>
      </c>
      <c r="K1035" t="s">
        <v>229</v>
      </c>
      <c r="L1035">
        <v>6</v>
      </c>
      <c r="M1035">
        <v>0</v>
      </c>
      <c r="N1035" t="s">
        <v>259</v>
      </c>
      <c r="O1035" t="s">
        <v>1463</v>
      </c>
      <c r="P1035">
        <v>12</v>
      </c>
      <c r="Q103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2D151167</v>
      </c>
      <c r="R1035" t="s">
        <v>229</v>
      </c>
      <c r="S103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  <c r="T1035" t="s">
        <v>617</v>
      </c>
    </row>
    <row r="1036" spans="1:20" x14ac:dyDescent="0.25">
      <c r="A1036" t="s">
        <v>1462</v>
      </c>
      <c r="B1036">
        <v>202005</v>
      </c>
      <c r="C1036" t="s">
        <v>1</v>
      </c>
      <c r="D1036" t="s">
        <v>569</v>
      </c>
      <c r="E1036">
        <v>170</v>
      </c>
      <c r="F1036">
        <v>0</v>
      </c>
      <c r="G1036" s="2">
        <v>3.8</v>
      </c>
      <c r="H1036">
        <v>0</v>
      </c>
      <c r="K1036" t="s">
        <v>229</v>
      </c>
      <c r="L1036">
        <v>7</v>
      </c>
      <c r="M1036">
        <v>0</v>
      </c>
      <c r="N1036" t="s">
        <v>259</v>
      </c>
      <c r="O1036" t="s">
        <v>1463</v>
      </c>
      <c r="P1036">
        <v>12</v>
      </c>
      <c r="Q103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2D151168</v>
      </c>
      <c r="R1036" t="s">
        <v>229</v>
      </c>
      <c r="S103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37" spans="1:20" x14ac:dyDescent="0.25">
      <c r="A1037" t="s">
        <v>1462</v>
      </c>
      <c r="B1037">
        <v>202005</v>
      </c>
      <c r="C1037" t="s">
        <v>2</v>
      </c>
      <c r="D1037" t="s">
        <v>182</v>
      </c>
      <c r="E1037">
        <v>25</v>
      </c>
      <c r="F1037">
        <v>0</v>
      </c>
      <c r="G1037" s="2">
        <v>1.3</v>
      </c>
      <c r="H1037">
        <v>0</v>
      </c>
      <c r="K1037" t="s">
        <v>229</v>
      </c>
      <c r="L1037">
        <v>7</v>
      </c>
      <c r="M1037">
        <v>0</v>
      </c>
      <c r="N1037" t="s">
        <v>259</v>
      </c>
      <c r="O1037" t="s">
        <v>1463</v>
      </c>
      <c r="P1037">
        <v>12</v>
      </c>
      <c r="Q103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2D151227</v>
      </c>
      <c r="R1037" t="s">
        <v>229</v>
      </c>
      <c r="S103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38" spans="1:20" x14ac:dyDescent="0.25">
      <c r="A1038" t="s">
        <v>1462</v>
      </c>
      <c r="B1038">
        <v>202005</v>
      </c>
      <c r="C1038" t="s">
        <v>3</v>
      </c>
      <c r="D1038" t="s">
        <v>58</v>
      </c>
      <c r="E1038">
        <v>275</v>
      </c>
      <c r="F1038">
        <v>0</v>
      </c>
      <c r="G1038" s="2">
        <v>4.9000000000000004</v>
      </c>
      <c r="H1038">
        <v>0</v>
      </c>
      <c r="K1038" t="s">
        <v>229</v>
      </c>
      <c r="L1038">
        <v>7</v>
      </c>
      <c r="M1038">
        <v>0</v>
      </c>
      <c r="N1038" t="s">
        <v>259</v>
      </c>
      <c r="O1038" t="s">
        <v>1463</v>
      </c>
      <c r="P1038">
        <v>12</v>
      </c>
      <c r="Q103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2D151229</v>
      </c>
      <c r="R1038" t="s">
        <v>229</v>
      </c>
      <c r="S103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39" spans="1:20" x14ac:dyDescent="0.25">
      <c r="A1039" t="s">
        <v>1462</v>
      </c>
      <c r="B1039">
        <v>202005</v>
      </c>
      <c r="C1039" t="s">
        <v>4</v>
      </c>
      <c r="D1039" t="s">
        <v>265</v>
      </c>
      <c r="E1039">
        <v>115</v>
      </c>
      <c r="F1039">
        <v>0</v>
      </c>
      <c r="G1039" s="2">
        <v>7.3</v>
      </c>
      <c r="H1039">
        <v>0</v>
      </c>
      <c r="K1039" t="s">
        <v>229</v>
      </c>
      <c r="L1039">
        <v>7</v>
      </c>
      <c r="M1039">
        <v>0</v>
      </c>
      <c r="N1039" t="s">
        <v>259</v>
      </c>
      <c r="O1039" t="s">
        <v>1463</v>
      </c>
      <c r="P1039">
        <v>12</v>
      </c>
      <c r="Q103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2D151230</v>
      </c>
      <c r="R1039" t="s">
        <v>229</v>
      </c>
      <c r="S103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40" spans="1:20" x14ac:dyDescent="0.25">
      <c r="A1040" t="s">
        <v>1462</v>
      </c>
      <c r="B1040">
        <v>202005</v>
      </c>
      <c r="C1040" t="s">
        <v>5</v>
      </c>
      <c r="D1040" t="s">
        <v>59</v>
      </c>
      <c r="E1040">
        <v>8.56</v>
      </c>
      <c r="F1040">
        <v>0</v>
      </c>
      <c r="G1040" s="2">
        <v>9.8000000000000007</v>
      </c>
      <c r="H1040">
        <v>0</v>
      </c>
      <c r="K1040" t="s">
        <v>229</v>
      </c>
      <c r="L1040">
        <v>7</v>
      </c>
      <c r="M1040">
        <v>0</v>
      </c>
      <c r="N1040" t="s">
        <v>259</v>
      </c>
      <c r="O1040" t="s">
        <v>1463</v>
      </c>
      <c r="P1040">
        <v>12</v>
      </c>
      <c r="Q104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2D151231</v>
      </c>
      <c r="R1040" t="s">
        <v>229</v>
      </c>
      <c r="S104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41" spans="1:20" x14ac:dyDescent="0.25">
      <c r="A1041" t="s">
        <v>1462</v>
      </c>
      <c r="B1041">
        <v>202005</v>
      </c>
      <c r="C1041" t="s">
        <v>6</v>
      </c>
      <c r="D1041" t="s">
        <v>60</v>
      </c>
      <c r="E1041">
        <v>50</v>
      </c>
      <c r="F1041">
        <v>0</v>
      </c>
      <c r="G1041" s="2">
        <v>12.7</v>
      </c>
      <c r="H1041">
        <v>0</v>
      </c>
      <c r="I1041">
        <v>1570</v>
      </c>
      <c r="K1041" t="s">
        <v>229</v>
      </c>
      <c r="L1041">
        <v>7</v>
      </c>
      <c r="M1041">
        <v>0</v>
      </c>
      <c r="N1041" t="s">
        <v>259</v>
      </c>
      <c r="O1041" t="s">
        <v>1463</v>
      </c>
      <c r="P1041">
        <v>12</v>
      </c>
      <c r="Q104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2D151245</v>
      </c>
      <c r="R1041" t="s">
        <v>229</v>
      </c>
      <c r="S104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42" spans="1:20" x14ac:dyDescent="0.25">
      <c r="A1042" t="s">
        <v>1462</v>
      </c>
      <c r="B1042">
        <v>202005</v>
      </c>
      <c r="C1042" t="s">
        <v>56</v>
      </c>
      <c r="D1042" t="s">
        <v>246</v>
      </c>
      <c r="E1042">
        <v>0</v>
      </c>
      <c r="F1042">
        <v>0</v>
      </c>
      <c r="G1042" s="2">
        <v>0.5</v>
      </c>
      <c r="H1042">
        <v>0</v>
      </c>
      <c r="K1042" t="s">
        <v>229</v>
      </c>
      <c r="L1042">
        <v>8</v>
      </c>
      <c r="M1042">
        <v>0</v>
      </c>
      <c r="O1042" t="s">
        <v>1463</v>
      </c>
      <c r="P1042">
        <v>12</v>
      </c>
      <c r="Q104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2D158999</v>
      </c>
      <c r="R1042" t="s">
        <v>229</v>
      </c>
      <c r="S104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43" spans="1:20" x14ac:dyDescent="0.25">
      <c r="A1043" t="s">
        <v>1466</v>
      </c>
      <c r="B1043">
        <v>202005</v>
      </c>
      <c r="C1043" t="s">
        <v>45</v>
      </c>
      <c r="D1043" t="s">
        <v>543</v>
      </c>
      <c r="E1043">
        <v>203.78781000000001</v>
      </c>
      <c r="F1043">
        <v>0</v>
      </c>
      <c r="G1043" s="2">
        <v>100</v>
      </c>
      <c r="H1043">
        <v>0</v>
      </c>
      <c r="I1043">
        <v>1570</v>
      </c>
      <c r="K1043" t="s">
        <v>229</v>
      </c>
      <c r="L1043">
        <v>1</v>
      </c>
      <c r="M1043">
        <v>0</v>
      </c>
      <c r="N1043" t="s">
        <v>259</v>
      </c>
      <c r="O1043" t="s">
        <v>1467</v>
      </c>
      <c r="P1043">
        <v>12</v>
      </c>
      <c r="Q104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2D161101</v>
      </c>
      <c r="R1043" t="s">
        <v>229</v>
      </c>
      <c r="S104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44" spans="1:20" x14ac:dyDescent="0.25">
      <c r="A1044" t="s">
        <v>1466</v>
      </c>
      <c r="B1044">
        <v>202005</v>
      </c>
      <c r="C1044" t="s">
        <v>1468</v>
      </c>
      <c r="D1044" t="s">
        <v>1469</v>
      </c>
      <c r="E1044">
        <v>231.54</v>
      </c>
      <c r="F1044">
        <v>0</v>
      </c>
      <c r="G1044" s="2">
        <v>71.650000000000006</v>
      </c>
      <c r="H1044">
        <v>0</v>
      </c>
      <c r="K1044" t="s">
        <v>229</v>
      </c>
      <c r="L1044">
        <v>6</v>
      </c>
      <c r="M1044">
        <v>0</v>
      </c>
      <c r="N1044" t="s">
        <v>259</v>
      </c>
      <c r="O1044" t="s">
        <v>1467</v>
      </c>
      <c r="P1044">
        <v>12</v>
      </c>
      <c r="Q104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2D161173</v>
      </c>
      <c r="R1044" t="s">
        <v>229</v>
      </c>
      <c r="S104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  <c r="T1044" t="s">
        <v>7</v>
      </c>
    </row>
    <row r="1045" spans="1:20" x14ac:dyDescent="0.25">
      <c r="A1045" t="s">
        <v>1466</v>
      </c>
      <c r="B1045">
        <v>202005</v>
      </c>
      <c r="C1045" t="s">
        <v>1</v>
      </c>
      <c r="D1045" t="s">
        <v>569</v>
      </c>
      <c r="E1045">
        <v>170</v>
      </c>
      <c r="F1045">
        <v>0</v>
      </c>
      <c r="G1045" s="2">
        <v>3.89</v>
      </c>
      <c r="H1045">
        <v>0</v>
      </c>
      <c r="K1045" t="s">
        <v>229</v>
      </c>
      <c r="L1045">
        <v>7</v>
      </c>
      <c r="M1045">
        <v>0</v>
      </c>
      <c r="N1045" t="s">
        <v>259</v>
      </c>
      <c r="O1045" t="s">
        <v>1467</v>
      </c>
      <c r="P1045">
        <v>12</v>
      </c>
      <c r="Q104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2D161168</v>
      </c>
      <c r="R1045" t="s">
        <v>229</v>
      </c>
      <c r="S104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46" spans="1:20" x14ac:dyDescent="0.25">
      <c r="A1046" t="s">
        <v>1466</v>
      </c>
      <c r="B1046">
        <v>202005</v>
      </c>
      <c r="C1046" t="s">
        <v>3</v>
      </c>
      <c r="D1046" t="s">
        <v>58</v>
      </c>
      <c r="E1046">
        <v>275</v>
      </c>
      <c r="F1046">
        <v>0</v>
      </c>
      <c r="G1046" s="2">
        <v>1.85</v>
      </c>
      <c r="H1046">
        <v>0</v>
      </c>
      <c r="K1046" t="s">
        <v>229</v>
      </c>
      <c r="L1046">
        <v>7</v>
      </c>
      <c r="M1046">
        <v>0</v>
      </c>
      <c r="N1046" t="s">
        <v>259</v>
      </c>
      <c r="O1046" t="s">
        <v>1467</v>
      </c>
      <c r="P1046">
        <v>12</v>
      </c>
      <c r="Q104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2D161229</v>
      </c>
      <c r="R1046" t="s">
        <v>229</v>
      </c>
      <c r="S104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47" spans="1:20" x14ac:dyDescent="0.25">
      <c r="A1047" t="s">
        <v>1466</v>
      </c>
      <c r="B1047">
        <v>202005</v>
      </c>
      <c r="C1047" t="s">
        <v>4</v>
      </c>
      <c r="D1047" t="s">
        <v>265</v>
      </c>
      <c r="E1047">
        <v>115</v>
      </c>
      <c r="F1047">
        <v>0</v>
      </c>
      <c r="G1047" s="2">
        <v>5.37</v>
      </c>
      <c r="H1047">
        <v>0</v>
      </c>
      <c r="K1047" t="s">
        <v>229</v>
      </c>
      <c r="L1047">
        <v>7</v>
      </c>
      <c r="M1047">
        <v>0</v>
      </c>
      <c r="N1047" t="s">
        <v>259</v>
      </c>
      <c r="O1047" t="s">
        <v>1467</v>
      </c>
      <c r="P1047">
        <v>12</v>
      </c>
      <c r="Q104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2D161230</v>
      </c>
      <c r="R1047" t="s">
        <v>229</v>
      </c>
      <c r="S104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48" spans="1:20" x14ac:dyDescent="0.25">
      <c r="A1048" t="s">
        <v>1466</v>
      </c>
      <c r="B1048">
        <v>202005</v>
      </c>
      <c r="C1048" t="s">
        <v>5</v>
      </c>
      <c r="D1048" t="s">
        <v>59</v>
      </c>
      <c r="E1048">
        <v>8.56</v>
      </c>
      <c r="F1048">
        <v>0</v>
      </c>
      <c r="G1048" s="2">
        <v>5.76</v>
      </c>
      <c r="H1048">
        <v>0</v>
      </c>
      <c r="K1048" t="s">
        <v>229</v>
      </c>
      <c r="L1048">
        <v>7</v>
      </c>
      <c r="M1048">
        <v>0</v>
      </c>
      <c r="N1048" t="s">
        <v>259</v>
      </c>
      <c r="O1048" t="s">
        <v>1467</v>
      </c>
      <c r="P1048">
        <v>12</v>
      </c>
      <c r="Q104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2D161231</v>
      </c>
      <c r="R1048" t="s">
        <v>229</v>
      </c>
      <c r="S104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49" spans="1:20" x14ac:dyDescent="0.25">
      <c r="A1049" t="s">
        <v>1466</v>
      </c>
      <c r="B1049">
        <v>202005</v>
      </c>
      <c r="C1049" t="s">
        <v>6</v>
      </c>
      <c r="D1049" t="s">
        <v>60</v>
      </c>
      <c r="E1049">
        <v>50</v>
      </c>
      <c r="F1049">
        <v>0</v>
      </c>
      <c r="G1049" s="2">
        <v>2.13</v>
      </c>
      <c r="H1049">
        <v>0</v>
      </c>
      <c r="K1049" t="s">
        <v>229</v>
      </c>
      <c r="L1049">
        <v>7</v>
      </c>
      <c r="M1049">
        <v>0</v>
      </c>
      <c r="N1049" t="s">
        <v>259</v>
      </c>
      <c r="O1049" t="s">
        <v>1467</v>
      </c>
      <c r="P1049">
        <v>12</v>
      </c>
      <c r="Q104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2D161245</v>
      </c>
      <c r="R1049" t="s">
        <v>229</v>
      </c>
      <c r="S104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50" spans="1:20" x14ac:dyDescent="0.25">
      <c r="A1050" t="s">
        <v>1466</v>
      </c>
      <c r="B1050">
        <v>202005</v>
      </c>
      <c r="C1050" t="s">
        <v>7</v>
      </c>
      <c r="D1050" t="s">
        <v>570</v>
      </c>
      <c r="E1050">
        <v>80</v>
      </c>
      <c r="F1050">
        <v>0</v>
      </c>
      <c r="G1050" s="2">
        <v>8.61</v>
      </c>
      <c r="H1050">
        <v>0</v>
      </c>
      <c r="I1050">
        <v>1570</v>
      </c>
      <c r="K1050" t="s">
        <v>229</v>
      </c>
      <c r="L1050">
        <v>7</v>
      </c>
      <c r="M1050">
        <v>0</v>
      </c>
      <c r="N1050" t="s">
        <v>259</v>
      </c>
      <c r="O1050" t="s">
        <v>1467</v>
      </c>
      <c r="P1050">
        <v>12</v>
      </c>
      <c r="Q105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2D161246</v>
      </c>
      <c r="R1050" t="s">
        <v>229</v>
      </c>
      <c r="S105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51" spans="1:20" x14ac:dyDescent="0.25">
      <c r="A1051" t="s">
        <v>1466</v>
      </c>
      <c r="B1051">
        <v>202005</v>
      </c>
      <c r="C1051" t="s">
        <v>56</v>
      </c>
      <c r="D1051" t="s">
        <v>246</v>
      </c>
      <c r="E1051">
        <v>0</v>
      </c>
      <c r="F1051">
        <v>0</v>
      </c>
      <c r="G1051" s="2">
        <v>0.74</v>
      </c>
      <c r="H1051">
        <v>0</v>
      </c>
      <c r="K1051" t="s">
        <v>229</v>
      </c>
      <c r="L1051">
        <v>8</v>
      </c>
      <c r="M1051">
        <v>0</v>
      </c>
      <c r="O1051" t="s">
        <v>1467</v>
      </c>
      <c r="P1051">
        <v>12</v>
      </c>
      <c r="Q105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2D168999</v>
      </c>
      <c r="R1051" t="s">
        <v>229</v>
      </c>
      <c r="S105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52" spans="1:20" x14ac:dyDescent="0.25">
      <c r="A1052" t="s">
        <v>1470</v>
      </c>
      <c r="B1052">
        <v>202005</v>
      </c>
      <c r="C1052" t="s">
        <v>1471</v>
      </c>
      <c r="D1052" t="s">
        <v>1472</v>
      </c>
      <c r="E1052">
        <v>252.78</v>
      </c>
      <c r="F1052">
        <v>0</v>
      </c>
      <c r="G1052" s="2">
        <v>100</v>
      </c>
      <c r="H1052">
        <v>0</v>
      </c>
      <c r="I1052">
        <v>1570</v>
      </c>
      <c r="K1052" t="s">
        <v>229</v>
      </c>
      <c r="L1052">
        <v>1</v>
      </c>
      <c r="M1052">
        <v>0</v>
      </c>
      <c r="N1052" t="s">
        <v>259</v>
      </c>
      <c r="O1052" t="s">
        <v>1473</v>
      </c>
      <c r="P1052">
        <v>12</v>
      </c>
      <c r="Q105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2D171101N</v>
      </c>
      <c r="R1052" t="s">
        <v>229</v>
      </c>
      <c r="S105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53" spans="1:20" x14ac:dyDescent="0.25">
      <c r="A1053" t="s">
        <v>1470</v>
      </c>
      <c r="B1053">
        <v>202005</v>
      </c>
      <c r="C1053" t="s">
        <v>15</v>
      </c>
      <c r="D1053" t="s">
        <v>572</v>
      </c>
      <c r="E1053">
        <v>321.67621000000003</v>
      </c>
      <c r="F1053">
        <v>0</v>
      </c>
      <c r="G1053" s="2">
        <v>27.18</v>
      </c>
      <c r="H1053">
        <v>0</v>
      </c>
      <c r="K1053" t="s">
        <v>229</v>
      </c>
      <c r="L1053">
        <v>6</v>
      </c>
      <c r="M1053">
        <v>0</v>
      </c>
      <c r="N1053" t="s">
        <v>259</v>
      </c>
      <c r="O1053" t="s">
        <v>1473</v>
      </c>
      <c r="P1053">
        <v>12</v>
      </c>
      <c r="Q105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2D171160</v>
      </c>
      <c r="R1053" t="s">
        <v>229</v>
      </c>
      <c r="S105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  <c r="T1053" t="s">
        <v>7</v>
      </c>
    </row>
    <row r="1054" spans="1:20" x14ac:dyDescent="0.25">
      <c r="A1054" t="s">
        <v>1470</v>
      </c>
      <c r="B1054">
        <v>202005</v>
      </c>
      <c r="C1054" t="s">
        <v>1</v>
      </c>
      <c r="D1054" t="s">
        <v>569</v>
      </c>
      <c r="E1054">
        <v>170</v>
      </c>
      <c r="F1054">
        <v>0</v>
      </c>
      <c r="G1054" s="2">
        <v>3.48</v>
      </c>
      <c r="H1054">
        <v>0</v>
      </c>
      <c r="K1054" t="s">
        <v>229</v>
      </c>
      <c r="L1054">
        <v>7</v>
      </c>
      <c r="M1054">
        <v>0</v>
      </c>
      <c r="N1054" t="s">
        <v>259</v>
      </c>
      <c r="O1054" t="s">
        <v>1473</v>
      </c>
      <c r="P1054">
        <v>12</v>
      </c>
      <c r="Q105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2D171168</v>
      </c>
      <c r="R1054" t="s">
        <v>229</v>
      </c>
      <c r="S105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55" spans="1:20" x14ac:dyDescent="0.25">
      <c r="A1055" t="s">
        <v>1470</v>
      </c>
      <c r="B1055">
        <v>202005</v>
      </c>
      <c r="C1055" t="s">
        <v>1474</v>
      </c>
      <c r="D1055" t="s">
        <v>1475</v>
      </c>
      <c r="E1055">
        <v>466.78</v>
      </c>
      <c r="F1055">
        <v>0</v>
      </c>
      <c r="G1055" s="2">
        <v>26.23</v>
      </c>
      <c r="H1055">
        <v>0</v>
      </c>
      <c r="K1055" t="s">
        <v>229</v>
      </c>
      <c r="L1055">
        <v>7</v>
      </c>
      <c r="M1055">
        <v>0</v>
      </c>
      <c r="N1055" t="s">
        <v>259</v>
      </c>
      <c r="O1055" t="s">
        <v>1473</v>
      </c>
      <c r="P1055">
        <v>12</v>
      </c>
      <c r="Q105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2D171177</v>
      </c>
      <c r="R1055" t="s">
        <v>229</v>
      </c>
      <c r="S105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56" spans="1:20" x14ac:dyDescent="0.25">
      <c r="A1056" t="s">
        <v>1470</v>
      </c>
      <c r="B1056">
        <v>202005</v>
      </c>
      <c r="C1056" t="s">
        <v>2</v>
      </c>
      <c r="D1056" t="s">
        <v>182</v>
      </c>
      <c r="E1056">
        <v>25</v>
      </c>
      <c r="F1056">
        <v>0</v>
      </c>
      <c r="G1056" s="2">
        <v>1.58</v>
      </c>
      <c r="H1056">
        <v>0</v>
      </c>
      <c r="K1056" t="s">
        <v>229</v>
      </c>
      <c r="L1056">
        <v>7</v>
      </c>
      <c r="M1056">
        <v>0</v>
      </c>
      <c r="N1056" t="s">
        <v>259</v>
      </c>
      <c r="O1056" t="s">
        <v>1473</v>
      </c>
      <c r="P1056">
        <v>12</v>
      </c>
      <c r="Q105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2D171227</v>
      </c>
      <c r="R1056" t="s">
        <v>229</v>
      </c>
      <c r="S105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57" spans="1:20" x14ac:dyDescent="0.25">
      <c r="A1057" t="s">
        <v>1470</v>
      </c>
      <c r="B1057">
        <v>202005</v>
      </c>
      <c r="C1057" t="s">
        <v>3</v>
      </c>
      <c r="D1057" t="s">
        <v>58</v>
      </c>
      <c r="E1057">
        <v>275</v>
      </c>
      <c r="F1057">
        <v>0</v>
      </c>
      <c r="G1057" s="2">
        <v>7.13</v>
      </c>
      <c r="H1057">
        <v>0</v>
      </c>
      <c r="K1057" t="s">
        <v>229</v>
      </c>
      <c r="L1057">
        <v>7</v>
      </c>
      <c r="M1057">
        <v>0</v>
      </c>
      <c r="N1057" t="s">
        <v>259</v>
      </c>
      <c r="O1057" t="s">
        <v>1473</v>
      </c>
      <c r="P1057">
        <v>12</v>
      </c>
      <c r="Q105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2D171229</v>
      </c>
      <c r="R1057" t="s">
        <v>229</v>
      </c>
      <c r="S105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58" spans="1:20" x14ac:dyDescent="0.25">
      <c r="A1058" t="s">
        <v>1470</v>
      </c>
      <c r="B1058">
        <v>202005</v>
      </c>
      <c r="C1058" t="s">
        <v>4</v>
      </c>
      <c r="D1058" t="s">
        <v>265</v>
      </c>
      <c r="E1058">
        <v>115</v>
      </c>
      <c r="F1058">
        <v>0</v>
      </c>
      <c r="G1058" s="2">
        <v>5.16</v>
      </c>
      <c r="H1058">
        <v>0</v>
      </c>
      <c r="K1058" t="s">
        <v>229</v>
      </c>
      <c r="L1058">
        <v>7</v>
      </c>
      <c r="M1058">
        <v>0</v>
      </c>
      <c r="N1058" t="s">
        <v>259</v>
      </c>
      <c r="O1058" t="s">
        <v>1473</v>
      </c>
      <c r="P1058">
        <v>12</v>
      </c>
      <c r="Q105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2D171230</v>
      </c>
      <c r="R1058" t="s">
        <v>229</v>
      </c>
      <c r="S105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59" spans="1:20" x14ac:dyDescent="0.25">
      <c r="A1059" t="s">
        <v>1470</v>
      </c>
      <c r="B1059">
        <v>202005</v>
      </c>
      <c r="C1059" t="s">
        <v>5</v>
      </c>
      <c r="D1059" t="s">
        <v>59</v>
      </c>
      <c r="E1059">
        <v>8.56</v>
      </c>
      <c r="F1059">
        <v>0</v>
      </c>
      <c r="G1059" s="2">
        <v>3.5</v>
      </c>
      <c r="H1059">
        <v>0</v>
      </c>
      <c r="K1059" t="s">
        <v>229</v>
      </c>
      <c r="L1059">
        <v>7</v>
      </c>
      <c r="M1059">
        <v>0</v>
      </c>
      <c r="N1059" t="s">
        <v>259</v>
      </c>
      <c r="O1059" t="s">
        <v>1473</v>
      </c>
      <c r="P1059">
        <v>12</v>
      </c>
      <c r="Q105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2D171231</v>
      </c>
      <c r="R1059" t="s">
        <v>229</v>
      </c>
      <c r="S105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60" spans="1:20" x14ac:dyDescent="0.25">
      <c r="A1060" t="s">
        <v>1470</v>
      </c>
      <c r="B1060">
        <v>202005</v>
      </c>
      <c r="C1060" t="s">
        <v>7</v>
      </c>
      <c r="D1060" t="s">
        <v>570</v>
      </c>
      <c r="E1060">
        <v>80</v>
      </c>
      <c r="F1060">
        <v>0</v>
      </c>
      <c r="G1060" s="2">
        <v>16.899999999999999</v>
      </c>
      <c r="H1060">
        <v>0</v>
      </c>
      <c r="K1060" t="s">
        <v>229</v>
      </c>
      <c r="L1060">
        <v>7</v>
      </c>
      <c r="M1060">
        <v>0</v>
      </c>
      <c r="N1060" t="s">
        <v>259</v>
      </c>
      <c r="O1060" t="s">
        <v>1473</v>
      </c>
      <c r="P1060">
        <v>12</v>
      </c>
      <c r="Q106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2D171246</v>
      </c>
      <c r="R1060" t="s">
        <v>229</v>
      </c>
      <c r="S106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61" spans="1:20" x14ac:dyDescent="0.25">
      <c r="A1061" t="s">
        <v>1470</v>
      </c>
      <c r="B1061">
        <v>202005</v>
      </c>
      <c r="C1061" t="s">
        <v>240</v>
      </c>
      <c r="D1061" t="s">
        <v>241</v>
      </c>
      <c r="E1061">
        <v>113.37035</v>
      </c>
      <c r="F1061">
        <v>0</v>
      </c>
      <c r="G1061" s="2">
        <v>8.4499999999999993</v>
      </c>
      <c r="H1061">
        <v>0</v>
      </c>
      <c r="I1061">
        <v>1570</v>
      </c>
      <c r="K1061" t="s">
        <v>229</v>
      </c>
      <c r="L1061">
        <v>7</v>
      </c>
      <c r="M1061">
        <v>0</v>
      </c>
      <c r="N1061" t="s">
        <v>259</v>
      </c>
      <c r="O1061" t="s">
        <v>1473</v>
      </c>
      <c r="P1061">
        <v>12</v>
      </c>
      <c r="Q106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2D171250</v>
      </c>
      <c r="R1061" t="s">
        <v>229</v>
      </c>
      <c r="S106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62" spans="1:20" x14ac:dyDescent="0.25">
      <c r="A1062" t="s">
        <v>1470</v>
      </c>
      <c r="B1062">
        <v>202005</v>
      </c>
      <c r="C1062" t="s">
        <v>56</v>
      </c>
      <c r="D1062" t="s">
        <v>246</v>
      </c>
      <c r="E1062">
        <v>0</v>
      </c>
      <c r="F1062">
        <v>0</v>
      </c>
      <c r="G1062" s="2">
        <v>0.39</v>
      </c>
      <c r="H1062">
        <v>0</v>
      </c>
      <c r="K1062" t="s">
        <v>229</v>
      </c>
      <c r="L1062">
        <v>8</v>
      </c>
      <c r="M1062">
        <v>0</v>
      </c>
      <c r="O1062" t="s">
        <v>1473</v>
      </c>
      <c r="P1062">
        <v>12</v>
      </c>
      <c r="Q106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2D178999</v>
      </c>
      <c r="R1062" t="s">
        <v>229</v>
      </c>
      <c r="S106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63" spans="1:20" x14ac:dyDescent="0.25">
      <c r="A1063" t="s">
        <v>1476</v>
      </c>
      <c r="B1063">
        <v>202005</v>
      </c>
      <c r="C1063" t="s">
        <v>45</v>
      </c>
      <c r="D1063" t="s">
        <v>543</v>
      </c>
      <c r="E1063">
        <v>203.78781000000001</v>
      </c>
      <c r="F1063">
        <v>0</v>
      </c>
      <c r="G1063" s="2">
        <v>100</v>
      </c>
      <c r="H1063">
        <v>0</v>
      </c>
      <c r="I1063">
        <v>1570</v>
      </c>
      <c r="K1063" t="s">
        <v>229</v>
      </c>
      <c r="L1063">
        <v>1</v>
      </c>
      <c r="M1063">
        <v>0</v>
      </c>
      <c r="N1063" t="s">
        <v>259</v>
      </c>
      <c r="O1063" t="s">
        <v>1477</v>
      </c>
      <c r="P1063">
        <v>12</v>
      </c>
      <c r="Q106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2D181101</v>
      </c>
      <c r="R1063" t="s">
        <v>644</v>
      </c>
      <c r="S106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1064" spans="1:20" x14ac:dyDescent="0.25">
      <c r="A1064" t="s">
        <v>1476</v>
      </c>
      <c r="B1064">
        <v>202005</v>
      </c>
      <c r="C1064" t="s">
        <v>1478</v>
      </c>
      <c r="D1064" t="s">
        <v>1479</v>
      </c>
      <c r="E1064">
        <v>281.60000000000002</v>
      </c>
      <c r="F1064">
        <v>0</v>
      </c>
      <c r="G1064" s="2">
        <v>45.24</v>
      </c>
      <c r="H1064">
        <v>0</v>
      </c>
      <c r="K1064" t="s">
        <v>229</v>
      </c>
      <c r="L1064">
        <v>6</v>
      </c>
      <c r="M1064">
        <v>0</v>
      </c>
      <c r="N1064" t="s">
        <v>259</v>
      </c>
      <c r="O1064" t="s">
        <v>1477</v>
      </c>
      <c r="P1064">
        <v>12</v>
      </c>
      <c r="Q106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2D181181</v>
      </c>
      <c r="R1064" t="s">
        <v>644</v>
      </c>
      <c r="S106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  <c r="T1064" t="s">
        <v>617</v>
      </c>
    </row>
    <row r="1065" spans="1:20" x14ac:dyDescent="0.25">
      <c r="A1065" t="s">
        <v>1476</v>
      </c>
      <c r="B1065">
        <v>202005</v>
      </c>
      <c r="C1065" t="s">
        <v>1</v>
      </c>
      <c r="D1065" t="s">
        <v>569</v>
      </c>
      <c r="E1065">
        <v>170</v>
      </c>
      <c r="F1065">
        <v>0</v>
      </c>
      <c r="G1065" s="2">
        <v>2.8</v>
      </c>
      <c r="H1065">
        <v>0</v>
      </c>
      <c r="K1065" t="s">
        <v>229</v>
      </c>
      <c r="L1065">
        <v>7</v>
      </c>
      <c r="M1065">
        <v>0</v>
      </c>
      <c r="N1065" t="s">
        <v>259</v>
      </c>
      <c r="O1065" t="s">
        <v>1477</v>
      </c>
      <c r="P1065">
        <v>12</v>
      </c>
      <c r="Q106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2D181168</v>
      </c>
      <c r="R1065" t="s">
        <v>644</v>
      </c>
      <c r="S106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066" spans="1:20" x14ac:dyDescent="0.25">
      <c r="A1066" t="s">
        <v>1476</v>
      </c>
      <c r="B1066">
        <v>202005</v>
      </c>
      <c r="C1066" t="s">
        <v>2</v>
      </c>
      <c r="D1066" t="s">
        <v>182</v>
      </c>
      <c r="E1066">
        <v>25</v>
      </c>
      <c r="F1066">
        <v>0</v>
      </c>
      <c r="G1066" s="2">
        <v>0.35</v>
      </c>
      <c r="H1066">
        <v>0</v>
      </c>
      <c r="K1066" t="s">
        <v>229</v>
      </c>
      <c r="L1066">
        <v>7</v>
      </c>
      <c r="M1066">
        <v>0</v>
      </c>
      <c r="N1066" t="s">
        <v>259</v>
      </c>
      <c r="O1066" t="s">
        <v>1477</v>
      </c>
      <c r="P1066">
        <v>12</v>
      </c>
      <c r="Q106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2D181227</v>
      </c>
      <c r="R1066" t="s">
        <v>644</v>
      </c>
      <c r="S106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067" spans="1:20" x14ac:dyDescent="0.25">
      <c r="A1067" t="s">
        <v>1476</v>
      </c>
      <c r="B1067">
        <v>202005</v>
      </c>
      <c r="C1067" t="s">
        <v>3</v>
      </c>
      <c r="D1067" t="s">
        <v>58</v>
      </c>
      <c r="E1067">
        <v>275</v>
      </c>
      <c r="F1067">
        <v>0</v>
      </c>
      <c r="G1067" s="2">
        <v>23.32</v>
      </c>
      <c r="H1067">
        <v>0</v>
      </c>
      <c r="K1067" t="s">
        <v>229</v>
      </c>
      <c r="L1067">
        <v>7</v>
      </c>
      <c r="M1067">
        <v>0</v>
      </c>
      <c r="N1067" t="s">
        <v>259</v>
      </c>
      <c r="O1067" t="s">
        <v>1477</v>
      </c>
      <c r="P1067">
        <v>12</v>
      </c>
      <c r="Q106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2D181229</v>
      </c>
      <c r="R1067" t="s">
        <v>644</v>
      </c>
      <c r="S106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068" spans="1:20" x14ac:dyDescent="0.25">
      <c r="A1068" t="s">
        <v>1476</v>
      </c>
      <c r="B1068">
        <v>202005</v>
      </c>
      <c r="C1068" t="s">
        <v>4</v>
      </c>
      <c r="D1068" t="s">
        <v>265</v>
      </c>
      <c r="E1068">
        <v>115</v>
      </c>
      <c r="F1068">
        <v>0</v>
      </c>
      <c r="G1068" s="2">
        <v>5.44</v>
      </c>
      <c r="H1068">
        <v>0</v>
      </c>
      <c r="K1068" t="s">
        <v>229</v>
      </c>
      <c r="L1068">
        <v>7</v>
      </c>
      <c r="M1068">
        <v>0</v>
      </c>
      <c r="N1068" t="s">
        <v>259</v>
      </c>
      <c r="O1068" t="s">
        <v>1477</v>
      </c>
      <c r="P1068">
        <v>12</v>
      </c>
      <c r="Q106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2D181230</v>
      </c>
      <c r="R1068" t="s">
        <v>644</v>
      </c>
      <c r="S106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069" spans="1:20" x14ac:dyDescent="0.25">
      <c r="A1069" t="s">
        <v>1476</v>
      </c>
      <c r="B1069">
        <v>202005</v>
      </c>
      <c r="C1069" t="s">
        <v>5</v>
      </c>
      <c r="D1069" t="s">
        <v>59</v>
      </c>
      <c r="E1069">
        <v>8.56</v>
      </c>
      <c r="F1069">
        <v>0</v>
      </c>
      <c r="G1069" s="2">
        <v>3.83</v>
      </c>
      <c r="H1069">
        <v>0</v>
      </c>
      <c r="K1069" t="s">
        <v>229</v>
      </c>
      <c r="L1069">
        <v>7</v>
      </c>
      <c r="M1069">
        <v>0</v>
      </c>
      <c r="N1069" t="s">
        <v>259</v>
      </c>
      <c r="O1069" t="s">
        <v>1477</v>
      </c>
      <c r="P1069">
        <v>12</v>
      </c>
      <c r="Q106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2D181231</v>
      </c>
      <c r="R1069" t="s">
        <v>644</v>
      </c>
      <c r="S106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070" spans="1:20" x14ac:dyDescent="0.25">
      <c r="A1070" t="s">
        <v>1476</v>
      </c>
      <c r="B1070">
        <v>202005</v>
      </c>
      <c r="C1070" t="s">
        <v>6</v>
      </c>
      <c r="D1070" t="s">
        <v>60</v>
      </c>
      <c r="E1070">
        <v>50</v>
      </c>
      <c r="F1070">
        <v>0</v>
      </c>
      <c r="G1070" s="2">
        <v>16.14</v>
      </c>
      <c r="H1070">
        <v>0</v>
      </c>
      <c r="K1070" t="s">
        <v>229</v>
      </c>
      <c r="L1070">
        <v>7</v>
      </c>
      <c r="M1070">
        <v>0</v>
      </c>
      <c r="N1070" t="s">
        <v>259</v>
      </c>
      <c r="O1070" t="s">
        <v>1477</v>
      </c>
      <c r="P1070">
        <v>12</v>
      </c>
      <c r="Q107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2D181245</v>
      </c>
      <c r="R1070" t="s">
        <v>644</v>
      </c>
      <c r="S107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071" spans="1:20" x14ac:dyDescent="0.25">
      <c r="A1071" t="s">
        <v>1476</v>
      </c>
      <c r="B1071">
        <v>202005</v>
      </c>
      <c r="C1071" t="s">
        <v>260</v>
      </c>
      <c r="D1071" t="s">
        <v>261</v>
      </c>
      <c r="E1071">
        <v>50</v>
      </c>
      <c r="F1071">
        <v>0</v>
      </c>
      <c r="G1071" s="2">
        <v>2.87</v>
      </c>
      <c r="H1071">
        <v>0</v>
      </c>
      <c r="I1071">
        <v>1570</v>
      </c>
      <c r="K1071" t="s">
        <v>229</v>
      </c>
      <c r="L1071">
        <v>7</v>
      </c>
      <c r="M1071">
        <v>0</v>
      </c>
      <c r="N1071" t="s">
        <v>259</v>
      </c>
      <c r="O1071" t="s">
        <v>1477</v>
      </c>
      <c r="P1071">
        <v>12</v>
      </c>
      <c r="Q107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2D181334</v>
      </c>
      <c r="R1071" t="s">
        <v>644</v>
      </c>
      <c r="S107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072" spans="1:20" x14ac:dyDescent="0.25">
      <c r="A1072" t="s">
        <v>1476</v>
      </c>
      <c r="B1072">
        <v>202005</v>
      </c>
      <c r="C1072" t="s">
        <v>56</v>
      </c>
      <c r="D1072" t="s">
        <v>246</v>
      </c>
      <c r="E1072">
        <v>0</v>
      </c>
      <c r="F1072">
        <v>0</v>
      </c>
      <c r="G1072" s="2">
        <v>0.01</v>
      </c>
      <c r="H1072">
        <v>0</v>
      </c>
      <c r="K1072" t="s">
        <v>229</v>
      </c>
      <c r="L1072">
        <v>8</v>
      </c>
      <c r="M1072">
        <v>0</v>
      </c>
      <c r="O1072" t="s">
        <v>1477</v>
      </c>
      <c r="P1072">
        <v>12</v>
      </c>
      <c r="Q107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2D188999</v>
      </c>
      <c r="R1072" t="s">
        <v>644</v>
      </c>
      <c r="S107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1073" spans="1:19" x14ac:dyDescent="0.25">
      <c r="A1073" t="s">
        <v>1480</v>
      </c>
      <c r="B1073">
        <v>202005</v>
      </c>
      <c r="C1073" t="s">
        <v>45</v>
      </c>
      <c r="D1073" t="s">
        <v>543</v>
      </c>
      <c r="E1073">
        <v>203.78781000000001</v>
      </c>
      <c r="F1073">
        <v>0</v>
      </c>
      <c r="G1073" s="2">
        <v>100</v>
      </c>
      <c r="H1073">
        <v>0</v>
      </c>
      <c r="I1073">
        <v>1570</v>
      </c>
      <c r="K1073" t="s">
        <v>229</v>
      </c>
      <c r="L1073">
        <v>1</v>
      </c>
      <c r="M1073">
        <v>0</v>
      </c>
      <c r="N1073" t="s">
        <v>259</v>
      </c>
      <c r="O1073" t="s">
        <v>1481</v>
      </c>
      <c r="P1073">
        <v>12</v>
      </c>
      <c r="Q107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2D191101</v>
      </c>
      <c r="R1073" t="s">
        <v>229</v>
      </c>
      <c r="S107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74" spans="1:19" x14ac:dyDescent="0.25">
      <c r="A1074" t="s">
        <v>1480</v>
      </c>
      <c r="B1074">
        <v>202005</v>
      </c>
      <c r="C1074" t="s">
        <v>19</v>
      </c>
      <c r="D1074" t="s">
        <v>568</v>
      </c>
      <c r="E1074">
        <v>426.88508999999999</v>
      </c>
      <c r="F1074">
        <v>0</v>
      </c>
      <c r="G1074" s="2">
        <v>15.01</v>
      </c>
      <c r="H1074">
        <v>0</v>
      </c>
      <c r="I1074">
        <v>1570</v>
      </c>
      <c r="K1074" t="s">
        <v>229</v>
      </c>
      <c r="L1074">
        <v>6</v>
      </c>
      <c r="M1074">
        <v>0</v>
      </c>
      <c r="N1074" t="s">
        <v>259</v>
      </c>
      <c r="O1074" t="s">
        <v>1481</v>
      </c>
      <c r="P1074">
        <v>12</v>
      </c>
      <c r="Q107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2D191161</v>
      </c>
      <c r="R1074" t="s">
        <v>229</v>
      </c>
      <c r="S107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75" spans="1:19" x14ac:dyDescent="0.25">
      <c r="A1075" t="s">
        <v>1480</v>
      </c>
      <c r="B1075">
        <v>202005</v>
      </c>
      <c r="C1075" t="s">
        <v>23</v>
      </c>
      <c r="D1075" t="s">
        <v>27</v>
      </c>
      <c r="E1075">
        <v>290.78937999999999</v>
      </c>
      <c r="F1075">
        <v>0</v>
      </c>
      <c r="G1075" s="2">
        <v>20.73</v>
      </c>
      <c r="H1075">
        <v>0</v>
      </c>
      <c r="I1075">
        <v>1570</v>
      </c>
      <c r="K1075" t="s">
        <v>229</v>
      </c>
      <c r="L1075">
        <v>7</v>
      </c>
      <c r="M1075">
        <v>0</v>
      </c>
      <c r="N1075" t="s">
        <v>259</v>
      </c>
      <c r="O1075" t="s">
        <v>1481</v>
      </c>
      <c r="P1075">
        <v>12</v>
      </c>
      <c r="Q107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2D191162</v>
      </c>
      <c r="R1075" t="s">
        <v>229</v>
      </c>
      <c r="S107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76" spans="1:19" x14ac:dyDescent="0.25">
      <c r="A1076" t="s">
        <v>1480</v>
      </c>
      <c r="B1076">
        <v>202005</v>
      </c>
      <c r="C1076" t="s">
        <v>1</v>
      </c>
      <c r="D1076" t="s">
        <v>569</v>
      </c>
      <c r="E1076">
        <v>170</v>
      </c>
      <c r="F1076">
        <v>0</v>
      </c>
      <c r="G1076" s="2">
        <v>5.57</v>
      </c>
      <c r="H1076">
        <v>0</v>
      </c>
      <c r="I1076">
        <v>1570</v>
      </c>
      <c r="K1076" t="s">
        <v>229</v>
      </c>
      <c r="L1076">
        <v>7</v>
      </c>
      <c r="M1076">
        <v>0</v>
      </c>
      <c r="N1076" t="s">
        <v>259</v>
      </c>
      <c r="O1076" t="s">
        <v>1481</v>
      </c>
      <c r="P1076">
        <v>12</v>
      </c>
      <c r="Q107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2D191168</v>
      </c>
      <c r="R1076" t="s">
        <v>229</v>
      </c>
      <c r="S107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77" spans="1:19" x14ac:dyDescent="0.25">
      <c r="A1077" t="s">
        <v>1480</v>
      </c>
      <c r="B1077">
        <v>202005</v>
      </c>
      <c r="C1077" t="s">
        <v>2</v>
      </c>
      <c r="D1077" t="s">
        <v>182</v>
      </c>
      <c r="E1077">
        <v>25</v>
      </c>
      <c r="F1077">
        <v>0</v>
      </c>
      <c r="G1077" s="2">
        <v>1.56</v>
      </c>
      <c r="H1077">
        <v>0</v>
      </c>
      <c r="I1077">
        <v>1570</v>
      </c>
      <c r="K1077" t="s">
        <v>229</v>
      </c>
      <c r="L1077">
        <v>7</v>
      </c>
      <c r="M1077">
        <v>0</v>
      </c>
      <c r="N1077" t="s">
        <v>259</v>
      </c>
      <c r="O1077" t="s">
        <v>1481</v>
      </c>
      <c r="P1077">
        <v>12</v>
      </c>
      <c r="Q107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2D191227</v>
      </c>
      <c r="R1077" t="s">
        <v>229</v>
      </c>
      <c r="S107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78" spans="1:19" x14ac:dyDescent="0.25">
      <c r="A1078" t="s">
        <v>1480</v>
      </c>
      <c r="B1078">
        <v>202005</v>
      </c>
      <c r="C1078" t="s">
        <v>3</v>
      </c>
      <c r="D1078" t="s">
        <v>58</v>
      </c>
      <c r="E1078">
        <v>275</v>
      </c>
      <c r="F1078">
        <v>0</v>
      </c>
      <c r="G1078" s="2">
        <v>24.48</v>
      </c>
      <c r="H1078">
        <v>0</v>
      </c>
      <c r="I1078">
        <v>1570</v>
      </c>
      <c r="K1078" t="s">
        <v>229</v>
      </c>
      <c r="L1078">
        <v>7</v>
      </c>
      <c r="M1078">
        <v>0</v>
      </c>
      <c r="N1078" t="s">
        <v>259</v>
      </c>
      <c r="O1078" t="s">
        <v>1481</v>
      </c>
      <c r="P1078">
        <v>12</v>
      </c>
      <c r="Q107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2D191229</v>
      </c>
      <c r="R1078" t="s">
        <v>229</v>
      </c>
      <c r="S107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79" spans="1:19" x14ac:dyDescent="0.25">
      <c r="A1079" t="s">
        <v>1480</v>
      </c>
      <c r="B1079">
        <v>202005</v>
      </c>
      <c r="C1079" t="s">
        <v>4</v>
      </c>
      <c r="D1079" t="s">
        <v>265</v>
      </c>
      <c r="E1079">
        <v>115</v>
      </c>
      <c r="F1079">
        <v>0</v>
      </c>
      <c r="G1079" s="2">
        <v>6.29</v>
      </c>
      <c r="H1079">
        <v>0</v>
      </c>
      <c r="I1079">
        <v>1570</v>
      </c>
      <c r="K1079" t="s">
        <v>229</v>
      </c>
      <c r="L1079">
        <v>7</v>
      </c>
      <c r="M1079">
        <v>0</v>
      </c>
      <c r="N1079" t="s">
        <v>259</v>
      </c>
      <c r="O1079" t="s">
        <v>1481</v>
      </c>
      <c r="P1079">
        <v>12</v>
      </c>
      <c r="Q107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2D191230</v>
      </c>
      <c r="R1079" t="s">
        <v>229</v>
      </c>
      <c r="S107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80" spans="1:19" x14ac:dyDescent="0.25">
      <c r="A1080" t="s">
        <v>1480</v>
      </c>
      <c r="B1080">
        <v>202005</v>
      </c>
      <c r="C1080" t="s">
        <v>5</v>
      </c>
      <c r="D1080" t="s">
        <v>59</v>
      </c>
      <c r="E1080">
        <v>8.56</v>
      </c>
      <c r="F1080">
        <v>0</v>
      </c>
      <c r="G1080" s="2">
        <v>10.53</v>
      </c>
      <c r="H1080">
        <v>0</v>
      </c>
      <c r="I1080">
        <v>1570</v>
      </c>
      <c r="K1080" t="s">
        <v>229</v>
      </c>
      <c r="L1080">
        <v>7</v>
      </c>
      <c r="M1080">
        <v>0</v>
      </c>
      <c r="N1080" t="s">
        <v>259</v>
      </c>
      <c r="O1080" t="s">
        <v>1481</v>
      </c>
      <c r="P1080">
        <v>12</v>
      </c>
      <c r="Q108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2D191231</v>
      </c>
      <c r="R1080" t="s">
        <v>229</v>
      </c>
      <c r="S108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81" spans="1:19" x14ac:dyDescent="0.25">
      <c r="A1081" t="s">
        <v>1480</v>
      </c>
      <c r="B1081">
        <v>202005</v>
      </c>
      <c r="C1081" t="s">
        <v>6</v>
      </c>
      <c r="D1081" t="s">
        <v>60</v>
      </c>
      <c r="E1081">
        <v>50</v>
      </c>
      <c r="F1081">
        <v>0</v>
      </c>
      <c r="G1081" s="2">
        <v>15.71</v>
      </c>
      <c r="H1081">
        <v>0</v>
      </c>
      <c r="I1081">
        <v>1570</v>
      </c>
      <c r="K1081" t="s">
        <v>229</v>
      </c>
      <c r="L1081">
        <v>7</v>
      </c>
      <c r="M1081">
        <v>0</v>
      </c>
      <c r="N1081" t="s">
        <v>259</v>
      </c>
      <c r="O1081" t="s">
        <v>1481</v>
      </c>
      <c r="P1081">
        <v>12</v>
      </c>
      <c r="Q108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2D191245</v>
      </c>
      <c r="R1081" t="s">
        <v>229</v>
      </c>
      <c r="S108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82" spans="1:19" x14ac:dyDescent="0.25">
      <c r="A1082" t="s">
        <v>1480</v>
      </c>
      <c r="B1082">
        <v>202005</v>
      </c>
      <c r="C1082" t="s">
        <v>56</v>
      </c>
      <c r="D1082" t="s">
        <v>246</v>
      </c>
      <c r="E1082">
        <v>0</v>
      </c>
      <c r="F1082">
        <v>0</v>
      </c>
      <c r="G1082" s="2">
        <v>0.12</v>
      </c>
      <c r="H1082">
        <v>0</v>
      </c>
      <c r="K1082" t="s">
        <v>229</v>
      </c>
      <c r="L1082">
        <v>8</v>
      </c>
      <c r="M1082">
        <v>0</v>
      </c>
      <c r="O1082" t="s">
        <v>1481</v>
      </c>
      <c r="P1082">
        <v>12</v>
      </c>
      <c r="Q108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2D198999</v>
      </c>
      <c r="R1082" t="s">
        <v>229</v>
      </c>
      <c r="S108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83" spans="1:19" x14ac:dyDescent="0.25">
      <c r="A1083" t="s">
        <v>580</v>
      </c>
      <c r="B1083">
        <v>202005</v>
      </c>
      <c r="C1083" t="s">
        <v>45</v>
      </c>
      <c r="D1083" t="s">
        <v>543</v>
      </c>
      <c r="E1083">
        <v>203.78781000000001</v>
      </c>
      <c r="F1083">
        <v>0</v>
      </c>
      <c r="G1083" s="2">
        <v>100</v>
      </c>
      <c r="H1083">
        <v>0</v>
      </c>
      <c r="I1083">
        <v>1570</v>
      </c>
      <c r="K1083" t="s">
        <v>229</v>
      </c>
      <c r="L1083">
        <v>1</v>
      </c>
      <c r="M1083">
        <v>0</v>
      </c>
      <c r="N1083" t="s">
        <v>259</v>
      </c>
      <c r="O1083" t="s">
        <v>581</v>
      </c>
      <c r="P1083">
        <v>12</v>
      </c>
      <c r="Q108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2D201101</v>
      </c>
      <c r="R1083" t="s">
        <v>644</v>
      </c>
      <c r="S108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1084" spans="1:19" x14ac:dyDescent="0.25">
      <c r="A1084" t="s">
        <v>580</v>
      </c>
      <c r="B1084">
        <v>202005</v>
      </c>
      <c r="C1084" t="s">
        <v>19</v>
      </c>
      <c r="D1084" t="s">
        <v>568</v>
      </c>
      <c r="E1084">
        <v>426.88508999999999</v>
      </c>
      <c r="F1084">
        <v>0</v>
      </c>
      <c r="G1084" s="2">
        <v>14.33</v>
      </c>
      <c r="H1084">
        <v>0</v>
      </c>
      <c r="I1084">
        <v>1570</v>
      </c>
      <c r="K1084" t="s">
        <v>229</v>
      </c>
      <c r="L1084">
        <v>6</v>
      </c>
      <c r="M1084">
        <v>0</v>
      </c>
      <c r="N1084" t="s">
        <v>259</v>
      </c>
      <c r="O1084" t="s">
        <v>581</v>
      </c>
      <c r="P1084">
        <v>12</v>
      </c>
      <c r="Q108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2D201161</v>
      </c>
      <c r="R1084" t="s">
        <v>644</v>
      </c>
      <c r="S108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</row>
    <row r="1085" spans="1:19" x14ac:dyDescent="0.25">
      <c r="A1085" t="s">
        <v>580</v>
      </c>
      <c r="B1085">
        <v>202005</v>
      </c>
      <c r="C1085" t="s">
        <v>1</v>
      </c>
      <c r="D1085" t="s">
        <v>569</v>
      </c>
      <c r="E1085">
        <v>170</v>
      </c>
      <c r="F1085">
        <v>0</v>
      </c>
      <c r="G1085" s="2">
        <v>13.32</v>
      </c>
      <c r="H1085">
        <v>0</v>
      </c>
      <c r="I1085">
        <v>1570</v>
      </c>
      <c r="K1085" t="s">
        <v>229</v>
      </c>
      <c r="L1085">
        <v>7</v>
      </c>
      <c r="M1085">
        <v>0</v>
      </c>
      <c r="N1085" t="s">
        <v>259</v>
      </c>
      <c r="O1085" t="s">
        <v>581</v>
      </c>
      <c r="P1085">
        <v>12</v>
      </c>
      <c r="Q108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2D201168</v>
      </c>
      <c r="R1085" t="s">
        <v>644</v>
      </c>
      <c r="S108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086" spans="1:19" x14ac:dyDescent="0.25">
      <c r="A1086" t="s">
        <v>580</v>
      </c>
      <c r="B1086">
        <v>202005</v>
      </c>
      <c r="C1086" t="s">
        <v>2</v>
      </c>
      <c r="D1086" t="s">
        <v>182</v>
      </c>
      <c r="E1086">
        <v>25</v>
      </c>
      <c r="F1086">
        <v>0</v>
      </c>
      <c r="G1086" s="2">
        <v>0.46</v>
      </c>
      <c r="H1086">
        <v>0</v>
      </c>
      <c r="I1086">
        <v>1570</v>
      </c>
      <c r="K1086" t="s">
        <v>229</v>
      </c>
      <c r="L1086">
        <v>7</v>
      </c>
      <c r="M1086">
        <v>0</v>
      </c>
      <c r="N1086" t="s">
        <v>259</v>
      </c>
      <c r="O1086" t="s">
        <v>581</v>
      </c>
      <c r="P1086">
        <v>12</v>
      </c>
      <c r="Q108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2D201227</v>
      </c>
      <c r="R1086" t="s">
        <v>644</v>
      </c>
      <c r="S108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087" spans="1:19" x14ac:dyDescent="0.25">
      <c r="A1087" t="s">
        <v>580</v>
      </c>
      <c r="B1087">
        <v>202005</v>
      </c>
      <c r="C1087" t="s">
        <v>3</v>
      </c>
      <c r="D1087" t="s">
        <v>58</v>
      </c>
      <c r="E1087">
        <v>275</v>
      </c>
      <c r="F1087">
        <v>0</v>
      </c>
      <c r="G1087" s="2">
        <v>37.03</v>
      </c>
      <c r="H1087">
        <v>0</v>
      </c>
      <c r="I1087">
        <v>1570</v>
      </c>
      <c r="K1087" t="s">
        <v>229</v>
      </c>
      <c r="L1087">
        <v>7</v>
      </c>
      <c r="M1087">
        <v>0</v>
      </c>
      <c r="N1087" t="s">
        <v>259</v>
      </c>
      <c r="O1087" t="s">
        <v>581</v>
      </c>
      <c r="P1087">
        <v>12</v>
      </c>
      <c r="Q108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2D201229</v>
      </c>
      <c r="R1087" t="s">
        <v>644</v>
      </c>
      <c r="S108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088" spans="1:19" x14ac:dyDescent="0.25">
      <c r="A1088" t="s">
        <v>580</v>
      </c>
      <c r="B1088">
        <v>202005</v>
      </c>
      <c r="C1088" t="s">
        <v>4</v>
      </c>
      <c r="D1088" t="s">
        <v>265</v>
      </c>
      <c r="E1088">
        <v>115</v>
      </c>
      <c r="F1088">
        <v>0</v>
      </c>
      <c r="G1088" s="2">
        <v>5.61</v>
      </c>
      <c r="H1088">
        <v>0</v>
      </c>
      <c r="I1088">
        <v>1570</v>
      </c>
      <c r="K1088" t="s">
        <v>229</v>
      </c>
      <c r="L1088">
        <v>7</v>
      </c>
      <c r="M1088">
        <v>0</v>
      </c>
      <c r="N1088" t="s">
        <v>259</v>
      </c>
      <c r="O1088" t="s">
        <v>581</v>
      </c>
      <c r="P1088">
        <v>12</v>
      </c>
      <c r="Q108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2D201230</v>
      </c>
      <c r="R1088" t="s">
        <v>644</v>
      </c>
      <c r="S108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089" spans="1:20" x14ac:dyDescent="0.25">
      <c r="A1089" t="s">
        <v>580</v>
      </c>
      <c r="B1089">
        <v>202005</v>
      </c>
      <c r="C1089" t="s">
        <v>5</v>
      </c>
      <c r="D1089" t="s">
        <v>59</v>
      </c>
      <c r="E1089">
        <v>8.56</v>
      </c>
      <c r="F1089">
        <v>0</v>
      </c>
      <c r="G1089" s="2">
        <v>7.21</v>
      </c>
      <c r="H1089">
        <v>0</v>
      </c>
      <c r="I1089">
        <v>1570</v>
      </c>
      <c r="K1089" t="s">
        <v>229</v>
      </c>
      <c r="L1089">
        <v>7</v>
      </c>
      <c r="M1089">
        <v>0</v>
      </c>
      <c r="N1089" t="s">
        <v>259</v>
      </c>
      <c r="O1089" t="s">
        <v>581</v>
      </c>
      <c r="P1089">
        <v>12</v>
      </c>
      <c r="Q108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2D201231</v>
      </c>
      <c r="R1089" t="s">
        <v>644</v>
      </c>
      <c r="S108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090" spans="1:20" x14ac:dyDescent="0.25">
      <c r="A1090" t="s">
        <v>580</v>
      </c>
      <c r="B1090">
        <v>202005</v>
      </c>
      <c r="C1090" t="s">
        <v>6</v>
      </c>
      <c r="D1090" t="s">
        <v>60</v>
      </c>
      <c r="E1090">
        <v>50</v>
      </c>
      <c r="F1090">
        <v>0</v>
      </c>
      <c r="G1090" s="2">
        <v>18.559999999999999</v>
      </c>
      <c r="H1090">
        <v>0</v>
      </c>
      <c r="I1090">
        <v>1570</v>
      </c>
      <c r="K1090" t="s">
        <v>229</v>
      </c>
      <c r="L1090">
        <v>7</v>
      </c>
      <c r="M1090">
        <v>0</v>
      </c>
      <c r="N1090" t="s">
        <v>259</v>
      </c>
      <c r="O1090" t="s">
        <v>581</v>
      </c>
      <c r="P1090">
        <v>12</v>
      </c>
      <c r="Q109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2D201245</v>
      </c>
      <c r="R1090" t="s">
        <v>644</v>
      </c>
      <c r="S109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091" spans="1:20" x14ac:dyDescent="0.25">
      <c r="A1091" t="s">
        <v>580</v>
      </c>
      <c r="B1091">
        <v>202005</v>
      </c>
      <c r="C1091" t="s">
        <v>260</v>
      </c>
      <c r="D1091" t="s">
        <v>261</v>
      </c>
      <c r="E1091">
        <v>50</v>
      </c>
      <c r="F1091">
        <v>0</v>
      </c>
      <c r="G1091" s="2">
        <v>3.35</v>
      </c>
      <c r="H1091">
        <v>0</v>
      </c>
      <c r="I1091">
        <v>1570</v>
      </c>
      <c r="K1091" t="s">
        <v>229</v>
      </c>
      <c r="L1091">
        <v>7</v>
      </c>
      <c r="M1091">
        <v>0</v>
      </c>
      <c r="N1091" t="s">
        <v>259</v>
      </c>
      <c r="O1091" t="s">
        <v>581</v>
      </c>
      <c r="P1091">
        <v>12</v>
      </c>
      <c r="Q109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2D201334</v>
      </c>
      <c r="R1091" t="s">
        <v>644</v>
      </c>
      <c r="S109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092" spans="1:20" x14ac:dyDescent="0.25">
      <c r="A1092" t="s">
        <v>580</v>
      </c>
      <c r="B1092">
        <v>202005</v>
      </c>
      <c r="C1092" t="s">
        <v>56</v>
      </c>
      <c r="D1092" t="s">
        <v>246</v>
      </c>
      <c r="E1092">
        <v>0</v>
      </c>
      <c r="F1092">
        <v>0</v>
      </c>
      <c r="G1092" s="2">
        <v>0.13</v>
      </c>
      <c r="H1092">
        <v>0</v>
      </c>
      <c r="K1092" t="s">
        <v>229</v>
      </c>
      <c r="L1092">
        <v>8</v>
      </c>
      <c r="M1092">
        <v>0</v>
      </c>
      <c r="O1092" t="s">
        <v>581</v>
      </c>
      <c r="P1092">
        <v>12</v>
      </c>
      <c r="Q109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2D208999</v>
      </c>
      <c r="R1092" t="s">
        <v>644</v>
      </c>
      <c r="S109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1093" spans="1:20" x14ac:dyDescent="0.25">
      <c r="A1093" t="s">
        <v>1482</v>
      </c>
      <c r="B1093">
        <v>202005</v>
      </c>
      <c r="C1093" t="s">
        <v>45</v>
      </c>
      <c r="D1093" t="s">
        <v>543</v>
      </c>
      <c r="E1093">
        <v>203.78781000000001</v>
      </c>
      <c r="F1093">
        <v>0</v>
      </c>
      <c r="G1093" s="2">
        <v>100</v>
      </c>
      <c r="H1093">
        <v>0</v>
      </c>
      <c r="I1093">
        <v>1570</v>
      </c>
      <c r="K1093" t="s">
        <v>229</v>
      </c>
      <c r="L1093">
        <v>1</v>
      </c>
      <c r="M1093">
        <v>0</v>
      </c>
      <c r="N1093" t="s">
        <v>259</v>
      </c>
      <c r="O1093" t="s">
        <v>1483</v>
      </c>
      <c r="P1093">
        <v>12</v>
      </c>
      <c r="Q109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2D211101</v>
      </c>
      <c r="R1093" t="s">
        <v>229</v>
      </c>
      <c r="S109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94" spans="1:20" x14ac:dyDescent="0.25">
      <c r="A1094" t="s">
        <v>1482</v>
      </c>
      <c r="B1094">
        <v>202005</v>
      </c>
      <c r="C1094" t="s">
        <v>15</v>
      </c>
      <c r="D1094" t="s">
        <v>572</v>
      </c>
      <c r="E1094">
        <v>321.67621000000003</v>
      </c>
      <c r="F1094">
        <v>0</v>
      </c>
      <c r="G1094" s="2">
        <v>24.7</v>
      </c>
      <c r="H1094">
        <v>0</v>
      </c>
      <c r="I1094">
        <v>1570</v>
      </c>
      <c r="K1094" t="s">
        <v>229</v>
      </c>
      <c r="L1094">
        <v>6</v>
      </c>
      <c r="M1094">
        <v>0</v>
      </c>
      <c r="N1094" t="s">
        <v>259</v>
      </c>
      <c r="O1094" t="s">
        <v>1483</v>
      </c>
      <c r="P1094">
        <v>12</v>
      </c>
      <c r="Q109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2D211160</v>
      </c>
      <c r="R1094" t="s">
        <v>229</v>
      </c>
      <c r="S109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95" spans="1:20" x14ac:dyDescent="0.25">
      <c r="A1095" t="s">
        <v>1482</v>
      </c>
      <c r="B1095">
        <v>202005</v>
      </c>
      <c r="C1095" t="s">
        <v>23</v>
      </c>
      <c r="D1095" t="s">
        <v>27</v>
      </c>
      <c r="E1095">
        <v>290.78937999999999</v>
      </c>
      <c r="F1095">
        <v>0</v>
      </c>
      <c r="G1095" s="2">
        <v>9.5</v>
      </c>
      <c r="H1095">
        <v>0</v>
      </c>
      <c r="I1095">
        <v>1570</v>
      </c>
      <c r="K1095" t="s">
        <v>229</v>
      </c>
      <c r="L1095">
        <v>7</v>
      </c>
      <c r="M1095">
        <v>0</v>
      </c>
      <c r="N1095" t="s">
        <v>259</v>
      </c>
      <c r="O1095" t="s">
        <v>1483</v>
      </c>
      <c r="P1095">
        <v>12</v>
      </c>
      <c r="Q109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2D211162</v>
      </c>
      <c r="R1095" t="s">
        <v>229</v>
      </c>
      <c r="S109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96" spans="1:20" x14ac:dyDescent="0.25">
      <c r="A1096" t="s">
        <v>1482</v>
      </c>
      <c r="B1096">
        <v>202005</v>
      </c>
      <c r="C1096" t="s">
        <v>1</v>
      </c>
      <c r="D1096" t="s">
        <v>569</v>
      </c>
      <c r="E1096">
        <v>170</v>
      </c>
      <c r="F1096">
        <v>0</v>
      </c>
      <c r="G1096" s="2">
        <v>3.3</v>
      </c>
      <c r="H1096">
        <v>0</v>
      </c>
      <c r="I1096">
        <v>1570</v>
      </c>
      <c r="K1096" t="s">
        <v>229</v>
      </c>
      <c r="L1096">
        <v>7</v>
      </c>
      <c r="M1096">
        <v>0</v>
      </c>
      <c r="N1096" t="s">
        <v>259</v>
      </c>
      <c r="O1096" t="s">
        <v>1483</v>
      </c>
      <c r="P1096">
        <v>12</v>
      </c>
      <c r="Q109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2D211168</v>
      </c>
      <c r="R1096" t="s">
        <v>229</v>
      </c>
      <c r="S109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97" spans="1:20" x14ac:dyDescent="0.25">
      <c r="A1097" t="s">
        <v>1482</v>
      </c>
      <c r="B1097">
        <v>202005</v>
      </c>
      <c r="C1097" t="s">
        <v>2</v>
      </c>
      <c r="D1097" t="s">
        <v>182</v>
      </c>
      <c r="E1097">
        <v>25</v>
      </c>
      <c r="F1097">
        <v>0</v>
      </c>
      <c r="G1097" s="2">
        <v>1.5</v>
      </c>
      <c r="H1097">
        <v>0</v>
      </c>
      <c r="I1097">
        <v>1570</v>
      </c>
      <c r="K1097" t="s">
        <v>229</v>
      </c>
      <c r="L1097">
        <v>7</v>
      </c>
      <c r="M1097">
        <v>0</v>
      </c>
      <c r="N1097" t="s">
        <v>259</v>
      </c>
      <c r="O1097" t="s">
        <v>1483</v>
      </c>
      <c r="P1097">
        <v>12</v>
      </c>
      <c r="Q109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2D211227</v>
      </c>
      <c r="R1097" t="s">
        <v>229</v>
      </c>
      <c r="S109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98" spans="1:20" x14ac:dyDescent="0.25">
      <c r="A1098" t="s">
        <v>1482</v>
      </c>
      <c r="B1098">
        <v>202005</v>
      </c>
      <c r="C1098" t="s">
        <v>3</v>
      </c>
      <c r="D1098" t="s">
        <v>58</v>
      </c>
      <c r="E1098">
        <v>275</v>
      </c>
      <c r="F1098">
        <v>0</v>
      </c>
      <c r="G1098" s="2">
        <v>30.5</v>
      </c>
      <c r="H1098">
        <v>0</v>
      </c>
      <c r="I1098">
        <v>1570</v>
      </c>
      <c r="K1098" t="s">
        <v>229</v>
      </c>
      <c r="L1098">
        <v>7</v>
      </c>
      <c r="M1098">
        <v>0</v>
      </c>
      <c r="N1098" t="s">
        <v>259</v>
      </c>
      <c r="O1098" t="s">
        <v>1483</v>
      </c>
      <c r="P1098">
        <v>12</v>
      </c>
      <c r="Q109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2D211229</v>
      </c>
      <c r="R1098" t="s">
        <v>229</v>
      </c>
      <c r="S109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099" spans="1:20" x14ac:dyDescent="0.25">
      <c r="A1099" t="s">
        <v>1482</v>
      </c>
      <c r="B1099">
        <v>202005</v>
      </c>
      <c r="C1099" t="s">
        <v>4</v>
      </c>
      <c r="D1099" t="s">
        <v>265</v>
      </c>
      <c r="E1099">
        <v>115</v>
      </c>
      <c r="F1099">
        <v>0</v>
      </c>
      <c r="G1099" s="2">
        <v>6.3</v>
      </c>
      <c r="H1099">
        <v>0</v>
      </c>
      <c r="I1099">
        <v>1570</v>
      </c>
      <c r="K1099" t="s">
        <v>229</v>
      </c>
      <c r="L1099">
        <v>7</v>
      </c>
      <c r="M1099">
        <v>0</v>
      </c>
      <c r="N1099" t="s">
        <v>259</v>
      </c>
      <c r="O1099" t="s">
        <v>1483</v>
      </c>
      <c r="P1099">
        <v>12</v>
      </c>
      <c r="Q109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2D211230</v>
      </c>
      <c r="R1099" t="s">
        <v>229</v>
      </c>
      <c r="S109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100" spans="1:20" x14ac:dyDescent="0.25">
      <c r="A1100" t="s">
        <v>1482</v>
      </c>
      <c r="B1100">
        <v>202005</v>
      </c>
      <c r="C1100" t="s">
        <v>5</v>
      </c>
      <c r="D1100" t="s">
        <v>59</v>
      </c>
      <c r="E1100">
        <v>8.56</v>
      </c>
      <c r="F1100">
        <v>0</v>
      </c>
      <c r="G1100" s="2">
        <v>7.6</v>
      </c>
      <c r="H1100">
        <v>0</v>
      </c>
      <c r="I1100">
        <v>1570</v>
      </c>
      <c r="K1100" t="s">
        <v>229</v>
      </c>
      <c r="L1100">
        <v>7</v>
      </c>
      <c r="M1100">
        <v>0</v>
      </c>
      <c r="N1100" t="s">
        <v>259</v>
      </c>
      <c r="O1100" t="s">
        <v>1483</v>
      </c>
      <c r="P1100">
        <v>12</v>
      </c>
      <c r="Q110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2D211231</v>
      </c>
      <c r="R1100" t="s">
        <v>229</v>
      </c>
      <c r="S110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101" spans="1:20" x14ac:dyDescent="0.25">
      <c r="A1101" t="s">
        <v>1482</v>
      </c>
      <c r="B1101">
        <v>202005</v>
      </c>
      <c r="C1101" t="s">
        <v>6</v>
      </c>
      <c r="D1101" t="s">
        <v>60</v>
      </c>
      <c r="E1101">
        <v>50</v>
      </c>
      <c r="F1101">
        <v>0</v>
      </c>
      <c r="G1101" s="2">
        <v>15.9</v>
      </c>
      <c r="H1101">
        <v>0</v>
      </c>
      <c r="I1101">
        <v>1570</v>
      </c>
      <c r="K1101" t="s">
        <v>229</v>
      </c>
      <c r="L1101">
        <v>7</v>
      </c>
      <c r="M1101">
        <v>0</v>
      </c>
      <c r="N1101" t="s">
        <v>259</v>
      </c>
      <c r="O1101" t="s">
        <v>1483</v>
      </c>
      <c r="P1101">
        <v>12</v>
      </c>
      <c r="Q110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2D211245</v>
      </c>
      <c r="R1101" t="s">
        <v>229</v>
      </c>
      <c r="S110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102" spans="1:20" x14ac:dyDescent="0.25">
      <c r="A1102" t="s">
        <v>1482</v>
      </c>
      <c r="B1102">
        <v>202005</v>
      </c>
      <c r="C1102" t="s">
        <v>56</v>
      </c>
      <c r="D1102" t="s">
        <v>246</v>
      </c>
      <c r="E1102">
        <v>0</v>
      </c>
      <c r="F1102">
        <v>0</v>
      </c>
      <c r="G1102" s="2">
        <v>0.7</v>
      </c>
      <c r="H1102">
        <v>0</v>
      </c>
      <c r="K1102" t="s">
        <v>229</v>
      </c>
      <c r="L1102">
        <v>8</v>
      </c>
      <c r="M1102">
        <v>0</v>
      </c>
      <c r="O1102" t="s">
        <v>1483</v>
      </c>
      <c r="P1102">
        <v>12</v>
      </c>
      <c r="Q110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2D218999</v>
      </c>
      <c r="R1102" t="s">
        <v>229</v>
      </c>
      <c r="S110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103" spans="1:20" x14ac:dyDescent="0.25">
      <c r="A1103" t="s">
        <v>582</v>
      </c>
      <c r="B1103">
        <v>202005</v>
      </c>
      <c r="C1103" t="s">
        <v>45</v>
      </c>
      <c r="D1103" t="s">
        <v>543</v>
      </c>
      <c r="E1103">
        <v>203.78781000000001</v>
      </c>
      <c r="F1103">
        <v>0</v>
      </c>
      <c r="G1103" s="2">
        <v>100</v>
      </c>
      <c r="H1103">
        <v>0</v>
      </c>
      <c r="I1103">
        <v>1570</v>
      </c>
      <c r="K1103" t="s">
        <v>229</v>
      </c>
      <c r="L1103">
        <v>1</v>
      </c>
      <c r="M1103">
        <v>0</v>
      </c>
      <c r="N1103" t="s">
        <v>259</v>
      </c>
      <c r="O1103" t="s">
        <v>583</v>
      </c>
      <c r="P1103">
        <v>12</v>
      </c>
      <c r="Q110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2D221101</v>
      </c>
      <c r="R1103" t="s">
        <v>644</v>
      </c>
      <c r="S110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1104" spans="1:20" x14ac:dyDescent="0.25">
      <c r="A1104" t="s">
        <v>582</v>
      </c>
      <c r="B1104">
        <v>202005</v>
      </c>
      <c r="C1104" t="s">
        <v>25</v>
      </c>
      <c r="D1104" t="s">
        <v>26</v>
      </c>
      <c r="E1104">
        <v>339.74252000000001</v>
      </c>
      <c r="F1104">
        <v>0</v>
      </c>
      <c r="G1104" s="2">
        <v>42.68</v>
      </c>
      <c r="H1104">
        <v>0</v>
      </c>
      <c r="I1104">
        <v>1570</v>
      </c>
      <c r="K1104" t="s">
        <v>229</v>
      </c>
      <c r="L1104">
        <v>6</v>
      </c>
      <c r="M1104">
        <v>0</v>
      </c>
      <c r="N1104" t="s">
        <v>259</v>
      </c>
      <c r="O1104" t="s">
        <v>583</v>
      </c>
      <c r="P1104">
        <v>12</v>
      </c>
      <c r="Q110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2D221164</v>
      </c>
      <c r="R1104" t="s">
        <v>644</v>
      </c>
      <c r="S110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  <c r="T1104" t="s">
        <v>617</v>
      </c>
    </row>
    <row r="1105" spans="1:20" x14ac:dyDescent="0.25">
      <c r="A1105" t="s">
        <v>582</v>
      </c>
      <c r="B1105">
        <v>202005</v>
      </c>
      <c r="C1105" t="s">
        <v>1</v>
      </c>
      <c r="D1105" t="s">
        <v>569</v>
      </c>
      <c r="E1105">
        <v>170</v>
      </c>
      <c r="F1105">
        <v>0</v>
      </c>
      <c r="G1105" s="2">
        <v>12.51</v>
      </c>
      <c r="H1105">
        <v>0</v>
      </c>
      <c r="I1105">
        <v>1570</v>
      </c>
      <c r="K1105" t="s">
        <v>229</v>
      </c>
      <c r="L1105">
        <v>7</v>
      </c>
      <c r="M1105">
        <v>0</v>
      </c>
      <c r="N1105" t="s">
        <v>259</v>
      </c>
      <c r="O1105" t="s">
        <v>583</v>
      </c>
      <c r="P1105">
        <v>12</v>
      </c>
      <c r="Q110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2D221168</v>
      </c>
      <c r="R1105" t="s">
        <v>644</v>
      </c>
      <c r="S110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106" spans="1:20" x14ac:dyDescent="0.25">
      <c r="A1106" t="s">
        <v>582</v>
      </c>
      <c r="B1106">
        <v>202005</v>
      </c>
      <c r="C1106" t="s">
        <v>2</v>
      </c>
      <c r="D1106" t="s">
        <v>182</v>
      </c>
      <c r="E1106">
        <v>25</v>
      </c>
      <c r="F1106">
        <v>0</v>
      </c>
      <c r="G1106" s="2">
        <v>0.39</v>
      </c>
      <c r="H1106">
        <v>0</v>
      </c>
      <c r="I1106">
        <v>1570</v>
      </c>
      <c r="K1106" t="s">
        <v>229</v>
      </c>
      <c r="L1106">
        <v>7</v>
      </c>
      <c r="M1106">
        <v>0</v>
      </c>
      <c r="N1106" t="s">
        <v>259</v>
      </c>
      <c r="O1106" t="s">
        <v>583</v>
      </c>
      <c r="P1106">
        <v>12</v>
      </c>
      <c r="Q110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2D221227</v>
      </c>
      <c r="R1106" t="s">
        <v>644</v>
      </c>
      <c r="S110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107" spans="1:20" x14ac:dyDescent="0.25">
      <c r="A1107" t="s">
        <v>582</v>
      </c>
      <c r="B1107">
        <v>202005</v>
      </c>
      <c r="C1107" t="s">
        <v>3</v>
      </c>
      <c r="D1107" t="s">
        <v>58</v>
      </c>
      <c r="E1107">
        <v>275</v>
      </c>
      <c r="F1107">
        <v>0</v>
      </c>
      <c r="G1107" s="2">
        <v>5.43</v>
      </c>
      <c r="H1107">
        <v>0</v>
      </c>
      <c r="I1107">
        <v>1570</v>
      </c>
      <c r="K1107" t="s">
        <v>229</v>
      </c>
      <c r="L1107">
        <v>7</v>
      </c>
      <c r="M1107">
        <v>0</v>
      </c>
      <c r="N1107" t="s">
        <v>259</v>
      </c>
      <c r="O1107" t="s">
        <v>583</v>
      </c>
      <c r="P1107">
        <v>12</v>
      </c>
      <c r="Q110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2D221229</v>
      </c>
      <c r="R1107" t="s">
        <v>644</v>
      </c>
      <c r="S110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108" spans="1:20" x14ac:dyDescent="0.25">
      <c r="A1108" t="s">
        <v>582</v>
      </c>
      <c r="B1108">
        <v>202005</v>
      </c>
      <c r="C1108" t="s">
        <v>4</v>
      </c>
      <c r="D1108" t="s">
        <v>265</v>
      </c>
      <c r="E1108">
        <v>115</v>
      </c>
      <c r="F1108">
        <v>0</v>
      </c>
      <c r="G1108" s="2">
        <v>6.96</v>
      </c>
      <c r="H1108">
        <v>0</v>
      </c>
      <c r="I1108">
        <v>1570</v>
      </c>
      <c r="K1108" t="s">
        <v>229</v>
      </c>
      <c r="L1108">
        <v>7</v>
      </c>
      <c r="M1108">
        <v>0</v>
      </c>
      <c r="N1108" t="s">
        <v>259</v>
      </c>
      <c r="O1108" t="s">
        <v>583</v>
      </c>
      <c r="P1108">
        <v>12</v>
      </c>
      <c r="Q110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2D221230</v>
      </c>
      <c r="R1108" t="s">
        <v>644</v>
      </c>
      <c r="S110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109" spans="1:20" x14ac:dyDescent="0.25">
      <c r="A1109" t="s">
        <v>582</v>
      </c>
      <c r="B1109">
        <v>202005</v>
      </c>
      <c r="C1109" t="s">
        <v>5</v>
      </c>
      <c r="D1109" t="s">
        <v>59</v>
      </c>
      <c r="E1109">
        <v>8.56</v>
      </c>
      <c r="F1109">
        <v>0</v>
      </c>
      <c r="G1109" s="2">
        <v>6.37</v>
      </c>
      <c r="H1109">
        <v>0</v>
      </c>
      <c r="I1109">
        <v>1570</v>
      </c>
      <c r="K1109" t="s">
        <v>229</v>
      </c>
      <c r="L1109">
        <v>7</v>
      </c>
      <c r="M1109">
        <v>0</v>
      </c>
      <c r="N1109" t="s">
        <v>259</v>
      </c>
      <c r="O1109" t="s">
        <v>583</v>
      </c>
      <c r="P1109">
        <v>12</v>
      </c>
      <c r="Q110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2D221231</v>
      </c>
      <c r="R1109" t="s">
        <v>644</v>
      </c>
      <c r="S110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110" spans="1:20" x14ac:dyDescent="0.25">
      <c r="A1110" t="s">
        <v>582</v>
      </c>
      <c r="B1110">
        <v>202005</v>
      </c>
      <c r="C1110" t="s">
        <v>6</v>
      </c>
      <c r="D1110" t="s">
        <v>60</v>
      </c>
      <c r="E1110">
        <v>50</v>
      </c>
      <c r="F1110">
        <v>0</v>
      </c>
      <c r="G1110" s="2">
        <v>22.29</v>
      </c>
      <c r="H1110">
        <v>0</v>
      </c>
      <c r="I1110">
        <v>1570</v>
      </c>
      <c r="K1110" t="s">
        <v>229</v>
      </c>
      <c r="L1110">
        <v>7</v>
      </c>
      <c r="M1110">
        <v>0</v>
      </c>
      <c r="N1110" t="s">
        <v>259</v>
      </c>
      <c r="O1110" t="s">
        <v>583</v>
      </c>
      <c r="P1110">
        <v>12</v>
      </c>
      <c r="Q111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2D221245</v>
      </c>
      <c r="R1110" t="s">
        <v>644</v>
      </c>
      <c r="S111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111" spans="1:20" x14ac:dyDescent="0.25">
      <c r="A1111" t="s">
        <v>582</v>
      </c>
      <c r="B1111">
        <v>202005</v>
      </c>
      <c r="C1111" t="s">
        <v>260</v>
      </c>
      <c r="D1111" t="s">
        <v>261</v>
      </c>
      <c r="E1111">
        <v>50</v>
      </c>
      <c r="F1111">
        <v>0</v>
      </c>
      <c r="G1111" s="2">
        <v>3.17</v>
      </c>
      <c r="H1111">
        <v>0</v>
      </c>
      <c r="I1111">
        <v>1570</v>
      </c>
      <c r="K1111" t="s">
        <v>229</v>
      </c>
      <c r="L1111">
        <v>7</v>
      </c>
      <c r="M1111">
        <v>0</v>
      </c>
      <c r="N1111" t="s">
        <v>259</v>
      </c>
      <c r="O1111" t="s">
        <v>583</v>
      </c>
      <c r="P1111">
        <v>12</v>
      </c>
      <c r="Q111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2D221334</v>
      </c>
      <c r="R1111" t="s">
        <v>644</v>
      </c>
      <c r="S111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112" spans="1:20" x14ac:dyDescent="0.25">
      <c r="A1112" t="s">
        <v>582</v>
      </c>
      <c r="B1112">
        <v>202005</v>
      </c>
      <c r="C1112" t="s">
        <v>56</v>
      </c>
      <c r="D1112" t="s">
        <v>246</v>
      </c>
      <c r="E1112">
        <v>0</v>
      </c>
      <c r="F1112">
        <v>0</v>
      </c>
      <c r="G1112" s="2">
        <v>0.2</v>
      </c>
      <c r="H1112">
        <v>0</v>
      </c>
      <c r="K1112" t="s">
        <v>229</v>
      </c>
      <c r="L1112">
        <v>8</v>
      </c>
      <c r="M1112">
        <v>0</v>
      </c>
      <c r="O1112" t="s">
        <v>583</v>
      </c>
      <c r="P1112">
        <v>12</v>
      </c>
      <c r="Q111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2D228999</v>
      </c>
      <c r="R1112" t="s">
        <v>644</v>
      </c>
      <c r="S111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1113" spans="1:20" x14ac:dyDescent="0.25">
      <c r="A1113" t="s">
        <v>584</v>
      </c>
      <c r="B1113">
        <v>202005</v>
      </c>
      <c r="C1113" t="s">
        <v>45</v>
      </c>
      <c r="D1113" t="s">
        <v>543</v>
      </c>
      <c r="E1113">
        <v>203.78781000000001</v>
      </c>
      <c r="F1113">
        <v>0</v>
      </c>
      <c r="G1113" s="2">
        <v>100</v>
      </c>
      <c r="H1113">
        <v>0</v>
      </c>
      <c r="I1113">
        <v>1570</v>
      </c>
      <c r="K1113" t="s">
        <v>229</v>
      </c>
      <c r="L1113">
        <v>1</v>
      </c>
      <c r="M1113">
        <v>0</v>
      </c>
      <c r="N1113" t="s">
        <v>259</v>
      </c>
      <c r="O1113" t="s">
        <v>585</v>
      </c>
      <c r="P1113">
        <v>12</v>
      </c>
      <c r="Q111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2D231101</v>
      </c>
      <c r="R1113" t="s">
        <v>644</v>
      </c>
      <c r="S111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Input</v>
      </c>
    </row>
    <row r="1114" spans="1:20" x14ac:dyDescent="0.25">
      <c r="A1114" t="s">
        <v>584</v>
      </c>
      <c r="B1114">
        <v>202005</v>
      </c>
      <c r="C1114" t="s">
        <v>15</v>
      </c>
      <c r="D1114" t="s">
        <v>572</v>
      </c>
      <c r="E1114">
        <v>321.67621000000003</v>
      </c>
      <c r="F1114">
        <v>0</v>
      </c>
      <c r="G1114" s="2">
        <v>26.12</v>
      </c>
      <c r="H1114">
        <v>0</v>
      </c>
      <c r="I1114">
        <v>1570</v>
      </c>
      <c r="K1114" t="s">
        <v>229</v>
      </c>
      <c r="L1114">
        <v>6</v>
      </c>
      <c r="M1114">
        <v>0</v>
      </c>
      <c r="N1114" t="s">
        <v>259</v>
      </c>
      <c r="O1114" t="s">
        <v>585</v>
      </c>
      <c r="P1114">
        <v>12</v>
      </c>
      <c r="Q111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2D231160</v>
      </c>
      <c r="R1114" t="s">
        <v>644</v>
      </c>
      <c r="S111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Main Product</v>
      </c>
      <c r="T1114" t="s">
        <v>617</v>
      </c>
    </row>
    <row r="1115" spans="1:20" x14ac:dyDescent="0.25">
      <c r="A1115" t="s">
        <v>584</v>
      </c>
      <c r="B1115">
        <v>202005</v>
      </c>
      <c r="C1115" t="s">
        <v>1</v>
      </c>
      <c r="D1115" t="s">
        <v>569</v>
      </c>
      <c r="E1115">
        <v>170</v>
      </c>
      <c r="F1115">
        <v>0</v>
      </c>
      <c r="G1115" s="2">
        <v>4.63</v>
      </c>
      <c r="H1115">
        <v>0</v>
      </c>
      <c r="I1115">
        <v>1570</v>
      </c>
      <c r="K1115" t="s">
        <v>229</v>
      </c>
      <c r="L1115">
        <v>7</v>
      </c>
      <c r="M1115">
        <v>0</v>
      </c>
      <c r="N1115" t="s">
        <v>259</v>
      </c>
      <c r="O1115" t="s">
        <v>585</v>
      </c>
      <c r="P1115">
        <v>12</v>
      </c>
      <c r="Q111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2D231168</v>
      </c>
      <c r="R1115" t="s">
        <v>644</v>
      </c>
      <c r="S111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116" spans="1:20" x14ac:dyDescent="0.25">
      <c r="A1116" t="s">
        <v>584</v>
      </c>
      <c r="B1116">
        <v>202005</v>
      </c>
      <c r="C1116" t="s">
        <v>2</v>
      </c>
      <c r="D1116" t="s">
        <v>182</v>
      </c>
      <c r="E1116">
        <v>25</v>
      </c>
      <c r="F1116">
        <v>0</v>
      </c>
      <c r="G1116" s="2">
        <v>0.63</v>
      </c>
      <c r="H1116">
        <v>0</v>
      </c>
      <c r="I1116">
        <v>1570</v>
      </c>
      <c r="K1116" t="s">
        <v>229</v>
      </c>
      <c r="L1116">
        <v>7</v>
      </c>
      <c r="M1116">
        <v>0</v>
      </c>
      <c r="N1116" t="s">
        <v>259</v>
      </c>
      <c r="O1116" t="s">
        <v>585</v>
      </c>
      <c r="P1116">
        <v>12</v>
      </c>
      <c r="Q111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2D231227</v>
      </c>
      <c r="R1116" t="s">
        <v>644</v>
      </c>
      <c r="S111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117" spans="1:20" x14ac:dyDescent="0.25">
      <c r="A1117" t="s">
        <v>584</v>
      </c>
      <c r="B1117">
        <v>202005</v>
      </c>
      <c r="C1117" t="s">
        <v>3</v>
      </c>
      <c r="D1117" t="s">
        <v>58</v>
      </c>
      <c r="E1117">
        <v>275</v>
      </c>
      <c r="F1117">
        <v>0</v>
      </c>
      <c r="G1117" s="2">
        <v>34.51</v>
      </c>
      <c r="H1117">
        <v>0</v>
      </c>
      <c r="I1117">
        <v>1570</v>
      </c>
      <c r="K1117" t="s">
        <v>229</v>
      </c>
      <c r="L1117">
        <v>7</v>
      </c>
      <c r="M1117">
        <v>0</v>
      </c>
      <c r="N1117" t="s">
        <v>259</v>
      </c>
      <c r="O1117" t="s">
        <v>585</v>
      </c>
      <c r="P1117">
        <v>12</v>
      </c>
      <c r="Q111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2D231229</v>
      </c>
      <c r="R1117" t="s">
        <v>644</v>
      </c>
      <c r="S111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118" spans="1:20" x14ac:dyDescent="0.25">
      <c r="A1118" t="s">
        <v>584</v>
      </c>
      <c r="B1118">
        <v>202005</v>
      </c>
      <c r="C1118" t="s">
        <v>4</v>
      </c>
      <c r="D1118" t="s">
        <v>265</v>
      </c>
      <c r="E1118">
        <v>115</v>
      </c>
      <c r="F1118">
        <v>0</v>
      </c>
      <c r="G1118" s="2">
        <v>4.6399999999999997</v>
      </c>
      <c r="H1118">
        <v>0</v>
      </c>
      <c r="I1118">
        <v>1570</v>
      </c>
      <c r="K1118" t="s">
        <v>229</v>
      </c>
      <c r="L1118">
        <v>7</v>
      </c>
      <c r="M1118">
        <v>0</v>
      </c>
      <c r="N1118" t="s">
        <v>259</v>
      </c>
      <c r="O1118" t="s">
        <v>585</v>
      </c>
      <c r="P1118">
        <v>12</v>
      </c>
      <c r="Q111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2D231230</v>
      </c>
      <c r="R1118" t="s">
        <v>644</v>
      </c>
      <c r="S111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119" spans="1:20" x14ac:dyDescent="0.25">
      <c r="A1119" t="s">
        <v>584</v>
      </c>
      <c r="B1119">
        <v>202005</v>
      </c>
      <c r="C1119" t="s">
        <v>5</v>
      </c>
      <c r="D1119" t="s">
        <v>59</v>
      </c>
      <c r="E1119">
        <v>8.56</v>
      </c>
      <c r="F1119">
        <v>0</v>
      </c>
      <c r="G1119" s="2">
        <v>7.64</v>
      </c>
      <c r="H1119">
        <v>0</v>
      </c>
      <c r="I1119">
        <v>1570</v>
      </c>
      <c r="K1119" t="s">
        <v>229</v>
      </c>
      <c r="L1119">
        <v>7</v>
      </c>
      <c r="M1119">
        <v>0</v>
      </c>
      <c r="N1119" t="s">
        <v>259</v>
      </c>
      <c r="O1119" t="s">
        <v>585</v>
      </c>
      <c r="P1119">
        <v>12</v>
      </c>
      <c r="Q111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2D231231</v>
      </c>
      <c r="R1119" t="s">
        <v>644</v>
      </c>
      <c r="S111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120" spans="1:20" x14ac:dyDescent="0.25">
      <c r="A1120" t="s">
        <v>584</v>
      </c>
      <c r="B1120">
        <v>202005</v>
      </c>
      <c r="C1120" t="s">
        <v>6</v>
      </c>
      <c r="D1120" t="s">
        <v>60</v>
      </c>
      <c r="E1120">
        <v>50</v>
      </c>
      <c r="F1120">
        <v>0</v>
      </c>
      <c r="G1120" s="2">
        <v>18.43</v>
      </c>
      <c r="H1120">
        <v>0</v>
      </c>
      <c r="I1120">
        <v>1570</v>
      </c>
      <c r="K1120" t="s">
        <v>229</v>
      </c>
      <c r="L1120">
        <v>7</v>
      </c>
      <c r="M1120">
        <v>0</v>
      </c>
      <c r="N1120" t="s">
        <v>259</v>
      </c>
      <c r="O1120" t="s">
        <v>585</v>
      </c>
      <c r="P1120">
        <v>12</v>
      </c>
      <c r="Q112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2D231245</v>
      </c>
      <c r="R1120" t="s">
        <v>644</v>
      </c>
      <c r="S112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121" spans="1:19" x14ac:dyDescent="0.25">
      <c r="A1121" t="s">
        <v>584</v>
      </c>
      <c r="B1121">
        <v>202005</v>
      </c>
      <c r="C1121" t="s">
        <v>260</v>
      </c>
      <c r="D1121" t="s">
        <v>261</v>
      </c>
      <c r="E1121">
        <v>50</v>
      </c>
      <c r="F1121">
        <v>0</v>
      </c>
      <c r="G1121" s="2">
        <v>3.26</v>
      </c>
      <c r="H1121">
        <v>0</v>
      </c>
      <c r="I1121">
        <v>1570</v>
      </c>
      <c r="K1121" t="s">
        <v>229</v>
      </c>
      <c r="L1121">
        <v>7</v>
      </c>
      <c r="M1121">
        <v>0</v>
      </c>
      <c r="N1121" t="s">
        <v>259</v>
      </c>
      <c r="O1121" t="s">
        <v>585</v>
      </c>
      <c r="P1121">
        <v>12</v>
      </c>
      <c r="Q112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2D231334</v>
      </c>
      <c r="R1121" t="s">
        <v>644</v>
      </c>
      <c r="S112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>ByProduct</v>
      </c>
    </row>
    <row r="1122" spans="1:19" x14ac:dyDescent="0.25">
      <c r="A1122" t="s">
        <v>584</v>
      </c>
      <c r="B1122">
        <v>202005</v>
      </c>
      <c r="C1122" t="s">
        <v>56</v>
      </c>
      <c r="D1122" t="s">
        <v>246</v>
      </c>
      <c r="E1122">
        <v>0</v>
      </c>
      <c r="F1122">
        <v>0</v>
      </c>
      <c r="G1122" s="2">
        <v>0.13</v>
      </c>
      <c r="H1122">
        <v>0</v>
      </c>
      <c r="K1122" t="s">
        <v>229</v>
      </c>
      <c r="L1122">
        <v>8</v>
      </c>
      <c r="M1122">
        <v>0</v>
      </c>
      <c r="O1122" t="s">
        <v>585</v>
      </c>
      <c r="P1122">
        <v>12</v>
      </c>
      <c r="Q112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2D238999</v>
      </c>
      <c r="R1122" t="s">
        <v>644</v>
      </c>
      <c r="S112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/>
      </c>
    </row>
    <row r="1123" spans="1:19" x14ac:dyDescent="0.25">
      <c r="A1123" t="s">
        <v>1484</v>
      </c>
      <c r="B1123">
        <v>202005</v>
      </c>
      <c r="C1123" t="s">
        <v>45</v>
      </c>
      <c r="D1123" t="s">
        <v>543</v>
      </c>
      <c r="E1123">
        <v>203.78781000000001</v>
      </c>
      <c r="F1123">
        <v>0</v>
      </c>
      <c r="G1123" s="2">
        <v>100</v>
      </c>
      <c r="H1123">
        <v>0</v>
      </c>
      <c r="I1123">
        <v>1570</v>
      </c>
      <c r="K1123" t="s">
        <v>229</v>
      </c>
      <c r="L1123">
        <v>1</v>
      </c>
      <c r="M1123">
        <v>0</v>
      </c>
      <c r="N1123" t="s">
        <v>259</v>
      </c>
      <c r="O1123" t="s">
        <v>1485</v>
      </c>
      <c r="P1123">
        <v>12</v>
      </c>
      <c r="Q112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2D241101</v>
      </c>
      <c r="R1123" t="s">
        <v>229</v>
      </c>
      <c r="S112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124" spans="1:19" x14ac:dyDescent="0.25">
      <c r="A1124" t="s">
        <v>1484</v>
      </c>
      <c r="B1124">
        <v>202005</v>
      </c>
      <c r="C1124" t="s">
        <v>1464</v>
      </c>
      <c r="D1124" t="s">
        <v>1465</v>
      </c>
      <c r="E1124">
        <v>268.87</v>
      </c>
      <c r="F1124">
        <v>0</v>
      </c>
      <c r="G1124" s="2">
        <v>59.7</v>
      </c>
      <c r="H1124">
        <v>0</v>
      </c>
      <c r="I1124">
        <v>1570</v>
      </c>
      <c r="K1124" t="s">
        <v>229</v>
      </c>
      <c r="L1124">
        <v>6</v>
      </c>
      <c r="M1124">
        <v>0</v>
      </c>
      <c r="N1124" t="s">
        <v>259</v>
      </c>
      <c r="O1124" t="s">
        <v>1485</v>
      </c>
      <c r="P1124">
        <v>12</v>
      </c>
      <c r="Q112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2D241167</v>
      </c>
      <c r="R1124" t="s">
        <v>229</v>
      </c>
      <c r="S112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125" spans="1:19" x14ac:dyDescent="0.25">
      <c r="A1125" t="s">
        <v>1484</v>
      </c>
      <c r="B1125">
        <v>202005</v>
      </c>
      <c r="C1125" t="s">
        <v>1</v>
      </c>
      <c r="D1125" t="s">
        <v>569</v>
      </c>
      <c r="E1125">
        <v>170</v>
      </c>
      <c r="F1125">
        <v>0</v>
      </c>
      <c r="G1125" s="2">
        <v>3.8</v>
      </c>
      <c r="H1125">
        <v>0</v>
      </c>
      <c r="I1125">
        <v>1570</v>
      </c>
      <c r="K1125" t="s">
        <v>229</v>
      </c>
      <c r="L1125">
        <v>7</v>
      </c>
      <c r="M1125">
        <v>0</v>
      </c>
      <c r="N1125" t="s">
        <v>259</v>
      </c>
      <c r="O1125" t="s">
        <v>1485</v>
      </c>
      <c r="P1125">
        <v>12</v>
      </c>
      <c r="Q112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2D241168</v>
      </c>
      <c r="R1125" t="s">
        <v>229</v>
      </c>
      <c r="S112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126" spans="1:19" x14ac:dyDescent="0.25">
      <c r="A1126" t="s">
        <v>1484</v>
      </c>
      <c r="B1126">
        <v>202005</v>
      </c>
      <c r="C1126" t="s">
        <v>2</v>
      </c>
      <c r="D1126" t="s">
        <v>182</v>
      </c>
      <c r="E1126">
        <v>25</v>
      </c>
      <c r="F1126">
        <v>0</v>
      </c>
      <c r="G1126" s="2">
        <v>1.3</v>
      </c>
      <c r="H1126">
        <v>0</v>
      </c>
      <c r="I1126">
        <v>1570</v>
      </c>
      <c r="K1126" t="s">
        <v>229</v>
      </c>
      <c r="L1126">
        <v>7</v>
      </c>
      <c r="M1126">
        <v>0</v>
      </c>
      <c r="N1126" t="s">
        <v>259</v>
      </c>
      <c r="O1126" t="s">
        <v>1485</v>
      </c>
      <c r="P1126">
        <v>12</v>
      </c>
      <c r="Q112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2D241227</v>
      </c>
      <c r="R1126" t="s">
        <v>229</v>
      </c>
      <c r="S112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127" spans="1:19" x14ac:dyDescent="0.25">
      <c r="A1127" t="s">
        <v>1484</v>
      </c>
      <c r="B1127">
        <v>202005</v>
      </c>
      <c r="C1127" t="s">
        <v>3</v>
      </c>
      <c r="D1127" t="s">
        <v>58</v>
      </c>
      <c r="E1127">
        <v>275</v>
      </c>
      <c r="F1127">
        <v>0</v>
      </c>
      <c r="G1127" s="2">
        <v>4.9000000000000004</v>
      </c>
      <c r="H1127">
        <v>0</v>
      </c>
      <c r="I1127">
        <v>1570</v>
      </c>
      <c r="K1127" t="s">
        <v>229</v>
      </c>
      <c r="L1127">
        <v>7</v>
      </c>
      <c r="M1127">
        <v>0</v>
      </c>
      <c r="N1127" t="s">
        <v>259</v>
      </c>
      <c r="O1127" t="s">
        <v>1485</v>
      </c>
      <c r="P1127">
        <v>12</v>
      </c>
      <c r="Q112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2D241229</v>
      </c>
      <c r="R1127" t="s">
        <v>229</v>
      </c>
      <c r="S112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128" spans="1:19" x14ac:dyDescent="0.25">
      <c r="A1128" t="s">
        <v>1484</v>
      </c>
      <c r="B1128">
        <v>202005</v>
      </c>
      <c r="C1128" t="s">
        <v>4</v>
      </c>
      <c r="D1128" t="s">
        <v>265</v>
      </c>
      <c r="E1128">
        <v>115</v>
      </c>
      <c r="F1128">
        <v>0</v>
      </c>
      <c r="G1128" s="2">
        <v>7.3</v>
      </c>
      <c r="H1128">
        <v>0</v>
      </c>
      <c r="I1128">
        <v>1570</v>
      </c>
      <c r="K1128" t="s">
        <v>229</v>
      </c>
      <c r="L1128">
        <v>7</v>
      </c>
      <c r="M1128">
        <v>0</v>
      </c>
      <c r="N1128" t="s">
        <v>259</v>
      </c>
      <c r="O1128" t="s">
        <v>1485</v>
      </c>
      <c r="P1128">
        <v>12</v>
      </c>
      <c r="Q112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2D241230</v>
      </c>
      <c r="R1128" t="s">
        <v>229</v>
      </c>
      <c r="S112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129" spans="1:19" x14ac:dyDescent="0.25">
      <c r="A1129" t="s">
        <v>1484</v>
      </c>
      <c r="B1129">
        <v>202005</v>
      </c>
      <c r="C1129" t="s">
        <v>5</v>
      </c>
      <c r="D1129" t="s">
        <v>59</v>
      </c>
      <c r="E1129">
        <v>8.56</v>
      </c>
      <c r="F1129">
        <v>0</v>
      </c>
      <c r="G1129" s="2">
        <v>9.8000000000000007</v>
      </c>
      <c r="H1129">
        <v>0</v>
      </c>
      <c r="I1129">
        <v>1570</v>
      </c>
      <c r="K1129" t="s">
        <v>229</v>
      </c>
      <c r="L1129">
        <v>7</v>
      </c>
      <c r="M1129">
        <v>0</v>
      </c>
      <c r="N1129" t="s">
        <v>259</v>
      </c>
      <c r="O1129" t="s">
        <v>1485</v>
      </c>
      <c r="P1129">
        <v>12</v>
      </c>
      <c r="Q112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2D241231</v>
      </c>
      <c r="R1129" t="s">
        <v>229</v>
      </c>
      <c r="S112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130" spans="1:19" x14ac:dyDescent="0.25">
      <c r="A1130" t="s">
        <v>1484</v>
      </c>
      <c r="B1130">
        <v>202005</v>
      </c>
      <c r="C1130" t="s">
        <v>6</v>
      </c>
      <c r="D1130" t="s">
        <v>60</v>
      </c>
      <c r="E1130">
        <v>50</v>
      </c>
      <c r="F1130">
        <v>0</v>
      </c>
      <c r="G1130" s="2">
        <v>12.7</v>
      </c>
      <c r="H1130">
        <v>0</v>
      </c>
      <c r="I1130">
        <v>1570</v>
      </c>
      <c r="K1130" t="s">
        <v>229</v>
      </c>
      <c r="L1130">
        <v>7</v>
      </c>
      <c r="M1130">
        <v>0</v>
      </c>
      <c r="N1130" t="s">
        <v>259</v>
      </c>
      <c r="O1130" t="s">
        <v>1485</v>
      </c>
      <c r="P1130">
        <v>12</v>
      </c>
      <c r="Q113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2D241245</v>
      </c>
      <c r="R1130" t="s">
        <v>229</v>
      </c>
      <c r="S113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131" spans="1:19" x14ac:dyDescent="0.25">
      <c r="A1131" t="s">
        <v>1484</v>
      </c>
      <c r="B1131">
        <v>202005</v>
      </c>
      <c r="C1131" t="s">
        <v>56</v>
      </c>
      <c r="D1131" t="s">
        <v>246</v>
      </c>
      <c r="E1131">
        <v>0</v>
      </c>
      <c r="F1131">
        <v>0</v>
      </c>
      <c r="G1131" s="2">
        <v>0.5</v>
      </c>
      <c r="H1131">
        <v>0</v>
      </c>
      <c r="K1131" t="s">
        <v>229</v>
      </c>
      <c r="L1131">
        <v>8</v>
      </c>
      <c r="M1131">
        <v>0</v>
      </c>
      <c r="O1131" t="s">
        <v>1485</v>
      </c>
      <c r="P1131">
        <v>12</v>
      </c>
      <c r="Q113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2D248999</v>
      </c>
      <c r="R1131" t="s">
        <v>229</v>
      </c>
      <c r="S113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132" spans="1:19" x14ac:dyDescent="0.25">
      <c r="A1132" t="s">
        <v>1486</v>
      </c>
      <c r="B1132">
        <v>202005</v>
      </c>
      <c r="C1132" t="s">
        <v>45</v>
      </c>
      <c r="D1132" t="s">
        <v>543</v>
      </c>
      <c r="E1132">
        <v>203.78781000000001</v>
      </c>
      <c r="F1132">
        <v>0</v>
      </c>
      <c r="G1132" s="2">
        <v>100</v>
      </c>
      <c r="H1132">
        <v>0</v>
      </c>
      <c r="I1132">
        <v>1570</v>
      </c>
      <c r="K1132" t="s">
        <v>229</v>
      </c>
      <c r="L1132">
        <v>1</v>
      </c>
      <c r="M1132">
        <v>0</v>
      </c>
      <c r="N1132" t="s">
        <v>259</v>
      </c>
      <c r="O1132" t="s">
        <v>1487</v>
      </c>
      <c r="P1132">
        <v>12</v>
      </c>
      <c r="Q113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2D251101</v>
      </c>
      <c r="R1132" t="s">
        <v>229</v>
      </c>
      <c r="S113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133" spans="1:19" x14ac:dyDescent="0.25">
      <c r="A1133" t="s">
        <v>1486</v>
      </c>
      <c r="B1133">
        <v>202005</v>
      </c>
      <c r="C1133" t="s">
        <v>1468</v>
      </c>
      <c r="D1133" t="s">
        <v>1469</v>
      </c>
      <c r="E1133">
        <v>231.54</v>
      </c>
      <c r="F1133">
        <v>0</v>
      </c>
      <c r="G1133" s="2">
        <v>71.650000000000006</v>
      </c>
      <c r="H1133">
        <v>0</v>
      </c>
      <c r="I1133">
        <v>1570</v>
      </c>
      <c r="K1133" t="s">
        <v>229</v>
      </c>
      <c r="L1133">
        <v>6</v>
      </c>
      <c r="M1133">
        <v>0</v>
      </c>
      <c r="N1133" t="s">
        <v>259</v>
      </c>
      <c r="O1133" t="s">
        <v>1487</v>
      </c>
      <c r="P1133">
        <v>12</v>
      </c>
      <c r="Q113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2D251173</v>
      </c>
      <c r="R1133" t="s">
        <v>229</v>
      </c>
      <c r="S113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134" spans="1:19" x14ac:dyDescent="0.25">
      <c r="A1134" t="s">
        <v>1486</v>
      </c>
      <c r="B1134">
        <v>202005</v>
      </c>
      <c r="C1134" t="s">
        <v>1</v>
      </c>
      <c r="D1134" t="s">
        <v>569</v>
      </c>
      <c r="E1134">
        <v>170</v>
      </c>
      <c r="F1134">
        <v>0</v>
      </c>
      <c r="G1134" s="2">
        <v>4.8899999999999997</v>
      </c>
      <c r="H1134">
        <v>0</v>
      </c>
      <c r="I1134">
        <v>1570</v>
      </c>
      <c r="K1134" t="s">
        <v>229</v>
      </c>
      <c r="L1134">
        <v>7</v>
      </c>
      <c r="M1134">
        <v>0</v>
      </c>
      <c r="N1134" t="s">
        <v>259</v>
      </c>
      <c r="O1134" t="s">
        <v>1487</v>
      </c>
      <c r="P1134">
        <v>12</v>
      </c>
      <c r="Q113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2D251168</v>
      </c>
      <c r="R1134" t="s">
        <v>229</v>
      </c>
      <c r="S113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135" spans="1:19" x14ac:dyDescent="0.25">
      <c r="A1135" t="s">
        <v>1486</v>
      </c>
      <c r="B1135">
        <v>202005</v>
      </c>
      <c r="C1135" t="s">
        <v>3</v>
      </c>
      <c r="D1135" t="s">
        <v>58</v>
      </c>
      <c r="E1135">
        <v>275</v>
      </c>
      <c r="F1135">
        <v>0</v>
      </c>
      <c r="G1135" s="2">
        <v>4.46</v>
      </c>
      <c r="H1135">
        <v>0</v>
      </c>
      <c r="I1135">
        <v>1570</v>
      </c>
      <c r="K1135" t="s">
        <v>229</v>
      </c>
      <c r="L1135">
        <v>7</v>
      </c>
      <c r="M1135">
        <v>0</v>
      </c>
      <c r="N1135" t="s">
        <v>259</v>
      </c>
      <c r="O1135" t="s">
        <v>1487</v>
      </c>
      <c r="P1135">
        <v>12</v>
      </c>
      <c r="Q113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2D251229</v>
      </c>
      <c r="R1135" t="s">
        <v>229</v>
      </c>
      <c r="S113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136" spans="1:19" x14ac:dyDescent="0.25">
      <c r="A1136" t="s">
        <v>1486</v>
      </c>
      <c r="B1136">
        <v>202005</v>
      </c>
      <c r="C1136" t="s">
        <v>4</v>
      </c>
      <c r="D1136" t="s">
        <v>265</v>
      </c>
      <c r="E1136">
        <v>115</v>
      </c>
      <c r="F1136">
        <v>0</v>
      </c>
      <c r="G1136" s="2">
        <v>6.37</v>
      </c>
      <c r="H1136">
        <v>0</v>
      </c>
      <c r="I1136">
        <v>1570</v>
      </c>
      <c r="K1136" t="s">
        <v>229</v>
      </c>
      <c r="L1136">
        <v>7</v>
      </c>
      <c r="M1136">
        <v>0</v>
      </c>
      <c r="N1136" t="s">
        <v>259</v>
      </c>
      <c r="O1136" t="s">
        <v>1487</v>
      </c>
      <c r="P1136">
        <v>12</v>
      </c>
      <c r="Q113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2D251230</v>
      </c>
      <c r="R1136" t="s">
        <v>229</v>
      </c>
      <c r="S113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137" spans="1:19" x14ac:dyDescent="0.25">
      <c r="A1137" t="s">
        <v>1486</v>
      </c>
      <c r="B1137">
        <v>202005</v>
      </c>
      <c r="C1137" t="s">
        <v>5</v>
      </c>
      <c r="D1137" t="s">
        <v>59</v>
      </c>
      <c r="E1137">
        <v>8.56</v>
      </c>
      <c r="F1137">
        <v>0</v>
      </c>
      <c r="G1137" s="2">
        <v>6.76</v>
      </c>
      <c r="H1137">
        <v>0</v>
      </c>
      <c r="I1137">
        <v>1570</v>
      </c>
      <c r="K1137" t="s">
        <v>229</v>
      </c>
      <c r="L1137">
        <v>7</v>
      </c>
      <c r="M1137">
        <v>0</v>
      </c>
      <c r="N1137" t="s">
        <v>259</v>
      </c>
      <c r="O1137" t="s">
        <v>1487</v>
      </c>
      <c r="P1137">
        <v>12</v>
      </c>
      <c r="Q113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2D251231</v>
      </c>
      <c r="R1137" t="s">
        <v>229</v>
      </c>
      <c r="S113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138" spans="1:19" x14ac:dyDescent="0.25">
      <c r="A1138" t="s">
        <v>1486</v>
      </c>
      <c r="B1138">
        <v>202005</v>
      </c>
      <c r="C1138" t="s">
        <v>6</v>
      </c>
      <c r="D1138" t="s">
        <v>60</v>
      </c>
      <c r="E1138">
        <v>50</v>
      </c>
      <c r="F1138">
        <v>0</v>
      </c>
      <c r="G1138" s="2">
        <v>5.13</v>
      </c>
      <c r="H1138">
        <v>0</v>
      </c>
      <c r="I1138">
        <v>1570</v>
      </c>
      <c r="K1138" t="s">
        <v>229</v>
      </c>
      <c r="L1138">
        <v>7</v>
      </c>
      <c r="M1138">
        <v>0</v>
      </c>
      <c r="N1138" t="s">
        <v>259</v>
      </c>
      <c r="O1138" t="s">
        <v>1487</v>
      </c>
      <c r="P1138">
        <v>12</v>
      </c>
      <c r="Q113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2D251245</v>
      </c>
      <c r="R1138" t="s">
        <v>229</v>
      </c>
      <c r="S113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139" spans="1:19" x14ac:dyDescent="0.25">
      <c r="A1139" t="s">
        <v>1486</v>
      </c>
      <c r="B1139">
        <v>202005</v>
      </c>
      <c r="C1139" t="s">
        <v>56</v>
      </c>
      <c r="D1139" t="s">
        <v>246</v>
      </c>
      <c r="E1139">
        <v>0</v>
      </c>
      <c r="F1139">
        <v>0</v>
      </c>
      <c r="G1139" s="2">
        <v>0.74</v>
      </c>
      <c r="H1139">
        <v>0</v>
      </c>
      <c r="K1139" t="s">
        <v>229</v>
      </c>
      <c r="L1139">
        <v>8</v>
      </c>
      <c r="M1139">
        <v>0</v>
      </c>
      <c r="O1139" t="s">
        <v>1487</v>
      </c>
      <c r="P1139">
        <v>12</v>
      </c>
      <c r="Q1139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2D258999</v>
      </c>
      <c r="R1139" t="s">
        <v>229</v>
      </c>
      <c r="S1139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140" spans="1:19" x14ac:dyDescent="0.25">
      <c r="A1140" t="s">
        <v>1488</v>
      </c>
      <c r="B1140">
        <v>202005</v>
      </c>
      <c r="C1140" t="s">
        <v>1489</v>
      </c>
      <c r="D1140" t="s">
        <v>1490</v>
      </c>
      <c r="E1140">
        <v>339.32</v>
      </c>
      <c r="F1140">
        <v>0</v>
      </c>
      <c r="G1140" s="2">
        <v>100</v>
      </c>
      <c r="H1140">
        <v>0</v>
      </c>
      <c r="I1140">
        <v>1570</v>
      </c>
      <c r="K1140" t="s">
        <v>229</v>
      </c>
      <c r="L1140">
        <v>1</v>
      </c>
      <c r="M1140">
        <v>0</v>
      </c>
      <c r="N1140" t="s">
        <v>259</v>
      </c>
      <c r="O1140" t="s">
        <v>1491</v>
      </c>
      <c r="P1140">
        <v>12</v>
      </c>
      <c r="Q1140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2D811157</v>
      </c>
      <c r="R1140" t="s">
        <v>229</v>
      </c>
      <c r="S1140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141" spans="1:19" x14ac:dyDescent="0.25">
      <c r="A1141" t="s">
        <v>1488</v>
      </c>
      <c r="B1141">
        <v>202005</v>
      </c>
      <c r="C1141" t="s">
        <v>1492</v>
      </c>
      <c r="D1141" t="s">
        <v>1493</v>
      </c>
      <c r="E1141">
        <v>793.96</v>
      </c>
      <c r="F1141">
        <v>0</v>
      </c>
      <c r="G1141" s="2">
        <v>23.53</v>
      </c>
      <c r="H1141">
        <v>0</v>
      </c>
      <c r="K1141" t="s">
        <v>229</v>
      </c>
      <c r="L1141">
        <v>6</v>
      </c>
      <c r="M1141">
        <v>0</v>
      </c>
      <c r="N1141" t="s">
        <v>259</v>
      </c>
      <c r="O1141" t="s">
        <v>1491</v>
      </c>
      <c r="P1141">
        <v>12</v>
      </c>
      <c r="Q1141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2D811158</v>
      </c>
      <c r="R1141" t="s">
        <v>229</v>
      </c>
      <c r="S1141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142" spans="1:19" x14ac:dyDescent="0.25">
      <c r="A1142" t="s">
        <v>1488</v>
      </c>
      <c r="B1142">
        <v>202005</v>
      </c>
      <c r="C1142" t="s">
        <v>312</v>
      </c>
      <c r="D1142" t="s">
        <v>332</v>
      </c>
      <c r="E1142">
        <v>100</v>
      </c>
      <c r="F1142">
        <v>0</v>
      </c>
      <c r="G1142" s="2">
        <v>0.8</v>
      </c>
      <c r="H1142">
        <v>0</v>
      </c>
      <c r="K1142" t="s">
        <v>229</v>
      </c>
      <c r="L1142">
        <v>7</v>
      </c>
      <c r="M1142">
        <v>0</v>
      </c>
      <c r="N1142" t="s">
        <v>259</v>
      </c>
      <c r="O1142" t="s">
        <v>1491</v>
      </c>
      <c r="P1142">
        <v>12</v>
      </c>
      <c r="Q1142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2D811249</v>
      </c>
      <c r="R1142" t="s">
        <v>229</v>
      </c>
      <c r="S1142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143" spans="1:19" x14ac:dyDescent="0.25">
      <c r="A1143" t="s">
        <v>1488</v>
      </c>
      <c r="B1143">
        <v>202005</v>
      </c>
      <c r="C1143" t="s">
        <v>1290</v>
      </c>
      <c r="D1143" t="s">
        <v>1291</v>
      </c>
      <c r="E1143">
        <v>190</v>
      </c>
      <c r="F1143">
        <v>0</v>
      </c>
      <c r="G1143" s="2">
        <v>73.89</v>
      </c>
      <c r="H1143">
        <v>0</v>
      </c>
      <c r="I1143">
        <v>1570</v>
      </c>
      <c r="K1143" t="s">
        <v>229</v>
      </c>
      <c r="L1143">
        <v>7</v>
      </c>
      <c r="M1143">
        <v>0</v>
      </c>
      <c r="N1143" t="s">
        <v>259</v>
      </c>
      <c r="O1143" t="s">
        <v>1491</v>
      </c>
      <c r="P1143">
        <v>12</v>
      </c>
      <c r="Q1143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2D811306</v>
      </c>
      <c r="R1143" t="s">
        <v>229</v>
      </c>
      <c r="S1143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144" spans="1:19" x14ac:dyDescent="0.25">
      <c r="A1144" t="s">
        <v>1488</v>
      </c>
      <c r="B1144">
        <v>202005</v>
      </c>
      <c r="C1144" t="s">
        <v>56</v>
      </c>
      <c r="D1144" t="s">
        <v>246</v>
      </c>
      <c r="E1144">
        <v>0</v>
      </c>
      <c r="F1144">
        <v>0</v>
      </c>
      <c r="G1144" s="2">
        <v>1.78</v>
      </c>
      <c r="H1144">
        <v>0</v>
      </c>
      <c r="K1144" t="s">
        <v>229</v>
      </c>
      <c r="L1144">
        <v>8</v>
      </c>
      <c r="M1144">
        <v>0</v>
      </c>
      <c r="O1144" t="s">
        <v>1491</v>
      </c>
      <c r="P1144">
        <v>12</v>
      </c>
      <c r="Q1144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2D818999</v>
      </c>
      <c r="R1144" t="s">
        <v>229</v>
      </c>
      <c r="S1144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145" spans="1:19" x14ac:dyDescent="0.25">
      <c r="A1145" t="s">
        <v>1494</v>
      </c>
      <c r="B1145">
        <v>202005</v>
      </c>
      <c r="C1145" t="s">
        <v>1489</v>
      </c>
      <c r="D1145" t="s">
        <v>1490</v>
      </c>
      <c r="E1145">
        <v>339.32</v>
      </c>
      <c r="F1145">
        <v>0</v>
      </c>
      <c r="G1145" s="2">
        <v>100</v>
      </c>
      <c r="H1145">
        <v>0</v>
      </c>
      <c r="I1145">
        <v>1570</v>
      </c>
      <c r="K1145" t="s">
        <v>229</v>
      </c>
      <c r="L1145">
        <v>1</v>
      </c>
      <c r="M1145">
        <v>0</v>
      </c>
      <c r="N1145" t="s">
        <v>259</v>
      </c>
      <c r="O1145" t="s">
        <v>1495</v>
      </c>
      <c r="P1145">
        <v>12</v>
      </c>
      <c r="Q1145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2D821157</v>
      </c>
      <c r="R1145" t="s">
        <v>229</v>
      </c>
      <c r="S1145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146" spans="1:19" x14ac:dyDescent="0.25">
      <c r="A1146" t="s">
        <v>1494</v>
      </c>
      <c r="B1146">
        <v>202005</v>
      </c>
      <c r="C1146" t="s">
        <v>1496</v>
      </c>
      <c r="D1146" t="s">
        <v>1497</v>
      </c>
      <c r="E1146">
        <v>346.59</v>
      </c>
      <c r="F1146">
        <v>0</v>
      </c>
      <c r="G1146" s="2">
        <v>96.24</v>
      </c>
      <c r="H1146">
        <v>0</v>
      </c>
      <c r="K1146" t="s">
        <v>229</v>
      </c>
      <c r="L1146">
        <v>6</v>
      </c>
      <c r="M1146">
        <v>0</v>
      </c>
      <c r="N1146" t="s">
        <v>259</v>
      </c>
      <c r="O1146" t="s">
        <v>1495</v>
      </c>
      <c r="P1146">
        <v>12</v>
      </c>
      <c r="Q1146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2D821318</v>
      </c>
      <c r="R1146" t="s">
        <v>229</v>
      </c>
      <c r="S1146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147" spans="1:19" x14ac:dyDescent="0.25">
      <c r="A1147" t="s">
        <v>1494</v>
      </c>
      <c r="B1147">
        <v>202005</v>
      </c>
      <c r="C1147" t="s">
        <v>312</v>
      </c>
      <c r="D1147" t="s">
        <v>332</v>
      </c>
      <c r="E1147">
        <v>100</v>
      </c>
      <c r="F1147">
        <v>0</v>
      </c>
      <c r="G1147" s="2">
        <v>2.25</v>
      </c>
      <c r="H1147">
        <v>0</v>
      </c>
      <c r="I1147">
        <v>1570</v>
      </c>
      <c r="K1147" t="s">
        <v>229</v>
      </c>
      <c r="L1147">
        <v>7</v>
      </c>
      <c r="M1147">
        <v>0</v>
      </c>
      <c r="N1147" t="s">
        <v>259</v>
      </c>
      <c r="O1147" t="s">
        <v>1495</v>
      </c>
      <c r="P1147">
        <v>12</v>
      </c>
      <c r="Q1147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2D821249</v>
      </c>
      <c r="R1147" t="s">
        <v>229</v>
      </c>
      <c r="S1147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  <row r="1148" spans="1:19" x14ac:dyDescent="0.25">
      <c r="A1148" t="s">
        <v>1494</v>
      </c>
      <c r="B1148">
        <v>202005</v>
      </c>
      <c r="C1148" t="s">
        <v>56</v>
      </c>
      <c r="D1148" t="s">
        <v>246</v>
      </c>
      <c r="E1148">
        <v>0</v>
      </c>
      <c r="F1148">
        <v>0</v>
      </c>
      <c r="G1148" s="2">
        <v>1.51</v>
      </c>
      <c r="H1148">
        <v>0</v>
      </c>
      <c r="K1148" t="s">
        <v>229</v>
      </c>
      <c r="L1148">
        <v>8</v>
      </c>
      <c r="M1148">
        <v>0</v>
      </c>
      <c r="O1148" t="s">
        <v>1495</v>
      </c>
      <c r="P1148">
        <v>12</v>
      </c>
      <c r="Q1148" t="str">
        <f>"2"&amp;RIGHT(NewRecipeTable[[#This Row],[Recipe No.]],3)&amp;IF(LEN(NewRecipeTable[[#This Row],[Item No.]])=LEN(NewRecipeTable[[#This Row],[Item No.]]),RIGHT(NewRecipeTable[[#This Row],[Item No.]],LEN(NewRecipeTable[[#This Row],[Item No.]])-1))</f>
        <v>2D828999</v>
      </c>
      <c r="R1148" t="s">
        <v>229</v>
      </c>
      <c r="S1148" t="str">
        <f ca="1">IF(NewRecipeTable[[#This Row],[Active Recipe]]="No","Inactive Recipe ",IF(OR(OFFSET(NewRecipeTable[[#This Row],[Item No.]],-1,0)="G1100",OFFSET(NewRecipeTable[[#This Row],[Item No.]],-1,0)="G1101",OFFSET(NewRecipeTable[[#This Row],[Item No.]],-1,0)="G1102"),"Main Product",IF(OR(NewRecipeTable[[#This Row],[Product Text]]="Pork Leg",NewRecipeTable[[#This Row],[Product Text]]="Pork Middle",NewRecipeTable[[#This Row],[Product Text]]="Pork Shoulder"),"Main Input",IF(NewRecipeTable[[#This Row],[Item No.]]="G8999","","ByProduct"))))</f>
        <v xml:space="preserve">Inactive Recipe </v>
      </c>
    </row>
  </sheetData>
  <conditionalFormatting sqref="A2:T1148">
    <cfRule type="expression" dxfId="31" priority="1">
      <formula>$A2&lt;&gt;$A3</formula>
    </cfRule>
    <cfRule type="expression" dxfId="30" priority="2">
      <formula>$S2="Main Input"</formula>
    </cfRule>
    <cfRule type="expression" dxfId="29" priority="3">
      <formula>$S2="Main Product"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theme="0"/>
  </sheetPr>
  <dimension ref="A1:Z87"/>
  <sheetViews>
    <sheetView showGridLines="0" workbookViewId="0">
      <selection activeCell="E14" sqref="E14"/>
    </sheetView>
  </sheetViews>
  <sheetFormatPr defaultColWidth="10.85546875" defaultRowHeight="15" customHeight="1" x14ac:dyDescent="0.25"/>
  <cols>
    <col min="1" max="1" width="3.28515625" customWidth="1"/>
    <col min="2" max="2" width="12.28515625" customWidth="1"/>
    <col min="3" max="3" width="27.28515625" bestFit="1" customWidth="1"/>
    <col min="4" max="4" width="12.7109375" customWidth="1"/>
    <col min="5" max="5" width="15" customWidth="1"/>
    <col min="6" max="19" width="8.85546875" customWidth="1"/>
    <col min="20" max="21" width="10.85546875" customWidth="1"/>
  </cols>
  <sheetData>
    <row r="1" spans="1:19" ht="12.75" customHeight="1" thickBot="1" x14ac:dyDescent="0.3">
      <c r="B1" s="158"/>
      <c r="C1" s="158"/>
      <c r="D1" s="158"/>
      <c r="E1" s="240"/>
      <c r="F1" s="158"/>
      <c r="G1" s="159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</row>
    <row r="2" spans="1:19" ht="17.25" customHeight="1" thickBot="1" x14ac:dyDescent="0.3">
      <c r="B2" s="160"/>
      <c r="C2" s="263" t="s">
        <v>897</v>
      </c>
      <c r="D2" s="1221">
        <f>'[4]Pork Breaking'!$B$2</f>
        <v>45196</v>
      </c>
      <c r="E2" s="1222"/>
      <c r="F2" s="162"/>
      <c r="G2" s="163"/>
      <c r="H2" s="162"/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</row>
    <row r="3" spans="1:19" ht="12.75" customHeight="1" thickBot="1" x14ac:dyDescent="0.3">
      <c r="B3" s="164"/>
      <c r="C3" s="164"/>
      <c r="D3" s="164"/>
      <c r="E3" s="239"/>
      <c r="F3" s="164"/>
      <c r="G3" s="165">
        <f>'[4]Pork Breaking'!$D$3</f>
        <v>554</v>
      </c>
      <c r="H3" s="166" t="s">
        <v>226</v>
      </c>
      <c r="I3" s="167">
        <f>+G3*2</f>
        <v>1108</v>
      </c>
      <c r="J3" s="168" t="s">
        <v>227</v>
      </c>
      <c r="K3" s="169"/>
      <c r="L3" s="169"/>
      <c r="M3" s="170" t="s">
        <v>228</v>
      </c>
      <c r="N3" s="171" t="s">
        <v>229</v>
      </c>
      <c r="O3" s="172" t="s">
        <v>173</v>
      </c>
      <c r="P3" s="164"/>
      <c r="Q3" s="164"/>
      <c r="R3" s="164"/>
      <c r="S3" s="164"/>
    </row>
    <row r="4" spans="1:19" ht="12.75" customHeight="1" thickBot="1" x14ac:dyDescent="0.3">
      <c r="B4" s="164"/>
      <c r="C4" s="164"/>
      <c r="D4" s="164"/>
      <c r="E4" s="173"/>
      <c r="F4" s="174"/>
      <c r="G4" s="165">
        <f>'[4]Pork Breaking'!$D$4</f>
        <v>0</v>
      </c>
      <c r="H4" s="175" t="s">
        <v>230</v>
      </c>
      <c r="I4" s="176">
        <f>+G4*2</f>
        <v>0</v>
      </c>
      <c r="J4" s="177" t="s">
        <v>227</v>
      </c>
      <c r="K4" s="178"/>
      <c r="L4" s="179"/>
      <c r="M4" s="180"/>
      <c r="N4" s="181">
        <f>'[4]Pork Breaking'!K4</f>
        <v>0</v>
      </c>
      <c r="O4" s="182">
        <f>'[4]Pork Breaking'!L4</f>
        <v>0</v>
      </c>
      <c r="P4" s="164"/>
      <c r="Q4" s="164"/>
      <c r="R4" s="164"/>
      <c r="S4" s="164"/>
    </row>
    <row r="5" spans="1:19" ht="17.25" customHeight="1" thickBot="1" x14ac:dyDescent="0.3">
      <c r="A5" s="155"/>
      <c r="B5" s="1229" t="s">
        <v>938</v>
      </c>
      <c r="C5" s="1230"/>
      <c r="D5" s="1230"/>
      <c r="E5" s="1231"/>
      <c r="F5" s="183"/>
      <c r="G5" s="184"/>
      <c r="H5" s="185"/>
      <c r="I5" s="185"/>
      <c r="J5" s="185"/>
      <c r="K5" s="185"/>
      <c r="L5" s="185"/>
      <c r="M5" s="185"/>
      <c r="N5" s="185"/>
      <c r="O5" s="185"/>
      <c r="P5" s="185"/>
      <c r="Q5" s="185"/>
      <c r="R5" s="185"/>
      <c r="S5" s="185"/>
    </row>
    <row r="6" spans="1:19" ht="22.5" customHeight="1" thickBot="1" x14ac:dyDescent="0.3">
      <c r="C6" s="1227" t="s">
        <v>232</v>
      </c>
      <c r="D6" s="1227"/>
      <c r="E6" s="1227"/>
      <c r="F6" s="186"/>
      <c r="G6" s="187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8"/>
    </row>
    <row r="7" spans="1:19" ht="16.5" thickBot="1" x14ac:dyDescent="0.3">
      <c r="A7" s="155"/>
      <c r="B7" s="188"/>
      <c r="C7" s="188" t="s">
        <v>168</v>
      </c>
      <c r="D7" s="188" t="s">
        <v>11</v>
      </c>
      <c r="E7" s="241" t="s">
        <v>513</v>
      </c>
      <c r="F7" s="161" t="s">
        <v>172</v>
      </c>
      <c r="G7" s="161" t="s">
        <v>173</v>
      </c>
      <c r="H7" s="161" t="s">
        <v>172</v>
      </c>
      <c r="I7" s="161" t="s">
        <v>173</v>
      </c>
      <c r="J7" s="161" t="s">
        <v>172</v>
      </c>
      <c r="K7" s="161" t="s">
        <v>173</v>
      </c>
      <c r="L7" s="161" t="s">
        <v>172</v>
      </c>
      <c r="M7" s="161" t="s">
        <v>173</v>
      </c>
      <c r="N7" s="161" t="s">
        <v>172</v>
      </c>
      <c r="O7" s="161" t="s">
        <v>173</v>
      </c>
      <c r="P7" s="161" t="s">
        <v>172</v>
      </c>
      <c r="Q7" s="161" t="s">
        <v>173</v>
      </c>
      <c r="R7" s="161" t="s">
        <v>172</v>
      </c>
      <c r="S7" s="189" t="s">
        <v>173</v>
      </c>
    </row>
    <row r="8" spans="1:19" ht="12.75" customHeight="1" x14ac:dyDescent="0.25">
      <c r="B8" s="1218" t="s">
        <v>231</v>
      </c>
      <c r="C8" s="190" t="s">
        <v>939</v>
      </c>
      <c r="D8" s="191">
        <f>SUM(F8:F10,H8:H10,J8:J10,L8:L10,N8:N10,P8:P10,R8:R10)</f>
        <v>1108</v>
      </c>
      <c r="E8" s="191">
        <f>SUM(G8:G10,I8:I10,K8:K10,M8:M10,O8:O10,Q8:Q10,S8:S10)</f>
        <v>32353.599999999999</v>
      </c>
      <c r="F8" s="192">
        <f>'[4]Pork Breaking'!A8</f>
        <v>1108</v>
      </c>
      <c r="G8" s="193">
        <f>'[4]Pork Breaking'!B8</f>
        <v>32353.599999999999</v>
      </c>
      <c r="H8" s="194"/>
      <c r="I8" s="193"/>
      <c r="J8" s="194"/>
      <c r="K8" s="193"/>
      <c r="L8" s="194"/>
      <c r="M8" s="193"/>
      <c r="N8" s="194"/>
      <c r="O8" s="193"/>
      <c r="P8" s="194"/>
      <c r="Q8" s="193"/>
      <c r="R8" s="194"/>
      <c r="S8" s="195"/>
    </row>
    <row r="9" spans="1:19" ht="12.75" customHeight="1" x14ac:dyDescent="0.25">
      <c r="B9" s="1219"/>
      <c r="C9" s="196"/>
      <c r="D9" s="197"/>
      <c r="E9" s="242"/>
      <c r="F9" s="198"/>
      <c r="G9" s="199"/>
      <c r="H9" s="200"/>
      <c r="I9" s="199"/>
      <c r="J9" s="200"/>
      <c r="K9" s="199"/>
      <c r="L9" s="200"/>
      <c r="M9" s="199"/>
      <c r="N9" s="200"/>
      <c r="O9" s="199"/>
      <c r="P9" s="200"/>
      <c r="Q9" s="199"/>
      <c r="R9" s="200"/>
      <c r="S9" s="201"/>
    </row>
    <row r="10" spans="1:19" ht="12.75" customHeight="1" thickBot="1" x14ac:dyDescent="0.3">
      <c r="B10" s="1219"/>
      <c r="C10" s="196"/>
      <c r="D10" s="197"/>
      <c r="E10" s="197"/>
      <c r="F10" s="202"/>
      <c r="G10" s="203"/>
      <c r="H10" s="204"/>
      <c r="I10" s="203"/>
      <c r="J10" s="204"/>
      <c r="K10" s="203"/>
      <c r="L10" s="204"/>
      <c r="M10" s="203"/>
      <c r="N10" s="204"/>
      <c r="O10" s="203"/>
      <c r="P10" s="204"/>
      <c r="Q10" s="203"/>
      <c r="R10" s="204"/>
      <c r="S10" s="205"/>
    </row>
    <row r="11" spans="1:19" ht="12.75" customHeight="1" x14ac:dyDescent="0.25">
      <c r="B11" s="1219"/>
      <c r="C11" s="206" t="s">
        <v>940</v>
      </c>
      <c r="D11" s="207">
        <f>SUM(F11:F13,H11:H13,J11:J13,L11:L13,N11:N13,P11:P13,R11:R13)</f>
        <v>0</v>
      </c>
      <c r="E11" s="208">
        <f>SUM(G11:G13,I11:I13,K11:K13,M11:M13,O11:O13,Q11:Q13,S11:S13)</f>
        <v>0</v>
      </c>
      <c r="F11" s="192"/>
      <c r="G11" s="193"/>
      <c r="H11" s="194"/>
      <c r="I11" s="193"/>
      <c r="J11" s="194"/>
      <c r="K11" s="193"/>
      <c r="L11" s="194"/>
      <c r="M11" s="193"/>
      <c r="N11" s="194"/>
      <c r="O11" s="193"/>
      <c r="P11" s="194"/>
      <c r="Q11" s="193"/>
      <c r="R11" s="194"/>
      <c r="S11" s="195"/>
    </row>
    <row r="12" spans="1:19" ht="12.75" customHeight="1" x14ac:dyDescent="0.25">
      <c r="B12" s="1219"/>
      <c r="C12" s="196"/>
      <c r="D12" s="197"/>
      <c r="E12" s="242"/>
      <c r="F12" s="198"/>
      <c r="G12" s="199"/>
      <c r="H12" s="200"/>
      <c r="I12" s="199"/>
      <c r="J12" s="200"/>
      <c r="K12" s="199"/>
      <c r="L12" s="200"/>
      <c r="M12" s="199"/>
      <c r="N12" s="200"/>
      <c r="O12" s="199"/>
      <c r="P12" s="200"/>
      <c r="Q12" s="199"/>
      <c r="R12" s="200"/>
      <c r="S12" s="201"/>
    </row>
    <row r="13" spans="1:19" ht="12.75" customHeight="1" thickBot="1" x14ac:dyDescent="0.3">
      <c r="B13" s="1232"/>
      <c r="C13" s="209"/>
      <c r="D13" s="210"/>
      <c r="E13" s="243"/>
      <c r="F13" s="211"/>
      <c r="G13" s="212"/>
      <c r="H13" s="213"/>
      <c r="I13" s="212"/>
      <c r="J13" s="213"/>
      <c r="K13" s="212"/>
      <c r="L13" s="213"/>
      <c r="M13" s="212"/>
      <c r="N13" s="213"/>
      <c r="O13" s="212"/>
      <c r="P13" s="213"/>
      <c r="Q13" s="212"/>
      <c r="R13" s="213"/>
      <c r="S13" s="214"/>
    </row>
    <row r="14" spans="1:19" ht="17.25" customHeight="1" thickBot="1" x14ac:dyDescent="0.3">
      <c r="A14" s="156"/>
      <c r="B14" s="215"/>
      <c r="C14" s="216" t="s">
        <v>943</v>
      </c>
      <c r="D14" s="217">
        <f>SUM(D8:D13)</f>
        <v>1108</v>
      </c>
      <c r="E14" s="218">
        <f>SUM(E8:E13)</f>
        <v>32353.599999999999</v>
      </c>
      <c r="F14" s="1223"/>
      <c r="G14" s="1223"/>
      <c r="H14" s="1223"/>
      <c r="I14" s="1223"/>
      <c r="J14" s="1223"/>
      <c r="K14" s="1223"/>
      <c r="L14" s="1223"/>
      <c r="M14" s="1223"/>
      <c r="N14" s="1223"/>
      <c r="O14" s="1223"/>
      <c r="P14" s="1223"/>
      <c r="Q14" s="1223"/>
      <c r="R14" s="1223"/>
      <c r="S14" s="1223"/>
    </row>
    <row r="15" spans="1:19" ht="22.5" customHeight="1" thickBot="1" x14ac:dyDescent="0.3">
      <c r="C15" s="1228" t="s">
        <v>233</v>
      </c>
      <c r="D15" s="1228"/>
      <c r="E15" s="1228"/>
      <c r="F15" s="1224"/>
      <c r="G15" s="1224"/>
      <c r="H15" s="1224"/>
      <c r="I15" s="1224"/>
      <c r="J15" s="1224"/>
      <c r="K15" s="1224"/>
      <c r="L15" s="1224"/>
      <c r="M15" s="1224"/>
      <c r="N15" s="1224"/>
      <c r="O15" s="1224"/>
      <c r="P15" s="1224"/>
      <c r="Q15" s="1224"/>
      <c r="R15" s="1224"/>
      <c r="S15" s="1224"/>
    </row>
    <row r="16" spans="1:19" ht="16.5" thickBot="1" x14ac:dyDescent="0.3">
      <c r="B16" s="188"/>
      <c r="C16" s="188" t="s">
        <v>168</v>
      </c>
      <c r="D16" s="188" t="s">
        <v>11</v>
      </c>
      <c r="E16" s="218" t="s">
        <v>513</v>
      </c>
      <c r="F16" s="161" t="s">
        <v>172</v>
      </c>
      <c r="G16" s="161" t="s">
        <v>173</v>
      </c>
      <c r="H16" s="161" t="s">
        <v>172</v>
      </c>
      <c r="I16" s="161" t="s">
        <v>173</v>
      </c>
      <c r="J16" s="161" t="s">
        <v>172</v>
      </c>
      <c r="K16" s="161" t="s">
        <v>173</v>
      </c>
      <c r="L16" s="161" t="s">
        <v>172</v>
      </c>
      <c r="M16" s="161" t="s">
        <v>173</v>
      </c>
      <c r="N16" s="161" t="s">
        <v>172</v>
      </c>
      <c r="O16" s="161" t="s">
        <v>173</v>
      </c>
      <c r="P16" s="161" t="s">
        <v>172</v>
      </c>
      <c r="Q16" s="161" t="s">
        <v>173</v>
      </c>
      <c r="R16" s="161" t="s">
        <v>172</v>
      </c>
      <c r="S16" s="189" t="s">
        <v>173</v>
      </c>
    </row>
    <row r="17" spans="1:19" ht="12.75" customHeight="1" thickBot="1" x14ac:dyDescent="0.3">
      <c r="A17" s="129"/>
      <c r="B17" s="129"/>
      <c r="C17" s="1213" t="s">
        <v>63</v>
      </c>
      <c r="D17" s="1214"/>
      <c r="E17" s="1215"/>
      <c r="F17" s="1225"/>
      <c r="G17" s="1226"/>
      <c r="H17" s="1226"/>
      <c r="I17" s="1226"/>
      <c r="J17" s="1226"/>
      <c r="K17" s="1226"/>
      <c r="L17" s="1226"/>
      <c r="M17" s="1226"/>
      <c r="N17" s="1226"/>
      <c r="O17" s="1226"/>
      <c r="P17" s="1226"/>
      <c r="Q17" s="1226"/>
      <c r="R17" s="1226"/>
      <c r="S17" s="1226"/>
    </row>
    <row r="18" spans="1:19" ht="12.75" customHeight="1" x14ac:dyDescent="0.25">
      <c r="B18" s="1218" t="s">
        <v>62</v>
      </c>
      <c r="C18" s="219" t="s">
        <v>941</v>
      </c>
      <c r="D18" s="245">
        <f>SUM(F18,H18,J18,L18,N18,P18,R18)</f>
        <v>1108</v>
      </c>
      <c r="E18" s="220">
        <f>SUM(G18,I18,K18,M18,O18,Q18,S18)</f>
        <v>9953.2000000000007</v>
      </c>
      <c r="F18" s="248">
        <f>'[4]Pork Breaking'!B17</f>
        <v>1108</v>
      </c>
      <c r="G18" s="249">
        <f>'[4]Pork Breaking'!C17</f>
        <v>9831.2000000000007</v>
      </c>
      <c r="H18" s="250"/>
      <c r="I18" s="249">
        <f>'[4]Pork Breaking'!$C$30</f>
        <v>122</v>
      </c>
      <c r="J18" s="250"/>
      <c r="K18" s="249"/>
      <c r="L18" s="250"/>
      <c r="M18" s="249"/>
      <c r="N18" s="250"/>
      <c r="O18" s="249"/>
      <c r="P18" s="250"/>
      <c r="Q18" s="249"/>
      <c r="R18" s="250"/>
      <c r="S18" s="249"/>
    </row>
    <row r="19" spans="1:19" ht="12.75" customHeight="1" thickBot="1" x14ac:dyDescent="0.3">
      <c r="B19" s="1219"/>
      <c r="C19" s="196" t="s">
        <v>942</v>
      </c>
      <c r="D19" s="246">
        <f>SUM(F19,H19,J19,L19,N19,P19,R19)</f>
        <v>0</v>
      </c>
      <c r="E19" s="247">
        <f>SUM(G19,I19,K19,M19,O19,Q19,S19)</f>
        <v>0</v>
      </c>
      <c r="F19" s="251"/>
      <c r="G19" s="252"/>
      <c r="H19" s="253"/>
      <c r="I19" s="252"/>
      <c r="J19" s="253"/>
      <c r="K19" s="252"/>
      <c r="L19" s="253"/>
      <c r="M19" s="252"/>
      <c r="N19" s="253"/>
      <c r="O19" s="252"/>
      <c r="P19" s="253"/>
      <c r="Q19" s="252"/>
      <c r="R19" s="253"/>
      <c r="S19" s="252"/>
    </row>
    <row r="20" spans="1:19" ht="12.75" customHeight="1" thickBot="1" x14ac:dyDescent="0.3">
      <c r="A20" s="157"/>
      <c r="B20" s="1220"/>
      <c r="C20" s="222" t="s">
        <v>943</v>
      </c>
      <c r="D20" s="223">
        <f>SUM(D18:D19)</f>
        <v>1108</v>
      </c>
      <c r="E20" s="224">
        <f>SUM(E18:E19)</f>
        <v>9953.2000000000007</v>
      </c>
      <c r="F20" s="1210"/>
      <c r="G20" s="1211"/>
      <c r="H20" s="1211"/>
      <c r="I20" s="1211"/>
      <c r="J20" s="1211"/>
      <c r="K20" s="1211"/>
      <c r="L20" s="1211"/>
      <c r="M20" s="1211"/>
      <c r="N20" s="1211"/>
      <c r="O20" s="1211"/>
      <c r="P20" s="1211"/>
      <c r="Q20" s="1211"/>
      <c r="R20" s="1211"/>
      <c r="S20" s="1212"/>
    </row>
    <row r="21" spans="1:19" ht="2.25" customHeight="1" thickTop="1" thickBot="1" x14ac:dyDescent="0.3">
      <c r="A21" s="157"/>
      <c r="B21" s="157"/>
      <c r="C21" s="1201"/>
      <c r="D21" s="1202"/>
      <c r="E21" s="1203"/>
      <c r="F21" s="254"/>
      <c r="G21" s="255"/>
      <c r="H21" s="255"/>
      <c r="I21" s="255"/>
      <c r="J21" s="255"/>
      <c r="K21" s="255"/>
      <c r="L21" s="255"/>
      <c r="M21" s="255"/>
      <c r="N21" s="255"/>
      <c r="O21" s="255"/>
      <c r="P21" s="255"/>
      <c r="Q21" s="255"/>
      <c r="R21" s="255"/>
      <c r="S21" s="255"/>
    </row>
    <row r="22" spans="1:19" ht="12.75" customHeight="1" thickBot="1" x14ac:dyDescent="0.3">
      <c r="A22" s="129"/>
      <c r="B22" s="129"/>
      <c r="C22" s="1213" t="s">
        <v>944</v>
      </c>
      <c r="D22" s="1214"/>
      <c r="E22" s="1215"/>
      <c r="F22" s="1216"/>
      <c r="G22" s="1217"/>
      <c r="H22" s="1217"/>
      <c r="I22" s="1217"/>
      <c r="J22" s="1217"/>
      <c r="K22" s="1217"/>
      <c r="L22" s="1217"/>
      <c r="M22" s="1217"/>
      <c r="N22" s="1217"/>
      <c r="O22" s="1217"/>
      <c r="P22" s="1217"/>
      <c r="Q22" s="1217"/>
      <c r="R22" s="1217"/>
      <c r="S22" s="1217"/>
    </row>
    <row r="23" spans="1:19" ht="12.75" customHeight="1" x14ac:dyDescent="0.25">
      <c r="B23" s="1218" t="s">
        <v>141</v>
      </c>
      <c r="C23" s="219" t="s">
        <v>941</v>
      </c>
      <c r="D23" s="245">
        <f>SUM(F23,H23,J23,L23,N23,P23,R23)</f>
        <v>1108</v>
      </c>
      <c r="E23" s="220">
        <f>SUM(G23,I23,K23,M23,O23,Q23,S23)</f>
        <v>10647.5</v>
      </c>
      <c r="F23" s="248">
        <f>'[4]Pork Breaking'!B20</f>
        <v>1108</v>
      </c>
      <c r="G23" s="249">
        <f>'[4]Pork Breaking'!C20</f>
        <v>10647.5</v>
      </c>
      <c r="H23" s="250"/>
      <c r="I23" s="249"/>
      <c r="J23" s="250"/>
      <c r="K23" s="249"/>
      <c r="L23" s="250"/>
      <c r="M23" s="249"/>
      <c r="N23" s="250"/>
      <c r="O23" s="249"/>
      <c r="P23" s="250"/>
      <c r="Q23" s="249"/>
      <c r="R23" s="250"/>
      <c r="S23" s="249"/>
    </row>
    <row r="24" spans="1:19" ht="12.75" customHeight="1" thickBot="1" x14ac:dyDescent="0.3">
      <c r="B24" s="1219"/>
      <c r="C24" s="196" t="s">
        <v>942</v>
      </c>
      <c r="D24" s="246">
        <f>SUM(F24,H24,J24,L24,N24,P24,R24)</f>
        <v>0</v>
      </c>
      <c r="E24" s="247">
        <f>SUM(G24,I24,K24,M24,O24,Q24,S24)</f>
        <v>0</v>
      </c>
      <c r="F24" s="251"/>
      <c r="G24" s="252"/>
      <c r="H24" s="253"/>
      <c r="I24" s="252"/>
      <c r="J24" s="253"/>
      <c r="K24" s="252"/>
      <c r="L24" s="253"/>
      <c r="M24" s="252"/>
      <c r="N24" s="253"/>
      <c r="O24" s="252"/>
      <c r="P24" s="253"/>
      <c r="Q24" s="252"/>
      <c r="R24" s="253"/>
      <c r="S24" s="252"/>
    </row>
    <row r="25" spans="1:19" ht="12.75" customHeight="1" thickBot="1" x14ac:dyDescent="0.3">
      <c r="A25" s="157"/>
      <c r="B25" s="1220"/>
      <c r="C25" s="222" t="s">
        <v>943</v>
      </c>
      <c r="D25" s="223">
        <f>SUM(D23:D24)</f>
        <v>1108</v>
      </c>
      <c r="E25" s="224">
        <f>SUM(E23:E24)</f>
        <v>10647.5</v>
      </c>
      <c r="F25" s="1210"/>
      <c r="G25" s="1211"/>
      <c r="H25" s="1211"/>
      <c r="I25" s="1211"/>
      <c r="J25" s="1211"/>
      <c r="K25" s="1211"/>
      <c r="L25" s="1211"/>
      <c r="M25" s="1211"/>
      <c r="N25" s="1211"/>
      <c r="O25" s="1211"/>
      <c r="P25" s="1211"/>
      <c r="Q25" s="1211"/>
      <c r="R25" s="1211"/>
      <c r="S25" s="1212"/>
    </row>
    <row r="26" spans="1:19" ht="2.25" customHeight="1" thickTop="1" thickBot="1" x14ac:dyDescent="0.3">
      <c r="A26" s="157"/>
      <c r="B26" s="157"/>
      <c r="C26" s="1201"/>
      <c r="D26" s="1202"/>
      <c r="E26" s="1203"/>
      <c r="F26" s="254"/>
      <c r="G26" s="255"/>
      <c r="H26" s="255"/>
      <c r="I26" s="255"/>
      <c r="J26" s="255"/>
      <c r="K26" s="255"/>
      <c r="L26" s="255"/>
      <c r="M26" s="255"/>
      <c r="N26" s="255"/>
      <c r="O26" s="255"/>
      <c r="P26" s="255"/>
      <c r="Q26" s="255"/>
      <c r="R26" s="255"/>
      <c r="S26" s="255"/>
    </row>
    <row r="27" spans="1:19" ht="12.75" customHeight="1" thickBot="1" x14ac:dyDescent="0.3">
      <c r="A27" s="129"/>
      <c r="B27" s="129"/>
      <c r="C27" s="1213" t="s">
        <v>945</v>
      </c>
      <c r="D27" s="1214"/>
      <c r="E27" s="1215"/>
      <c r="F27" s="1216"/>
      <c r="G27" s="1217"/>
      <c r="H27" s="1217"/>
      <c r="I27" s="1217"/>
      <c r="J27" s="1217"/>
      <c r="K27" s="1217"/>
      <c r="L27" s="1217"/>
      <c r="M27" s="1217"/>
      <c r="N27" s="1217"/>
      <c r="O27" s="1217"/>
      <c r="P27" s="1217"/>
      <c r="Q27" s="1217"/>
      <c r="R27" s="1217"/>
      <c r="S27" s="1217"/>
    </row>
    <row r="28" spans="1:19" ht="12.75" customHeight="1" x14ac:dyDescent="0.25">
      <c r="B28" s="1218" t="s">
        <v>45</v>
      </c>
      <c r="C28" s="219" t="s">
        <v>941</v>
      </c>
      <c r="D28" s="245">
        <f>SUM(F28,H28,J28,L28,N28,P28,R28)</f>
        <v>1108</v>
      </c>
      <c r="E28" s="220">
        <f>SUM(G28,I28,K28,M28,O28,Q28,S28)</f>
        <v>11176.1</v>
      </c>
      <c r="F28" s="248">
        <f>'[4]Pork Breaking'!B24</f>
        <v>1108</v>
      </c>
      <c r="G28" s="249">
        <f>'[4]Pork Breaking'!C24</f>
        <v>11176.1</v>
      </c>
      <c r="H28" s="250"/>
      <c r="I28" s="249"/>
      <c r="J28" s="250"/>
      <c r="K28" s="249"/>
      <c r="L28" s="250"/>
      <c r="M28" s="249"/>
      <c r="N28" s="250"/>
      <c r="O28" s="249"/>
      <c r="P28" s="250"/>
      <c r="Q28" s="249"/>
      <c r="R28" s="250"/>
      <c r="S28" s="249"/>
    </row>
    <row r="29" spans="1:19" ht="12.75" customHeight="1" thickBot="1" x14ac:dyDescent="0.3">
      <c r="B29" s="1219"/>
      <c r="C29" s="196" t="s">
        <v>942</v>
      </c>
      <c r="D29" s="246">
        <f>SUM(F29,H29,J29,L29,N29,P29,R29)</f>
        <v>0</v>
      </c>
      <c r="E29" s="247">
        <f>SUM(G29,I29,K29,M29,O29,Q29,S29)</f>
        <v>0</v>
      </c>
      <c r="F29" s="251"/>
      <c r="G29" s="252"/>
      <c r="H29" s="253"/>
      <c r="I29" s="252"/>
      <c r="J29" s="253"/>
      <c r="K29" s="252"/>
      <c r="L29" s="253"/>
      <c r="M29" s="252"/>
      <c r="N29" s="253"/>
      <c r="O29" s="252"/>
      <c r="P29" s="253"/>
      <c r="Q29" s="252"/>
      <c r="R29" s="253"/>
      <c r="S29" s="252"/>
    </row>
    <row r="30" spans="1:19" ht="12.75" customHeight="1" thickBot="1" x14ac:dyDescent="0.3">
      <c r="A30" s="157"/>
      <c r="B30" s="1220"/>
      <c r="C30" s="222" t="s">
        <v>943</v>
      </c>
      <c r="D30" s="223">
        <f>SUM(D28:D29)</f>
        <v>1108</v>
      </c>
      <c r="E30" s="224">
        <f>SUM(E28:E29)</f>
        <v>11176.1</v>
      </c>
      <c r="F30" s="1210"/>
      <c r="G30" s="1211"/>
      <c r="H30" s="1211"/>
      <c r="I30" s="1211"/>
      <c r="J30" s="1211"/>
      <c r="K30" s="1211"/>
      <c r="L30" s="1211"/>
      <c r="M30" s="1211"/>
      <c r="N30" s="1211"/>
      <c r="O30" s="1211"/>
      <c r="P30" s="1211"/>
      <c r="Q30" s="1211"/>
      <c r="R30" s="1211"/>
      <c r="S30" s="1212"/>
    </row>
    <row r="31" spans="1:19" ht="2.25" customHeight="1" thickTop="1" thickBot="1" x14ac:dyDescent="0.3">
      <c r="A31" s="157"/>
      <c r="B31" s="157"/>
      <c r="C31" s="1201"/>
      <c r="D31" s="1202"/>
      <c r="E31" s="1203"/>
      <c r="F31" s="254"/>
      <c r="G31" s="255"/>
      <c r="H31" s="255"/>
      <c r="I31" s="255"/>
      <c r="J31" s="255"/>
      <c r="K31" s="255"/>
      <c r="L31" s="255"/>
      <c r="M31" s="255"/>
      <c r="N31" s="255"/>
      <c r="O31" s="255"/>
      <c r="P31" s="255"/>
      <c r="Q31" s="255"/>
      <c r="R31" s="255"/>
      <c r="S31" s="255"/>
    </row>
    <row r="32" spans="1:19" ht="12.75" customHeight="1" x14ac:dyDescent="0.25">
      <c r="B32" s="1204"/>
      <c r="C32" s="1206" t="s">
        <v>236</v>
      </c>
      <c r="D32" s="1207"/>
      <c r="E32" s="220">
        <f>SUM(F32:S33)</f>
        <v>555.29999999999995</v>
      </c>
      <c r="F32" s="256">
        <f>'[4]Pork Breaking'!$C$27</f>
        <v>555.29999999999995</v>
      </c>
      <c r="G32" s="257"/>
      <c r="H32" s="257"/>
      <c r="I32" s="257"/>
      <c r="J32" s="257"/>
      <c r="K32" s="257"/>
      <c r="L32" s="257"/>
      <c r="M32" s="257"/>
      <c r="N32" s="257"/>
      <c r="O32" s="257"/>
      <c r="P32" s="257"/>
      <c r="Q32" s="257"/>
      <c r="R32" s="257"/>
      <c r="S32" s="257"/>
    </row>
    <row r="33" spans="1:19" ht="12.75" customHeight="1" thickBot="1" x14ac:dyDescent="0.3">
      <c r="B33" s="1205"/>
      <c r="C33" s="1208"/>
      <c r="D33" s="1209"/>
      <c r="E33" s="221"/>
      <c r="F33" s="251"/>
      <c r="G33" s="258"/>
      <c r="H33" s="258"/>
      <c r="I33" s="258"/>
      <c r="J33" s="258"/>
      <c r="K33" s="258"/>
      <c r="L33" s="258"/>
      <c r="M33" s="258"/>
      <c r="N33" s="258"/>
      <c r="O33" s="258"/>
      <c r="P33" s="258"/>
      <c r="Q33" s="258"/>
      <c r="R33" s="258"/>
      <c r="S33" s="258"/>
    </row>
    <row r="34" spans="1:19" ht="18.75" customHeight="1" thickBot="1" x14ac:dyDescent="0.3">
      <c r="A34" s="231"/>
      <c r="B34" s="227"/>
      <c r="C34" s="227" t="s">
        <v>946</v>
      </c>
      <c r="D34" s="228"/>
      <c r="E34" s="229">
        <f>E20+E25+E30+E32</f>
        <v>32332.100000000002</v>
      </c>
      <c r="F34" s="230"/>
      <c r="G34" s="230"/>
      <c r="H34" s="230"/>
      <c r="I34" s="230"/>
      <c r="J34" s="230"/>
      <c r="K34" s="230"/>
      <c r="L34" s="230"/>
      <c r="M34" s="230"/>
      <c r="N34" s="230"/>
      <c r="O34" s="230"/>
      <c r="P34" s="230"/>
      <c r="Q34" s="230"/>
      <c r="R34" s="230"/>
      <c r="S34" s="230"/>
    </row>
    <row r="35" spans="1:19" ht="2.25" customHeight="1" thickTop="1" thickBot="1" x14ac:dyDescent="0.3">
      <c r="A35" s="157"/>
      <c r="B35" s="157"/>
      <c r="C35" s="1201"/>
      <c r="D35" s="1202"/>
      <c r="E35" s="1203"/>
      <c r="F35" s="225"/>
      <c r="G35" s="226"/>
      <c r="H35" s="226"/>
      <c r="I35" s="226"/>
      <c r="J35" s="226"/>
      <c r="K35" s="226"/>
      <c r="L35" s="226"/>
      <c r="M35" s="226"/>
      <c r="N35" s="226"/>
      <c r="O35" s="226"/>
      <c r="P35" s="226"/>
      <c r="Q35" s="226"/>
      <c r="R35" s="226"/>
      <c r="S35" s="226"/>
    </row>
    <row r="36" spans="1:19" ht="20.25" customHeight="1" thickBot="1" x14ac:dyDescent="0.3">
      <c r="B36" s="232"/>
      <c r="C36" s="232" t="s">
        <v>54</v>
      </c>
      <c r="D36" s="228">
        <f>D14-D34</f>
        <v>1108</v>
      </c>
      <c r="E36" s="260">
        <f>E34-E14</f>
        <v>-21.499999999996362</v>
      </c>
      <c r="F36" s="259">
        <f>E36/E14</f>
        <v>-6.6453192225892526E-4</v>
      </c>
      <c r="G36" s="158"/>
      <c r="H36" s="158"/>
      <c r="I36" s="158"/>
      <c r="J36" s="158"/>
      <c r="K36" s="233"/>
      <c r="L36" s="158"/>
      <c r="M36" s="158"/>
      <c r="N36" s="158"/>
      <c r="O36" s="158"/>
      <c r="P36" s="158"/>
      <c r="Q36" s="158"/>
      <c r="R36" s="158"/>
      <c r="S36" s="158"/>
    </row>
    <row r="37" spans="1:19" ht="20.25" customHeight="1" thickBot="1" x14ac:dyDescent="0.3">
      <c r="A37" s="995"/>
      <c r="B37" s="996"/>
      <c r="C37" s="996"/>
      <c r="D37" s="997"/>
      <c r="E37" s="998"/>
      <c r="F37" s="999"/>
      <c r="G37" s="1000"/>
      <c r="H37" s="1000"/>
      <c r="I37" s="1000"/>
      <c r="J37" s="1000"/>
      <c r="K37" s="1001"/>
      <c r="L37" s="1000"/>
      <c r="M37" s="1000"/>
      <c r="N37" s="1000"/>
      <c r="O37" s="1000"/>
      <c r="P37" s="1000"/>
      <c r="Q37" s="1000"/>
      <c r="R37" s="1000"/>
      <c r="S37" s="1000"/>
    </row>
    <row r="38" spans="1:19" ht="20.25" customHeight="1" thickTop="1" thickBot="1" x14ac:dyDescent="0.3">
      <c r="B38" s="234"/>
      <c r="C38" s="234"/>
      <c r="D38" s="235"/>
      <c r="E38" s="244"/>
      <c r="F38" s="236"/>
      <c r="G38" s="237"/>
      <c r="H38" s="158"/>
      <c r="I38" s="158"/>
      <c r="J38" s="158"/>
      <c r="K38" s="233"/>
      <c r="L38" s="158"/>
      <c r="M38" s="158"/>
      <c r="N38" s="158"/>
      <c r="O38" s="158"/>
      <c r="P38" s="158"/>
      <c r="Q38" s="158"/>
      <c r="R38" s="158"/>
      <c r="S38" s="158"/>
    </row>
    <row r="39" spans="1:19" ht="15" customHeight="1" thickBot="1" x14ac:dyDescent="0.3">
      <c r="B39" s="1229" t="s">
        <v>962</v>
      </c>
      <c r="C39" s="1230"/>
      <c r="D39" s="1230"/>
      <c r="E39" s="1231"/>
    </row>
    <row r="40" spans="1:19" ht="12.75" customHeight="1" thickBot="1" x14ac:dyDescent="0.3">
      <c r="B40" s="238"/>
      <c r="C40" s="238"/>
      <c r="D40" s="238"/>
      <c r="E40" s="240"/>
      <c r="F40" s="238"/>
      <c r="G40" s="158"/>
      <c r="H40" s="159"/>
      <c r="I40" s="158"/>
      <c r="J40" s="158"/>
      <c r="K40" s="158"/>
      <c r="L40" s="233"/>
      <c r="M40" s="158"/>
      <c r="N40" s="158"/>
      <c r="O40" s="158"/>
      <c r="P40" s="158"/>
      <c r="Q40" s="158"/>
      <c r="R40" s="158"/>
      <c r="S40" s="158"/>
    </row>
    <row r="41" spans="1:19" ht="16.5" thickBot="1" x14ac:dyDescent="0.3">
      <c r="A41" s="155"/>
      <c r="B41" s="188"/>
      <c r="C41" s="188" t="s">
        <v>168</v>
      </c>
      <c r="D41" s="188" t="s">
        <v>11</v>
      </c>
      <c r="E41" s="241" t="s">
        <v>513</v>
      </c>
      <c r="F41" s="161" t="s">
        <v>172</v>
      </c>
      <c r="G41" s="161" t="s">
        <v>173</v>
      </c>
      <c r="H41" s="161" t="s">
        <v>172</v>
      </c>
      <c r="I41" s="161" t="s">
        <v>173</v>
      </c>
      <c r="J41" s="161" t="s">
        <v>172</v>
      </c>
      <c r="K41" s="161" t="s">
        <v>173</v>
      </c>
      <c r="L41" s="161" t="s">
        <v>172</v>
      </c>
      <c r="M41" s="161" t="s">
        <v>173</v>
      </c>
      <c r="N41" s="161" t="s">
        <v>172</v>
      </c>
      <c r="O41" s="161" t="s">
        <v>173</v>
      </c>
      <c r="P41" s="161" t="s">
        <v>172</v>
      </c>
      <c r="Q41" s="161" t="s">
        <v>173</v>
      </c>
      <c r="R41" s="161" t="s">
        <v>172</v>
      </c>
      <c r="S41" s="189" t="s">
        <v>173</v>
      </c>
    </row>
    <row r="42" spans="1:19" ht="12.75" customHeight="1" x14ac:dyDescent="0.25">
      <c r="B42" s="1218" t="s">
        <v>231</v>
      </c>
      <c r="C42" s="190" t="s">
        <v>963</v>
      </c>
      <c r="D42" s="191">
        <f>SUM(F42:F44,H42:H44,J42:J44,L42:L44,N42:N44,P42:P44,R42:R44)</f>
        <v>0</v>
      </c>
      <c r="E42" s="191">
        <f>SUM(G42:G44,I42:I44,K42:K44,M42:M44,O42:O44,Q42:Q44,S42:S44)</f>
        <v>0</v>
      </c>
      <c r="F42" s="192">
        <f>'[4]Pork Breaking'!A40</f>
        <v>0</v>
      </c>
      <c r="G42" s="193">
        <f>'[4]Pork Breaking'!B40</f>
        <v>0</v>
      </c>
      <c r="H42" s="194"/>
      <c r="I42" s="193"/>
      <c r="J42" s="194"/>
      <c r="K42" s="193"/>
      <c r="L42" s="194"/>
      <c r="M42" s="193"/>
      <c r="N42" s="194"/>
      <c r="O42" s="193"/>
      <c r="P42" s="194"/>
      <c r="Q42" s="193"/>
      <c r="R42" s="194"/>
      <c r="S42" s="195"/>
    </row>
    <row r="43" spans="1:19" ht="12.75" customHeight="1" x14ac:dyDescent="0.25">
      <c r="B43" s="1219"/>
      <c r="C43" s="196"/>
      <c r="D43" s="197"/>
      <c r="E43" s="242"/>
      <c r="F43" s="198"/>
      <c r="G43" s="199"/>
      <c r="H43" s="200"/>
      <c r="I43" s="199"/>
      <c r="J43" s="200"/>
      <c r="K43" s="199"/>
      <c r="L43" s="200"/>
      <c r="M43" s="199"/>
      <c r="N43" s="200"/>
      <c r="O43" s="199"/>
      <c r="P43" s="200"/>
      <c r="Q43" s="199"/>
      <c r="R43" s="200"/>
      <c r="S43" s="201"/>
    </row>
    <row r="44" spans="1:19" ht="12.75" customHeight="1" thickBot="1" x14ac:dyDescent="0.3">
      <c r="B44" s="1219"/>
      <c r="C44" s="196"/>
      <c r="D44" s="197"/>
      <c r="E44" s="197"/>
      <c r="F44" s="202"/>
      <c r="G44" s="203"/>
      <c r="H44" s="204"/>
      <c r="I44" s="203"/>
      <c r="J44" s="204"/>
      <c r="K44" s="203"/>
      <c r="L44" s="204"/>
      <c r="M44" s="203"/>
      <c r="N44" s="204"/>
      <c r="O44" s="203"/>
      <c r="P44" s="204"/>
      <c r="Q44" s="203"/>
      <c r="R44" s="204"/>
      <c r="S44" s="205"/>
    </row>
    <row r="45" spans="1:19" ht="12.75" customHeight="1" x14ac:dyDescent="0.25">
      <c r="B45" s="1219"/>
      <c r="C45" s="206" t="s">
        <v>964</v>
      </c>
      <c r="D45" s="207">
        <f>SUM(F45:F47,H45:H47,J45:J47,L45:L47,N45:N47,P45:P47,R45:R47)</f>
        <v>0</v>
      </c>
      <c r="E45" s="208">
        <f>SUM(G45:G47,I45:I47,K45:K47,M45:M47,O45:O47,Q45:Q47,S45:S47)</f>
        <v>0</v>
      </c>
      <c r="F45" s="192"/>
      <c r="G45" s="193"/>
      <c r="H45" s="194"/>
      <c r="I45" s="193"/>
      <c r="J45" s="194"/>
      <c r="K45" s="193"/>
      <c r="L45" s="194"/>
      <c r="M45" s="193"/>
      <c r="N45" s="194"/>
      <c r="O45" s="193"/>
      <c r="P45" s="194"/>
      <c r="Q45" s="193"/>
      <c r="R45" s="194"/>
      <c r="S45" s="195"/>
    </row>
    <row r="46" spans="1:19" ht="12.75" customHeight="1" x14ac:dyDescent="0.25">
      <c r="B46" s="1219"/>
      <c r="C46" s="196"/>
      <c r="D46" s="197"/>
      <c r="E46" s="242"/>
      <c r="F46" s="198"/>
      <c r="G46" s="199"/>
      <c r="H46" s="200"/>
      <c r="I46" s="199"/>
      <c r="J46" s="200"/>
      <c r="K46" s="199"/>
      <c r="L46" s="200"/>
      <c r="M46" s="199"/>
      <c r="N46" s="200"/>
      <c r="O46" s="199"/>
      <c r="P46" s="200"/>
      <c r="Q46" s="199"/>
      <c r="R46" s="200"/>
      <c r="S46" s="201"/>
    </row>
    <row r="47" spans="1:19" ht="12.75" customHeight="1" thickBot="1" x14ac:dyDescent="0.3">
      <c r="B47" s="1232"/>
      <c r="C47" s="209"/>
      <c r="D47" s="210"/>
      <c r="E47" s="243"/>
      <c r="F47" s="211"/>
      <c r="G47" s="212"/>
      <c r="H47" s="213"/>
      <c r="I47" s="212"/>
      <c r="J47" s="213"/>
      <c r="K47" s="212"/>
      <c r="L47" s="213"/>
      <c r="M47" s="212"/>
      <c r="N47" s="213"/>
      <c r="O47" s="212"/>
      <c r="P47" s="213"/>
      <c r="Q47" s="212"/>
      <c r="R47" s="213"/>
      <c r="S47" s="214"/>
    </row>
    <row r="48" spans="1:19" ht="17.25" customHeight="1" thickBot="1" x14ac:dyDescent="0.3">
      <c r="A48" s="156"/>
      <c r="B48" s="215"/>
      <c r="C48" s="216" t="s">
        <v>943</v>
      </c>
      <c r="D48" s="217">
        <f>SUM(D42:D47)</f>
        <v>0</v>
      </c>
      <c r="E48" s="218">
        <f>SUM(E42:E47)</f>
        <v>0</v>
      </c>
      <c r="F48" s="1223"/>
      <c r="G48" s="1223"/>
      <c r="H48" s="1223"/>
      <c r="I48" s="1223"/>
      <c r="J48" s="1223"/>
      <c r="K48" s="1223"/>
      <c r="L48" s="1223"/>
      <c r="M48" s="1223"/>
      <c r="N48" s="1223"/>
      <c r="O48" s="1223"/>
      <c r="P48" s="1223"/>
      <c r="Q48" s="1223"/>
      <c r="R48" s="1223"/>
      <c r="S48" s="1223"/>
    </row>
    <row r="49" spans="1:19" ht="22.5" customHeight="1" thickBot="1" x14ac:dyDescent="0.3">
      <c r="C49" s="1228" t="s">
        <v>233</v>
      </c>
      <c r="D49" s="1228"/>
      <c r="E49" s="1228"/>
      <c r="F49" s="1224"/>
      <c r="G49" s="1224"/>
      <c r="H49" s="1224"/>
      <c r="I49" s="1224"/>
      <c r="J49" s="1224"/>
      <c r="K49" s="1224"/>
      <c r="L49" s="1224"/>
      <c r="M49" s="1224"/>
      <c r="N49" s="1224"/>
      <c r="O49" s="1224"/>
      <c r="P49" s="1224"/>
      <c r="Q49" s="1224"/>
      <c r="R49" s="1224"/>
      <c r="S49" s="1224"/>
    </row>
    <row r="50" spans="1:19" ht="16.5" thickBot="1" x14ac:dyDescent="0.3">
      <c r="B50" s="188"/>
      <c r="C50" s="188" t="s">
        <v>168</v>
      </c>
      <c r="D50" s="188" t="s">
        <v>11</v>
      </c>
      <c r="E50" s="218" t="s">
        <v>513</v>
      </c>
      <c r="F50" s="161" t="s">
        <v>172</v>
      </c>
      <c r="G50" s="161" t="s">
        <v>173</v>
      </c>
      <c r="H50" s="161" t="s">
        <v>172</v>
      </c>
      <c r="I50" s="161" t="s">
        <v>173</v>
      </c>
      <c r="J50" s="161" t="s">
        <v>172</v>
      </c>
      <c r="K50" s="161" t="s">
        <v>173</v>
      </c>
      <c r="L50" s="161" t="s">
        <v>172</v>
      </c>
      <c r="M50" s="161" t="s">
        <v>173</v>
      </c>
      <c r="N50" s="161" t="s">
        <v>172</v>
      </c>
      <c r="O50" s="161" t="s">
        <v>173</v>
      </c>
      <c r="P50" s="161" t="s">
        <v>172</v>
      </c>
      <c r="Q50" s="161" t="s">
        <v>173</v>
      </c>
      <c r="R50" s="161" t="s">
        <v>172</v>
      </c>
      <c r="S50" s="189" t="s">
        <v>173</v>
      </c>
    </row>
    <row r="51" spans="1:19" ht="12.75" customHeight="1" thickBot="1" x14ac:dyDescent="0.3">
      <c r="A51" s="129"/>
      <c r="B51" s="129"/>
      <c r="C51" s="1213" t="s">
        <v>965</v>
      </c>
      <c r="D51" s="1214"/>
      <c r="E51" s="1215"/>
      <c r="F51" s="1225"/>
      <c r="G51" s="1226"/>
      <c r="H51" s="1226"/>
      <c r="I51" s="1226"/>
      <c r="J51" s="1226"/>
      <c r="K51" s="1226"/>
      <c r="L51" s="1226"/>
      <c r="M51" s="1226"/>
      <c r="N51" s="1226"/>
      <c r="O51" s="1226"/>
      <c r="P51" s="1226"/>
      <c r="Q51" s="1226"/>
      <c r="R51" s="1226"/>
      <c r="S51" s="1226"/>
    </row>
    <row r="52" spans="1:19" ht="12.75" customHeight="1" x14ac:dyDescent="0.25">
      <c r="B52" s="1218" t="s">
        <v>460</v>
      </c>
      <c r="C52" s="219" t="s">
        <v>941</v>
      </c>
      <c r="D52" s="245">
        <f>SUM(F52,H52,J52,L52,N52,P52,R52)</f>
        <v>0</v>
      </c>
      <c r="E52" s="220">
        <f>SUM(G52,I52,K52,M52,O52,Q52,S52)</f>
        <v>0</v>
      </c>
      <c r="F52" s="248"/>
      <c r="G52" s="249"/>
      <c r="H52" s="250"/>
      <c r="I52" s="249"/>
      <c r="J52" s="250"/>
      <c r="K52" s="249"/>
      <c r="L52" s="250"/>
      <c r="M52" s="249"/>
      <c r="N52" s="250"/>
      <c r="O52" s="249"/>
      <c r="P52" s="250"/>
      <c r="Q52" s="249"/>
      <c r="R52" s="250"/>
      <c r="S52" s="249"/>
    </row>
    <row r="53" spans="1:19" ht="12.75" customHeight="1" thickBot="1" x14ac:dyDescent="0.3">
      <c r="B53" s="1219"/>
      <c r="C53" s="196" t="s">
        <v>942</v>
      </c>
      <c r="D53" s="246">
        <f>SUM(F53,H53,J53,L53,N53,P53,R53)</f>
        <v>0</v>
      </c>
      <c r="E53" s="247">
        <f>SUM(G53,I53,K53,M53,O53,Q53,S53)</f>
        <v>0</v>
      </c>
      <c r="F53" s="251"/>
      <c r="G53" s="252"/>
      <c r="H53" s="253"/>
      <c r="I53" s="252"/>
      <c r="J53" s="253"/>
      <c r="K53" s="252"/>
      <c r="L53" s="253"/>
      <c r="M53" s="252"/>
      <c r="N53" s="253"/>
      <c r="O53" s="252"/>
      <c r="P53" s="253"/>
      <c r="Q53" s="252"/>
      <c r="R53" s="253"/>
      <c r="S53" s="252"/>
    </row>
    <row r="54" spans="1:19" ht="12.75" customHeight="1" thickBot="1" x14ac:dyDescent="0.3">
      <c r="A54" s="157"/>
      <c r="B54" s="1220"/>
      <c r="C54" s="222" t="s">
        <v>943</v>
      </c>
      <c r="D54" s="223">
        <f>SUM(D52:D53)</f>
        <v>0</v>
      </c>
      <c r="E54" s="224">
        <f>SUM(E52:E53)</f>
        <v>0</v>
      </c>
      <c r="F54" s="1210"/>
      <c r="G54" s="1211"/>
      <c r="H54" s="1211"/>
      <c r="I54" s="1211"/>
      <c r="J54" s="1211"/>
      <c r="K54" s="1211"/>
      <c r="L54" s="1211"/>
      <c r="M54" s="1211"/>
      <c r="N54" s="1211"/>
      <c r="O54" s="1211"/>
      <c r="P54" s="1211"/>
      <c r="Q54" s="1211"/>
      <c r="R54" s="1211"/>
      <c r="S54" s="1212"/>
    </row>
    <row r="55" spans="1:19" ht="2.25" customHeight="1" thickTop="1" thickBot="1" x14ac:dyDescent="0.3">
      <c r="A55" s="157"/>
      <c r="B55" s="157"/>
      <c r="C55" s="1201"/>
      <c r="D55" s="1202"/>
      <c r="E55" s="1203"/>
      <c r="F55" s="254"/>
      <c r="G55" s="255"/>
      <c r="H55" s="255"/>
      <c r="I55" s="255"/>
      <c r="J55" s="255"/>
      <c r="K55" s="255"/>
      <c r="L55" s="255"/>
      <c r="M55" s="255"/>
      <c r="N55" s="255"/>
      <c r="O55" s="255"/>
      <c r="P55" s="255"/>
      <c r="Q55" s="255"/>
      <c r="R55" s="255"/>
      <c r="S55" s="255"/>
    </row>
    <row r="56" spans="1:19" ht="12.75" customHeight="1" thickBot="1" x14ac:dyDescent="0.3">
      <c r="A56" s="129"/>
      <c r="B56" s="129"/>
      <c r="C56" s="1213" t="s">
        <v>966</v>
      </c>
      <c r="D56" s="1214"/>
      <c r="E56" s="1215"/>
      <c r="F56" s="1216"/>
      <c r="G56" s="1217"/>
      <c r="H56" s="1217"/>
      <c r="I56" s="1217"/>
      <c r="J56" s="1217"/>
      <c r="K56" s="1217"/>
      <c r="L56" s="1217"/>
      <c r="M56" s="1217"/>
      <c r="N56" s="1217"/>
      <c r="O56" s="1217"/>
      <c r="P56" s="1217"/>
      <c r="Q56" s="1217"/>
      <c r="R56" s="1217"/>
      <c r="S56" s="1217"/>
    </row>
    <row r="57" spans="1:19" ht="12.75" customHeight="1" x14ac:dyDescent="0.25">
      <c r="B57" s="1218" t="s">
        <v>461</v>
      </c>
      <c r="C57" s="219" t="s">
        <v>941</v>
      </c>
      <c r="D57" s="245">
        <f>SUM(F57,H57,J57,L57,N57,P57,R57)</f>
        <v>0</v>
      </c>
      <c r="E57" s="220">
        <f>SUM(G57,I57,K57,M57,O57,Q57,S57)</f>
        <v>0</v>
      </c>
      <c r="F57" s="248"/>
      <c r="G57" s="249"/>
      <c r="H57" s="250"/>
      <c r="I57" s="249"/>
      <c r="J57" s="250"/>
      <c r="K57" s="249"/>
      <c r="L57" s="250"/>
      <c r="M57" s="249"/>
      <c r="N57" s="250"/>
      <c r="O57" s="249"/>
      <c r="P57" s="250"/>
      <c r="Q57" s="249"/>
      <c r="R57" s="250"/>
      <c r="S57" s="249"/>
    </row>
    <row r="58" spans="1:19" ht="12.75" customHeight="1" thickBot="1" x14ac:dyDescent="0.3">
      <c r="B58" s="1219"/>
      <c r="C58" s="196" t="s">
        <v>942</v>
      </c>
      <c r="D58" s="246">
        <f>SUM(F58,H58,J58,L58,N58,P58,R58)</f>
        <v>0</v>
      </c>
      <c r="E58" s="247">
        <f>SUM(G58,I58,K58,M58,O58,Q58,S58)</f>
        <v>0</v>
      </c>
      <c r="F58" s="251"/>
      <c r="G58" s="252"/>
      <c r="H58" s="253"/>
      <c r="I58" s="252"/>
      <c r="J58" s="253"/>
      <c r="K58" s="252"/>
      <c r="L58" s="253"/>
      <c r="M58" s="252"/>
      <c r="N58" s="253"/>
      <c r="O58" s="252"/>
      <c r="P58" s="253"/>
      <c r="Q58" s="252"/>
      <c r="R58" s="253"/>
      <c r="S58" s="252"/>
    </row>
    <row r="59" spans="1:19" ht="12.75" customHeight="1" thickBot="1" x14ac:dyDescent="0.3">
      <c r="A59" s="157"/>
      <c r="B59" s="1220"/>
      <c r="C59" s="222" t="s">
        <v>943</v>
      </c>
      <c r="D59" s="223">
        <f>SUM(D57:D58)</f>
        <v>0</v>
      </c>
      <c r="E59" s="224">
        <f>SUM(E57:E58)</f>
        <v>0</v>
      </c>
      <c r="F59" s="1210"/>
      <c r="G59" s="1211"/>
      <c r="H59" s="1211"/>
      <c r="I59" s="1211"/>
      <c r="J59" s="1211"/>
      <c r="K59" s="1211"/>
      <c r="L59" s="1211"/>
      <c r="M59" s="1211"/>
      <c r="N59" s="1211"/>
      <c r="O59" s="1211"/>
      <c r="P59" s="1211"/>
      <c r="Q59" s="1211"/>
      <c r="R59" s="1211"/>
      <c r="S59" s="1212"/>
    </row>
    <row r="60" spans="1:19" ht="2.25" customHeight="1" thickTop="1" thickBot="1" x14ac:dyDescent="0.3">
      <c r="A60" s="157"/>
      <c r="B60" s="157"/>
      <c r="C60" s="1201"/>
      <c r="D60" s="1202"/>
      <c r="E60" s="1203"/>
      <c r="F60" s="254"/>
      <c r="G60" s="255"/>
      <c r="H60" s="255"/>
      <c r="I60" s="255"/>
      <c r="J60" s="255"/>
      <c r="K60" s="255"/>
      <c r="L60" s="255"/>
      <c r="M60" s="255"/>
      <c r="N60" s="255"/>
      <c r="O60" s="255"/>
      <c r="P60" s="255"/>
      <c r="Q60" s="255"/>
      <c r="R60" s="255"/>
      <c r="S60" s="255"/>
    </row>
    <row r="61" spans="1:19" ht="12.75" customHeight="1" thickBot="1" x14ac:dyDescent="0.3">
      <c r="A61" s="129"/>
      <c r="B61" s="129"/>
      <c r="C61" s="1213" t="s">
        <v>967</v>
      </c>
      <c r="D61" s="1214"/>
      <c r="E61" s="1215"/>
      <c r="F61" s="1216"/>
      <c r="G61" s="1217"/>
      <c r="H61" s="1217"/>
      <c r="I61" s="1217"/>
      <c r="J61" s="1217"/>
      <c r="K61" s="1217"/>
      <c r="L61" s="1217"/>
      <c r="M61" s="1217"/>
      <c r="N61" s="1217"/>
      <c r="O61" s="1217"/>
      <c r="P61" s="1217"/>
      <c r="Q61" s="1217"/>
      <c r="R61" s="1217"/>
      <c r="S61" s="1217"/>
    </row>
    <row r="62" spans="1:19" ht="12.75" customHeight="1" x14ac:dyDescent="0.25">
      <c r="B62" s="1218" t="s">
        <v>463</v>
      </c>
      <c r="C62" s="219" t="s">
        <v>941</v>
      </c>
      <c r="D62" s="245">
        <f>SUM(F62,H62,J62,L62,N62,P62,R62)</f>
        <v>0</v>
      </c>
      <c r="E62" s="220">
        <f>SUM(G62,I62,K62,M62,O62,Q62,S62)</f>
        <v>0</v>
      </c>
      <c r="F62" s="248"/>
      <c r="G62" s="249"/>
      <c r="H62" s="250"/>
      <c r="I62" s="249"/>
      <c r="J62" s="250"/>
      <c r="K62" s="249"/>
      <c r="L62" s="250"/>
      <c r="M62" s="249"/>
      <c r="N62" s="250"/>
      <c r="O62" s="249"/>
      <c r="P62" s="250"/>
      <c r="Q62" s="249"/>
      <c r="R62" s="250"/>
      <c r="S62" s="249"/>
    </row>
    <row r="63" spans="1:19" ht="12.75" customHeight="1" thickBot="1" x14ac:dyDescent="0.3">
      <c r="B63" s="1219"/>
      <c r="C63" s="196" t="s">
        <v>942</v>
      </c>
      <c r="D63" s="246">
        <f>SUM(F63,H63,J63,L63,N63,P63,R63)</f>
        <v>0</v>
      </c>
      <c r="E63" s="247">
        <f>SUM(G63,I63,K63,M63,O63,Q63,S63)</f>
        <v>0</v>
      </c>
      <c r="F63" s="251"/>
      <c r="G63" s="252"/>
      <c r="H63" s="253"/>
      <c r="I63" s="252"/>
      <c r="J63" s="253"/>
      <c r="K63" s="252"/>
      <c r="L63" s="253"/>
      <c r="M63" s="252"/>
      <c r="N63" s="253"/>
      <c r="O63" s="252"/>
      <c r="P63" s="253"/>
      <c r="Q63" s="252"/>
      <c r="R63" s="253"/>
      <c r="S63" s="252"/>
    </row>
    <row r="64" spans="1:19" ht="12.75" customHeight="1" thickBot="1" x14ac:dyDescent="0.3">
      <c r="A64" s="157"/>
      <c r="B64" s="1220"/>
      <c r="C64" s="222" t="s">
        <v>943</v>
      </c>
      <c r="D64" s="223">
        <f>SUM(D62:D63)</f>
        <v>0</v>
      </c>
      <c r="E64" s="224">
        <f>SUM(E62:E63)</f>
        <v>0</v>
      </c>
      <c r="F64" s="1210"/>
      <c r="G64" s="1211"/>
      <c r="H64" s="1211"/>
      <c r="I64" s="1211"/>
      <c r="J64" s="1211"/>
      <c r="K64" s="1211"/>
      <c r="L64" s="1211"/>
      <c r="M64" s="1211"/>
      <c r="N64" s="1211"/>
      <c r="O64" s="1211"/>
      <c r="P64" s="1211"/>
      <c r="Q64" s="1211"/>
      <c r="R64" s="1211"/>
      <c r="S64" s="1212"/>
    </row>
    <row r="65" spans="1:26" ht="2.25" customHeight="1" thickTop="1" thickBot="1" x14ac:dyDescent="0.3">
      <c r="A65" s="157"/>
      <c r="B65" s="157"/>
      <c r="C65" s="1201"/>
      <c r="D65" s="1202"/>
      <c r="E65" s="1203"/>
      <c r="F65" s="254"/>
      <c r="G65" s="255"/>
      <c r="H65" s="255"/>
      <c r="I65" s="255"/>
      <c r="J65" s="255"/>
      <c r="K65" s="255"/>
      <c r="L65" s="255"/>
      <c r="M65" s="255"/>
      <c r="N65" s="255"/>
      <c r="O65" s="255"/>
      <c r="P65" s="255"/>
      <c r="Q65" s="255"/>
      <c r="R65" s="255"/>
      <c r="S65" s="255"/>
    </row>
    <row r="66" spans="1:26" ht="12.75" customHeight="1" x14ac:dyDescent="0.25">
      <c r="B66" s="1204"/>
      <c r="C66" s="1206" t="s">
        <v>236</v>
      </c>
      <c r="D66" s="1207"/>
      <c r="E66" s="220">
        <f>SUM(F66:S67)</f>
        <v>0</v>
      </c>
      <c r="F66" s="256"/>
      <c r="G66" s="257"/>
      <c r="H66" s="257"/>
      <c r="I66" s="257"/>
      <c r="J66" s="257"/>
      <c r="K66" s="257"/>
      <c r="L66" s="257"/>
      <c r="M66" s="257"/>
      <c r="N66" s="257"/>
      <c r="O66" s="257"/>
      <c r="P66" s="257"/>
      <c r="Q66" s="257"/>
      <c r="R66" s="257"/>
      <c r="S66" s="257"/>
    </row>
    <row r="67" spans="1:26" ht="12.75" customHeight="1" thickBot="1" x14ac:dyDescent="0.3">
      <c r="B67" s="1205"/>
      <c r="C67" s="1208"/>
      <c r="D67" s="1209"/>
      <c r="E67" s="221"/>
      <c r="F67" s="251"/>
      <c r="G67" s="258"/>
      <c r="H67" s="258"/>
      <c r="I67" s="258"/>
      <c r="J67" s="258"/>
      <c r="K67" s="258"/>
      <c r="L67" s="258"/>
      <c r="M67" s="258"/>
      <c r="N67" s="258"/>
      <c r="O67" s="258"/>
      <c r="P67" s="258"/>
      <c r="Q67" s="258"/>
      <c r="R67" s="258"/>
      <c r="S67" s="258"/>
    </row>
    <row r="68" spans="1:26" ht="18.75" customHeight="1" thickBot="1" x14ac:dyDescent="0.3">
      <c r="A68" s="231"/>
      <c r="B68" s="227"/>
      <c r="C68" s="227" t="s">
        <v>1201</v>
      </c>
      <c r="D68" s="228"/>
      <c r="E68" s="229">
        <f>E54+E59+E64</f>
        <v>0</v>
      </c>
      <c r="F68" s="230"/>
      <c r="G68" s="230"/>
      <c r="H68" s="230"/>
      <c r="I68" s="230"/>
      <c r="J68" s="230"/>
      <c r="K68" s="230"/>
      <c r="L68" s="230"/>
      <c r="M68" s="230"/>
      <c r="N68" s="230"/>
      <c r="O68" s="230"/>
      <c r="P68" s="230"/>
      <c r="Q68" s="230"/>
      <c r="R68" s="230"/>
      <c r="S68" s="230"/>
    </row>
    <row r="69" spans="1:26" ht="2.25" customHeight="1" thickTop="1" thickBot="1" x14ac:dyDescent="0.3">
      <c r="A69" s="157"/>
      <c r="B69" s="157"/>
      <c r="C69" s="1201"/>
      <c r="D69" s="1202"/>
      <c r="E69" s="1203"/>
      <c r="F69" s="225"/>
      <c r="G69" s="226"/>
      <c r="H69" s="226"/>
      <c r="I69" s="226"/>
      <c r="J69" s="226"/>
      <c r="K69" s="226"/>
      <c r="L69" s="226"/>
      <c r="M69" s="226"/>
      <c r="N69" s="226"/>
      <c r="O69" s="226"/>
      <c r="P69" s="226"/>
      <c r="Q69" s="226"/>
      <c r="R69" s="226"/>
      <c r="S69" s="226"/>
    </row>
    <row r="70" spans="1:26" ht="20.25" customHeight="1" thickBot="1" x14ac:dyDescent="0.3">
      <c r="B70" s="232"/>
      <c r="C70" s="232" t="s">
        <v>54</v>
      </c>
      <c r="D70" s="228">
        <f>D48-D68</f>
        <v>0</v>
      </c>
      <c r="E70" s="260">
        <f>E68-E48</f>
        <v>0</v>
      </c>
      <c r="F70" s="259">
        <f>IFERROR(E70/E48,0)</f>
        <v>0</v>
      </c>
      <c r="G70" s="158"/>
      <c r="H70" s="158"/>
      <c r="I70" s="158"/>
      <c r="J70" s="158"/>
      <c r="K70" s="233"/>
      <c r="L70" s="158"/>
      <c r="M70" s="158"/>
      <c r="N70" s="158"/>
      <c r="O70" s="158"/>
      <c r="P70" s="158"/>
      <c r="Q70" s="158"/>
      <c r="R70" s="158"/>
      <c r="S70" s="158"/>
    </row>
    <row r="73" spans="1:26" s="6" customFormat="1" ht="15" customHeight="1" x14ac:dyDescent="0.25"/>
    <row r="74" spans="1:26" ht="15" customHeight="1" x14ac:dyDescent="0.25">
      <c r="G74" s="1002"/>
      <c r="H74" s="1002"/>
      <c r="I74" s="1003"/>
      <c r="L74" s="1004"/>
      <c r="Z74" s="1002"/>
    </row>
    <row r="75" spans="1:26" ht="15" customHeight="1" x14ac:dyDescent="0.25">
      <c r="G75" s="1002"/>
      <c r="H75" s="1002"/>
      <c r="I75" s="1003"/>
      <c r="L75" s="1004"/>
      <c r="Z75" s="1002"/>
    </row>
    <row r="76" spans="1:26" ht="15" customHeight="1" x14ac:dyDescent="0.25">
      <c r="G76" s="1002"/>
      <c r="H76" s="1002"/>
      <c r="I76" s="1003"/>
      <c r="L76" s="1004"/>
      <c r="Z76" s="1002"/>
    </row>
    <row r="77" spans="1:26" ht="15" customHeight="1" x14ac:dyDescent="0.25">
      <c r="G77" s="1002"/>
      <c r="H77" s="1002"/>
      <c r="I77" s="1003"/>
      <c r="L77" s="1004"/>
      <c r="Z77" s="1002"/>
    </row>
    <row r="78" spans="1:26" ht="15" customHeight="1" x14ac:dyDescent="0.25">
      <c r="G78" s="1002"/>
      <c r="H78" s="1002"/>
      <c r="I78" s="1003"/>
      <c r="L78" s="1004"/>
      <c r="Z78" s="1002"/>
    </row>
    <row r="79" spans="1:26" ht="15" customHeight="1" x14ac:dyDescent="0.25">
      <c r="G79" s="1002"/>
      <c r="H79" s="1002"/>
      <c r="I79" s="1003"/>
      <c r="L79" s="1004"/>
      <c r="Z79" s="1002"/>
    </row>
    <row r="80" spans="1:26" ht="15" customHeight="1" x14ac:dyDescent="0.25">
      <c r="G80" s="1002"/>
      <c r="H80" s="1002"/>
      <c r="I80" s="1003"/>
      <c r="L80" s="1004"/>
      <c r="Z80" s="1002"/>
    </row>
    <row r="81" spans="7:26" ht="15" customHeight="1" x14ac:dyDescent="0.25">
      <c r="G81" s="1002"/>
      <c r="H81" s="1002"/>
      <c r="I81" s="1003"/>
      <c r="L81" s="1004"/>
      <c r="Z81" s="1002"/>
    </row>
    <row r="82" spans="7:26" ht="15" customHeight="1" x14ac:dyDescent="0.25">
      <c r="G82" s="1002"/>
      <c r="H82" s="1002"/>
      <c r="I82" s="1003"/>
      <c r="L82" s="1004"/>
      <c r="Z82" s="1002"/>
    </row>
    <row r="83" spans="7:26" ht="15" customHeight="1" x14ac:dyDescent="0.25">
      <c r="G83" s="1002"/>
      <c r="H83" s="1002"/>
      <c r="I83" s="1003"/>
      <c r="L83" s="1004"/>
      <c r="Z83" s="1002"/>
    </row>
    <row r="84" spans="7:26" ht="15" customHeight="1" x14ac:dyDescent="0.25">
      <c r="G84" s="1002"/>
      <c r="H84" s="1002"/>
      <c r="I84" s="1003"/>
      <c r="L84" s="1004"/>
      <c r="Z84" s="1002"/>
    </row>
    <row r="85" spans="7:26" ht="15" customHeight="1" x14ac:dyDescent="0.25">
      <c r="G85" s="1002"/>
      <c r="H85" s="1002"/>
      <c r="I85" s="1003"/>
      <c r="L85" s="1004"/>
      <c r="Z85" s="1002"/>
    </row>
    <row r="86" spans="7:26" ht="15" customHeight="1" x14ac:dyDescent="0.25">
      <c r="G86" s="1002"/>
      <c r="H86" s="1002"/>
      <c r="I86" s="1003"/>
      <c r="L86" s="1004"/>
      <c r="Z86" s="1002"/>
    </row>
    <row r="87" spans="7:26" ht="15" customHeight="1" x14ac:dyDescent="0.25">
      <c r="G87" s="1002"/>
      <c r="H87" s="1002"/>
      <c r="I87" s="1003"/>
      <c r="L87" s="1004"/>
      <c r="Z87" s="1002"/>
    </row>
  </sheetData>
  <sheetProtection autoFilter="0"/>
  <mergeCells count="46">
    <mergeCell ref="F51:S51"/>
    <mergeCell ref="B39:E39"/>
    <mergeCell ref="C26:E26"/>
    <mergeCell ref="C27:E27"/>
    <mergeCell ref="C35:E35"/>
    <mergeCell ref="F27:S27"/>
    <mergeCell ref="B28:B30"/>
    <mergeCell ref="C31:E31"/>
    <mergeCell ref="C51:E51"/>
    <mergeCell ref="B32:B33"/>
    <mergeCell ref="C32:D33"/>
    <mergeCell ref="F30:S30"/>
    <mergeCell ref="B42:B47"/>
    <mergeCell ref="F48:S49"/>
    <mergeCell ref="C49:E49"/>
    <mergeCell ref="D2:E2"/>
    <mergeCell ref="F14:S15"/>
    <mergeCell ref="F25:S25"/>
    <mergeCell ref="F20:S20"/>
    <mergeCell ref="F17:S17"/>
    <mergeCell ref="C21:E21"/>
    <mergeCell ref="C22:E22"/>
    <mergeCell ref="F22:S22"/>
    <mergeCell ref="C6:E6"/>
    <mergeCell ref="C15:E15"/>
    <mergeCell ref="C17:E17"/>
    <mergeCell ref="B5:E5"/>
    <mergeCell ref="B18:B20"/>
    <mergeCell ref="B8:B13"/>
    <mergeCell ref="B23:B25"/>
    <mergeCell ref="B52:B54"/>
    <mergeCell ref="F54:S54"/>
    <mergeCell ref="C55:E55"/>
    <mergeCell ref="C56:E56"/>
    <mergeCell ref="F56:S56"/>
    <mergeCell ref="C65:E65"/>
    <mergeCell ref="B66:B67"/>
    <mergeCell ref="C66:D67"/>
    <mergeCell ref="C69:E69"/>
    <mergeCell ref="F59:S59"/>
    <mergeCell ref="C60:E60"/>
    <mergeCell ref="C61:E61"/>
    <mergeCell ref="F61:S61"/>
    <mergeCell ref="B62:B64"/>
    <mergeCell ref="F64:S64"/>
    <mergeCell ref="B57:B59"/>
  </mergeCell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43"/>
  <sheetViews>
    <sheetView topLeftCell="A19" workbookViewId="0">
      <selection activeCell="A36" sqref="A36"/>
    </sheetView>
  </sheetViews>
  <sheetFormatPr defaultRowHeight="15" customHeight="1" x14ac:dyDescent="0.25"/>
  <cols>
    <col min="1" max="2" width="9.140625" customWidth="1"/>
    <col min="4" max="4" width="16.140625" customWidth="1"/>
    <col min="5" max="5" width="11.140625" customWidth="1"/>
    <col min="6" max="6" width="14.7109375" customWidth="1"/>
  </cols>
  <sheetData>
    <row r="1" spans="1:7" x14ac:dyDescent="0.25">
      <c r="D1" s="26" t="str">
        <f>'Pork Breaking'!C2</f>
        <v>Date</v>
      </c>
      <c r="E1" s="9"/>
      <c r="F1" s="8"/>
    </row>
    <row r="2" spans="1:7" ht="18.75" x14ac:dyDescent="0.3">
      <c r="D2" s="25"/>
      <c r="E2" s="9"/>
      <c r="F2" s="17"/>
    </row>
    <row r="3" spans="1:7" x14ac:dyDescent="0.25">
      <c r="C3" s="23"/>
      <c r="D3" s="14" t="s">
        <v>470</v>
      </c>
      <c r="E3" s="13" t="s">
        <v>173</v>
      </c>
      <c r="F3" s="12" t="s">
        <v>467</v>
      </c>
    </row>
    <row r="4" spans="1:7" x14ac:dyDescent="0.25">
      <c r="A4" s="24" t="s">
        <v>478</v>
      </c>
      <c r="B4" s="24"/>
      <c r="C4" t="s">
        <v>409</v>
      </c>
      <c r="D4" t="s">
        <v>477</v>
      </c>
      <c r="E4" s="2" t="str">
        <f>'Pork Breaking'!C41</f>
        <v>Description</v>
      </c>
      <c r="F4" s="17">
        <v>1</v>
      </c>
    </row>
    <row r="5" spans="1:7" ht="16.5" x14ac:dyDescent="0.25">
      <c r="D5" s="20" t="s">
        <v>108</v>
      </c>
      <c r="E5" s="19" t="str">
        <f>E4</f>
        <v>Description</v>
      </c>
      <c r="F5" s="17"/>
    </row>
    <row r="6" spans="1:7" x14ac:dyDescent="0.25">
      <c r="E6" s="9"/>
      <c r="F6" s="17"/>
    </row>
    <row r="7" spans="1:7" x14ac:dyDescent="0.25">
      <c r="C7" s="23"/>
      <c r="D7" s="14" t="s">
        <v>468</v>
      </c>
      <c r="E7" s="13" t="s">
        <v>173</v>
      </c>
      <c r="F7" s="12" t="s">
        <v>467</v>
      </c>
    </row>
    <row r="8" spans="1:7" x14ac:dyDescent="0.25">
      <c r="C8" t="s">
        <v>460</v>
      </c>
      <c r="D8" t="s">
        <v>472</v>
      </c>
      <c r="E8" s="2" t="e">
        <f>+E4*G8</f>
        <v>#VALUE!</v>
      </c>
      <c r="F8" s="10" t="e">
        <f>E8/$E$5</f>
        <v>#VALUE!</v>
      </c>
      <c r="G8" s="22">
        <v>0.2802</v>
      </c>
    </row>
    <row r="9" spans="1:7" x14ac:dyDescent="0.25">
      <c r="C9" t="s">
        <v>463</v>
      </c>
      <c r="D9" t="s">
        <v>476</v>
      </c>
      <c r="E9" s="2" t="e">
        <f>E4*G9</f>
        <v>#VALUE!</v>
      </c>
      <c r="F9" s="10" t="e">
        <f>E9/$E$5</f>
        <v>#VALUE!</v>
      </c>
      <c r="G9" s="22">
        <v>0.36499999999999999</v>
      </c>
    </row>
    <row r="10" spans="1:7" x14ac:dyDescent="0.25">
      <c r="C10" t="s">
        <v>461</v>
      </c>
      <c r="D10" t="s">
        <v>462</v>
      </c>
      <c r="E10" s="2" t="e">
        <f>+E4*G10</f>
        <v>#VALUE!</v>
      </c>
      <c r="F10" s="10" t="e">
        <f>E10/$E$5</f>
        <v>#VALUE!</v>
      </c>
      <c r="G10" s="22">
        <v>0.30890000000000001</v>
      </c>
    </row>
    <row r="11" spans="1:7" x14ac:dyDescent="0.25">
      <c r="C11" t="s">
        <v>55</v>
      </c>
      <c r="D11" t="s">
        <v>475</v>
      </c>
      <c r="E11" s="27" t="e">
        <f>F11*E4</f>
        <v>#VALUE!</v>
      </c>
      <c r="F11" s="10">
        <v>4.4692737430167603E-3</v>
      </c>
    </row>
    <row r="12" spans="1:7" x14ac:dyDescent="0.25">
      <c r="C12" t="s">
        <v>296</v>
      </c>
      <c r="D12" t="s">
        <v>236</v>
      </c>
      <c r="E12" s="27" t="e">
        <f>F12*E5</f>
        <v>#VALUE!</v>
      </c>
      <c r="F12" s="10">
        <v>1.1731843575418994E-2</v>
      </c>
    </row>
    <row r="13" spans="1:7" x14ac:dyDescent="0.25">
      <c r="D13" t="s">
        <v>246</v>
      </c>
      <c r="E13" s="9"/>
      <c r="F13" s="10" t="e">
        <f>E13/$E$5</f>
        <v>#VALUE!</v>
      </c>
    </row>
    <row r="14" spans="1:7" ht="17.25" x14ac:dyDescent="0.3">
      <c r="C14" s="20"/>
      <c r="D14" s="20" t="s">
        <v>108</v>
      </c>
      <c r="E14" s="19" t="e">
        <f>SUM(E8:E13)</f>
        <v>#VALUE!</v>
      </c>
      <c r="F14" s="21" t="e">
        <f>SUM(F8:F13)</f>
        <v>#VALUE!</v>
      </c>
    </row>
    <row r="15" spans="1:7" ht="17.25" x14ac:dyDescent="0.3">
      <c r="C15" s="20"/>
      <c r="D15" s="20"/>
      <c r="E15" s="19"/>
      <c r="F15" s="18"/>
    </row>
    <row r="16" spans="1:7" x14ac:dyDescent="0.25">
      <c r="D16" s="14" t="s">
        <v>470</v>
      </c>
      <c r="E16" s="13" t="s">
        <v>173</v>
      </c>
      <c r="F16" s="12" t="s">
        <v>467</v>
      </c>
      <c r="G16" t="s">
        <v>474</v>
      </c>
    </row>
    <row r="17" spans="1:7" x14ac:dyDescent="0.25">
      <c r="A17" s="16" t="s">
        <v>473</v>
      </c>
      <c r="B17" s="16"/>
      <c r="C17" s="6" t="s">
        <v>460</v>
      </c>
      <c r="D17" t="s">
        <v>472</v>
      </c>
      <c r="E17" s="15" t="e">
        <f>E8</f>
        <v>#VALUE!</v>
      </c>
      <c r="F17" s="17">
        <v>1</v>
      </c>
    </row>
    <row r="18" spans="1:7" x14ac:dyDescent="0.25">
      <c r="E18" s="9"/>
      <c r="F18" s="8"/>
    </row>
    <row r="19" spans="1:7" x14ac:dyDescent="0.25">
      <c r="D19" s="14" t="s">
        <v>468</v>
      </c>
      <c r="E19" s="13" t="s">
        <v>173</v>
      </c>
      <c r="F19" s="12" t="s">
        <v>467</v>
      </c>
    </row>
    <row r="20" spans="1:7" x14ac:dyDescent="0.25">
      <c r="C20" t="s">
        <v>465</v>
      </c>
      <c r="D20" t="s">
        <v>58</v>
      </c>
      <c r="E20" s="9" t="e">
        <f>$E$17*G20</f>
        <v>#VALUE!</v>
      </c>
      <c r="F20" s="10" t="e">
        <f>E20/$E$17</f>
        <v>#VALUE!</v>
      </c>
      <c r="G20" s="11">
        <f>61.72/100</f>
        <v>0.61719999999999997</v>
      </c>
    </row>
    <row r="21" spans="1:7" x14ac:dyDescent="0.25">
      <c r="C21" t="s">
        <v>5</v>
      </c>
      <c r="D21" t="s">
        <v>59</v>
      </c>
      <c r="E21" s="9" t="e">
        <f>$E$17*G21</f>
        <v>#VALUE!</v>
      </c>
      <c r="F21" s="10" t="e">
        <f>E21/$E$17</f>
        <v>#VALUE!</v>
      </c>
      <c r="G21" s="11">
        <f>23.72/100</f>
        <v>0.23719999999999999</v>
      </c>
    </row>
    <row r="22" spans="1:7" x14ac:dyDescent="0.25">
      <c r="C22" t="s">
        <v>6</v>
      </c>
      <c r="D22" t="s">
        <v>186</v>
      </c>
      <c r="E22" s="9" t="e">
        <f>$E$17*G22</f>
        <v>#VALUE!</v>
      </c>
      <c r="F22" s="10" t="e">
        <f>E22/$E$17</f>
        <v>#VALUE!</v>
      </c>
      <c r="G22" s="11">
        <v>0.13850000000000001</v>
      </c>
    </row>
    <row r="23" spans="1:7" x14ac:dyDescent="0.25">
      <c r="D23" t="s">
        <v>246</v>
      </c>
      <c r="E23" s="9"/>
      <c r="F23" s="10" t="e">
        <f>E23/$E$17</f>
        <v>#VALUE!</v>
      </c>
    </row>
    <row r="24" spans="1:7" x14ac:dyDescent="0.25">
      <c r="E24" s="9"/>
      <c r="F24" s="8"/>
    </row>
    <row r="25" spans="1:7" x14ac:dyDescent="0.25">
      <c r="A25" s="6"/>
      <c r="B25" s="6"/>
      <c r="D25" s="14" t="s">
        <v>470</v>
      </c>
      <c r="E25" s="13" t="s">
        <v>173</v>
      </c>
      <c r="F25" s="12" t="s">
        <v>467</v>
      </c>
    </row>
    <row r="26" spans="1:7" x14ac:dyDescent="0.25">
      <c r="A26" s="16" t="s">
        <v>471</v>
      </c>
      <c r="B26" s="16"/>
      <c r="C26" s="6" t="s">
        <v>463</v>
      </c>
      <c r="D26" t="s">
        <v>464</v>
      </c>
      <c r="E26" s="15" t="e">
        <f>E9</f>
        <v>#VALUE!</v>
      </c>
      <c r="F26" s="12"/>
    </row>
    <row r="27" spans="1:7" x14ac:dyDescent="0.25">
      <c r="E27" s="9"/>
      <c r="F27" s="8"/>
    </row>
    <row r="28" spans="1:7" x14ac:dyDescent="0.25">
      <c r="D28" s="14" t="s">
        <v>468</v>
      </c>
      <c r="E28" s="13" t="s">
        <v>173</v>
      </c>
      <c r="F28" s="12" t="s">
        <v>467</v>
      </c>
    </row>
    <row r="29" spans="1:7" x14ac:dyDescent="0.25">
      <c r="C29" t="s">
        <v>465</v>
      </c>
      <c r="D29" t="s">
        <v>58</v>
      </c>
      <c r="E29" s="9" t="e">
        <f>$E$26*G29</f>
        <v>#VALUE!</v>
      </c>
      <c r="F29" s="10" t="e">
        <f>E29/$E$26</f>
        <v>#VALUE!</v>
      </c>
      <c r="G29" s="11">
        <v>0.67379999999999995</v>
      </c>
    </row>
    <row r="30" spans="1:7" x14ac:dyDescent="0.25">
      <c r="C30" t="s">
        <v>4</v>
      </c>
      <c r="D30" t="s">
        <v>466</v>
      </c>
      <c r="E30" s="9" t="e">
        <f>$E$26*G30</f>
        <v>#VALUE!</v>
      </c>
      <c r="F30" s="10" t="e">
        <f>E30/$E$26</f>
        <v>#VALUE!</v>
      </c>
      <c r="G30" s="11">
        <v>5.2499999999999998E-2</v>
      </c>
    </row>
    <row r="31" spans="1:7" x14ac:dyDescent="0.25">
      <c r="C31" t="s">
        <v>5</v>
      </c>
      <c r="D31" t="s">
        <v>59</v>
      </c>
      <c r="E31" s="9" t="e">
        <f>$E$26*G31</f>
        <v>#VALUE!</v>
      </c>
      <c r="F31" s="10" t="e">
        <f>E31/$E$26</f>
        <v>#VALUE!</v>
      </c>
      <c r="G31" s="11">
        <v>0.12659999999999999</v>
      </c>
    </row>
    <row r="32" spans="1:7" x14ac:dyDescent="0.25">
      <c r="C32" t="s">
        <v>6</v>
      </c>
      <c r="D32" t="s">
        <v>186</v>
      </c>
      <c r="E32" s="9" t="e">
        <f>$E$26*G32</f>
        <v>#VALUE!</v>
      </c>
      <c r="F32" s="10" t="e">
        <f>E32/$E$26</f>
        <v>#VALUE!</v>
      </c>
      <c r="G32" s="11">
        <v>0.13980000000000001</v>
      </c>
    </row>
    <row r="33" spans="1:7" x14ac:dyDescent="0.25">
      <c r="D33" t="s">
        <v>246</v>
      </c>
      <c r="E33" s="9"/>
      <c r="F33" s="10" t="e">
        <f>E33/$E$26</f>
        <v>#VALUE!</v>
      </c>
    </row>
    <row r="34" spans="1:7" x14ac:dyDescent="0.25">
      <c r="E34" s="9"/>
      <c r="F34" s="8"/>
    </row>
    <row r="35" spans="1:7" x14ac:dyDescent="0.25">
      <c r="D35" s="14" t="s">
        <v>470</v>
      </c>
      <c r="E35" s="13" t="s">
        <v>173</v>
      </c>
      <c r="F35" s="12" t="s">
        <v>467</v>
      </c>
    </row>
    <row r="36" spans="1:7" x14ac:dyDescent="0.25">
      <c r="A36" s="16" t="s">
        <v>469</v>
      </c>
      <c r="B36" s="16"/>
      <c r="C36" s="6" t="s">
        <v>461</v>
      </c>
      <c r="D36" t="s">
        <v>462</v>
      </c>
      <c r="E36" s="15" t="e">
        <f>E10</f>
        <v>#VALUE!</v>
      </c>
      <c r="F36" s="12"/>
    </row>
    <row r="37" spans="1:7" x14ac:dyDescent="0.25">
      <c r="E37" s="9"/>
      <c r="F37" s="8"/>
    </row>
    <row r="38" spans="1:7" x14ac:dyDescent="0.25">
      <c r="D38" s="14" t="s">
        <v>468</v>
      </c>
      <c r="E38" s="13" t="s">
        <v>173</v>
      </c>
      <c r="F38" s="12" t="s">
        <v>467</v>
      </c>
    </row>
    <row r="39" spans="1:7" x14ac:dyDescent="0.25">
      <c r="C39" t="s">
        <v>465</v>
      </c>
      <c r="D39" t="s">
        <v>58</v>
      </c>
      <c r="E39" s="9" t="e">
        <f>$E$36*G39</f>
        <v>#VALUE!</v>
      </c>
      <c r="F39" s="10" t="e">
        <f>E39/$E$36</f>
        <v>#VALUE!</v>
      </c>
      <c r="G39" s="11">
        <v>0.53669999999999995</v>
      </c>
    </row>
    <row r="40" spans="1:7" x14ac:dyDescent="0.25">
      <c r="C40" t="s">
        <v>4</v>
      </c>
      <c r="D40" t="s">
        <v>466</v>
      </c>
      <c r="E40" s="9" t="e">
        <f>$E$36*G40</f>
        <v>#VALUE!</v>
      </c>
      <c r="F40" s="10" t="e">
        <f>E40/$E$36</f>
        <v>#VALUE!</v>
      </c>
      <c r="G40" s="11">
        <v>0.1081</v>
      </c>
    </row>
    <row r="41" spans="1:7" x14ac:dyDescent="0.25">
      <c r="C41" t="s">
        <v>5</v>
      </c>
      <c r="D41" t="s">
        <v>59</v>
      </c>
      <c r="E41" s="9" t="e">
        <f>$E$36*G41</f>
        <v>#VALUE!</v>
      </c>
      <c r="F41" s="10" t="e">
        <f>E41/$E$36</f>
        <v>#VALUE!</v>
      </c>
      <c r="G41" s="11">
        <v>0.17069999999999999</v>
      </c>
    </row>
    <row r="42" spans="1:7" x14ac:dyDescent="0.25">
      <c r="C42" t="s">
        <v>6</v>
      </c>
      <c r="D42" t="s">
        <v>186</v>
      </c>
      <c r="E42" s="9" t="e">
        <f>$E$36*G42</f>
        <v>#VALUE!</v>
      </c>
      <c r="F42" s="10" t="e">
        <f>E42/$E$36</f>
        <v>#VALUE!</v>
      </c>
      <c r="G42" s="11">
        <v>0.1799</v>
      </c>
    </row>
    <row r="43" spans="1:7" x14ac:dyDescent="0.25">
      <c r="D43" t="s">
        <v>246</v>
      </c>
      <c r="E43" s="9"/>
      <c r="F43" s="10" t="e">
        <f>E43/$E$36</f>
        <v>#VALUE!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theme="0"/>
    <pageSetUpPr fitToPage="1"/>
  </sheetPr>
  <dimension ref="A1:AI62"/>
  <sheetViews>
    <sheetView showGridLines="0" topLeftCell="A37" zoomScaleNormal="100" workbookViewId="0">
      <selection activeCell="E59" sqref="E59"/>
    </sheetView>
  </sheetViews>
  <sheetFormatPr defaultRowHeight="12.75" customHeight="1" outlineLevelCol="1" x14ac:dyDescent="0.25"/>
  <cols>
    <col min="1" max="1" width="3.42578125" customWidth="1"/>
    <col min="2" max="2" width="10.42578125" bestFit="1" customWidth="1"/>
    <col min="3" max="3" width="31" bestFit="1" customWidth="1"/>
    <col min="4" max="4" width="9.85546875" style="1079" customWidth="1" outlineLevel="1"/>
    <col min="5" max="5" width="11.7109375" style="1080" customWidth="1"/>
    <col min="6" max="7" width="11.7109375" customWidth="1"/>
    <col min="8" max="35" width="6.28515625" customWidth="1"/>
  </cols>
  <sheetData>
    <row r="1" spans="1:35" ht="12.75" customHeight="1" thickBot="1" x14ac:dyDescent="0.3">
      <c r="A1" s="473"/>
      <c r="B1" s="473"/>
      <c r="C1" s="473"/>
      <c r="D1" s="1052"/>
      <c r="E1" s="1052"/>
      <c r="F1" s="473"/>
      <c r="G1" s="473"/>
      <c r="H1" s="473"/>
      <c r="I1" s="240"/>
      <c r="J1" s="497"/>
      <c r="K1" s="473"/>
      <c r="L1" s="498"/>
      <c r="M1" s="473"/>
      <c r="N1" s="498"/>
      <c r="O1" s="473"/>
      <c r="P1" s="498"/>
      <c r="Q1" s="473"/>
      <c r="R1" s="498"/>
      <c r="S1" s="473"/>
      <c r="T1" s="498"/>
      <c r="U1" s="473"/>
      <c r="V1" s="498"/>
      <c r="W1" s="473"/>
      <c r="X1" s="498"/>
      <c r="Y1" s="473"/>
      <c r="Z1" s="498"/>
      <c r="AA1" s="473"/>
      <c r="AB1" s="498"/>
      <c r="AC1" s="473"/>
      <c r="AD1" s="498"/>
      <c r="AE1" s="473"/>
      <c r="AF1" s="498"/>
      <c r="AG1" s="473"/>
      <c r="AH1" s="473"/>
      <c r="AI1" s="473"/>
    </row>
    <row r="2" spans="1:35" ht="12.75" customHeight="1" thickBot="1" x14ac:dyDescent="0.3">
      <c r="A2" s="499"/>
      <c r="B2" s="500" t="s">
        <v>0</v>
      </c>
      <c r="C2" s="501" t="str">
        <f>IF('Pork Breaking'!C2&gt;0, 'Pork Breaking'!C2," ")</f>
        <v>Date</v>
      </c>
      <c r="D2" s="1053"/>
      <c r="E2" s="1054"/>
      <c r="F2" s="503"/>
      <c r="G2" s="503"/>
      <c r="H2" s="499"/>
      <c r="I2" s="504"/>
      <c r="J2" s="505"/>
      <c r="K2" s="506"/>
      <c r="L2" s="507"/>
      <c r="M2" s="507"/>
      <c r="N2" s="507"/>
      <c r="O2" s="507"/>
      <c r="P2" s="507"/>
      <c r="Q2" s="507"/>
      <c r="R2" s="507"/>
      <c r="S2" s="499"/>
      <c r="T2" s="499"/>
      <c r="U2" s="499"/>
      <c r="V2" s="499"/>
      <c r="W2" s="499"/>
      <c r="X2" s="499"/>
      <c r="Y2" s="499"/>
      <c r="Z2" s="499"/>
      <c r="AA2" s="499"/>
      <c r="AB2" s="499"/>
      <c r="AC2" s="499"/>
      <c r="AD2" s="499"/>
      <c r="AE2" s="499"/>
      <c r="AF2" s="499"/>
      <c r="AG2" s="499"/>
      <c r="AH2" s="499"/>
      <c r="AI2" s="499"/>
    </row>
    <row r="3" spans="1:35" ht="16.5" thickBot="1" x14ac:dyDescent="0.3">
      <c r="A3" s="508"/>
      <c r="B3" s="1233" t="s">
        <v>10</v>
      </c>
      <c r="C3" s="1234"/>
      <c r="D3" s="1234"/>
      <c r="E3" s="1234"/>
      <c r="F3" s="1234"/>
      <c r="G3" s="1235"/>
      <c r="H3" s="1236" t="s">
        <v>170</v>
      </c>
      <c r="I3" s="1237"/>
      <c r="J3" s="1237"/>
      <c r="K3" s="1237"/>
      <c r="L3" s="1237"/>
      <c r="M3" s="1237"/>
      <c r="N3" s="1237"/>
      <c r="O3" s="1237"/>
      <c r="P3" s="1237"/>
      <c r="Q3" s="1237"/>
      <c r="R3" s="1237"/>
      <c r="S3" s="1237"/>
      <c r="T3" s="1237"/>
      <c r="U3" s="1237"/>
      <c r="V3" s="1237"/>
      <c r="W3" s="1237"/>
      <c r="X3" s="1237"/>
      <c r="Y3" s="1237"/>
      <c r="Z3" s="1237"/>
      <c r="AA3" s="1237"/>
      <c r="AB3" s="1237"/>
      <c r="AC3" s="1237"/>
      <c r="AD3" s="1237"/>
      <c r="AE3" s="1237"/>
      <c r="AF3" s="1237"/>
      <c r="AG3" s="1237"/>
      <c r="AH3" s="1237"/>
      <c r="AI3" s="1238"/>
    </row>
    <row r="4" spans="1:35" ht="12.75" customHeight="1" x14ac:dyDescent="0.25">
      <c r="A4" s="473"/>
      <c r="B4" s="3" t="s">
        <v>8</v>
      </c>
      <c r="C4" s="509" t="s">
        <v>168</v>
      </c>
      <c r="D4" s="1055"/>
      <c r="E4" s="1056" t="s">
        <v>11</v>
      </c>
      <c r="F4" s="5" t="s">
        <v>43</v>
      </c>
      <c r="G4" s="276" t="s">
        <v>169</v>
      </c>
      <c r="H4" s="1239"/>
      <c r="I4" s="1240"/>
      <c r="J4" s="1240"/>
      <c r="K4" s="1240"/>
      <c r="L4" s="1240"/>
      <c r="M4" s="1240"/>
      <c r="N4" s="1240"/>
      <c r="O4" s="1240"/>
      <c r="P4" s="1240"/>
      <c r="Q4" s="1240"/>
      <c r="R4" s="1240"/>
      <c r="S4" s="1240"/>
      <c r="T4" s="1240"/>
      <c r="U4" s="1240"/>
      <c r="V4" s="1240"/>
      <c r="W4" s="1240"/>
      <c r="X4" s="1240"/>
      <c r="Y4" s="1240"/>
      <c r="Z4" s="1240"/>
      <c r="AA4" s="1240"/>
      <c r="AB4" s="1240"/>
      <c r="AC4" s="1240"/>
      <c r="AD4" s="1240"/>
      <c r="AE4" s="1240"/>
      <c r="AF4" s="1240"/>
      <c r="AG4" s="1240"/>
      <c r="AH4" s="1240"/>
      <c r="AI4" s="1241"/>
    </row>
    <row r="5" spans="1:35" ht="12.75" customHeight="1" thickBot="1" x14ac:dyDescent="0.3">
      <c r="A5" s="510"/>
      <c r="B5" s="277" t="s">
        <v>62</v>
      </c>
      <c r="C5" s="511" t="s">
        <v>63</v>
      </c>
      <c r="D5" s="1057"/>
      <c r="E5" s="1058">
        <f>'Pork Breaking'!D20</f>
        <v>1108</v>
      </c>
      <c r="F5" s="512">
        <f>'Pork Breaking'!E20</f>
        <v>9953.2000000000007</v>
      </c>
      <c r="G5" s="513">
        <v>1</v>
      </c>
      <c r="H5" s="1239"/>
      <c r="I5" s="1240"/>
      <c r="J5" s="1240"/>
      <c r="K5" s="1240"/>
      <c r="L5" s="1240"/>
      <c r="M5" s="1240"/>
      <c r="N5" s="1240"/>
      <c r="O5" s="1240"/>
      <c r="P5" s="1240"/>
      <c r="Q5" s="1240"/>
      <c r="R5" s="1240"/>
      <c r="S5" s="1240"/>
      <c r="T5" s="1240"/>
      <c r="U5" s="1240"/>
      <c r="V5" s="1240"/>
      <c r="W5" s="1240"/>
      <c r="X5" s="1240"/>
      <c r="Y5" s="1240"/>
      <c r="Z5" s="1240"/>
      <c r="AA5" s="1240"/>
      <c r="AB5" s="1240"/>
      <c r="AC5" s="1240"/>
      <c r="AD5" s="1240"/>
      <c r="AE5" s="1240"/>
      <c r="AF5" s="1240"/>
      <c r="AG5" s="1240"/>
      <c r="AH5" s="1240"/>
      <c r="AI5" s="1241"/>
    </row>
    <row r="6" spans="1:35" ht="21.75" thickBot="1" x14ac:dyDescent="0.4">
      <c r="A6" s="473"/>
      <c r="B6" s="1245" t="s">
        <v>171</v>
      </c>
      <c r="C6" s="1246"/>
      <c r="D6" s="1246"/>
      <c r="E6" s="1246"/>
      <c r="F6" s="1246"/>
      <c r="G6" s="1247"/>
      <c r="H6" s="1242"/>
      <c r="I6" s="1243"/>
      <c r="J6" s="1243"/>
      <c r="K6" s="1243"/>
      <c r="L6" s="1243"/>
      <c r="M6" s="1243"/>
      <c r="N6" s="1243"/>
      <c r="O6" s="1243"/>
      <c r="P6" s="1243"/>
      <c r="Q6" s="1243"/>
      <c r="R6" s="1243"/>
      <c r="S6" s="1243"/>
      <c r="T6" s="1243"/>
      <c r="U6" s="1243"/>
      <c r="V6" s="1243"/>
      <c r="W6" s="1243"/>
      <c r="X6" s="1243"/>
      <c r="Y6" s="1243"/>
      <c r="Z6" s="1243"/>
      <c r="AA6" s="1243"/>
      <c r="AB6" s="1243"/>
      <c r="AC6" s="1243"/>
      <c r="AD6" s="1243"/>
      <c r="AE6" s="1243"/>
      <c r="AF6" s="1243"/>
      <c r="AG6" s="1243"/>
      <c r="AH6" s="1243"/>
      <c r="AI6" s="1244"/>
    </row>
    <row r="7" spans="1:35" ht="12.75" customHeight="1" thickBot="1" x14ac:dyDescent="0.3">
      <c r="A7" s="514"/>
      <c r="B7" s="515"/>
      <c r="C7" s="516"/>
      <c r="D7" s="1059" t="s">
        <v>57</v>
      </c>
      <c r="E7" s="1060" t="s">
        <v>177</v>
      </c>
      <c r="F7" s="517" t="s">
        <v>178</v>
      </c>
      <c r="G7" s="518"/>
      <c r="H7" s="519" t="s">
        <v>172</v>
      </c>
      <c r="I7" s="520" t="s">
        <v>173</v>
      </c>
      <c r="J7" s="519" t="s">
        <v>172</v>
      </c>
      <c r="K7" s="521" t="s">
        <v>173</v>
      </c>
      <c r="L7" s="522" t="s">
        <v>172</v>
      </c>
      <c r="M7" s="520" t="s">
        <v>173</v>
      </c>
      <c r="N7" s="519" t="s">
        <v>172</v>
      </c>
      <c r="O7" s="521" t="s">
        <v>173</v>
      </c>
      <c r="P7" s="522" t="s">
        <v>172</v>
      </c>
      <c r="Q7" s="520" t="s">
        <v>173</v>
      </c>
      <c r="R7" s="519" t="s">
        <v>172</v>
      </c>
      <c r="S7" s="521" t="s">
        <v>173</v>
      </c>
      <c r="T7" s="522" t="s">
        <v>172</v>
      </c>
      <c r="U7" s="520" t="s">
        <v>173</v>
      </c>
      <c r="V7" s="519" t="s">
        <v>172</v>
      </c>
      <c r="W7" s="521" t="s">
        <v>173</v>
      </c>
      <c r="X7" s="522" t="s">
        <v>172</v>
      </c>
      <c r="Y7" s="520" t="s">
        <v>173</v>
      </c>
      <c r="Z7" s="519" t="s">
        <v>172</v>
      </c>
      <c r="AA7" s="520" t="s">
        <v>173</v>
      </c>
      <c r="AB7" s="522" t="s">
        <v>172</v>
      </c>
      <c r="AC7" s="521" t="s">
        <v>173</v>
      </c>
      <c r="AD7" s="522" t="s">
        <v>172</v>
      </c>
      <c r="AE7" s="520" t="s">
        <v>173</v>
      </c>
      <c r="AF7" s="519" t="s">
        <v>172</v>
      </c>
      <c r="AG7" s="523" t="s">
        <v>173</v>
      </c>
      <c r="AH7" s="524" t="s">
        <v>172</v>
      </c>
      <c r="AI7" s="520" t="s">
        <v>173</v>
      </c>
    </row>
    <row r="8" spans="1:35" ht="12.75" customHeight="1" x14ac:dyDescent="0.25">
      <c r="A8" s="473"/>
      <c r="B8" s="525" t="s">
        <v>66</v>
      </c>
      <c r="C8" s="377" t="s">
        <v>216</v>
      </c>
      <c r="D8" s="1061">
        <f>IF(E8=0,0,_xlfn.IFNA(INDEX(NewRecipeTable[ShortCode],MATCH($B8,NewRecipeTable[Item No.],0)),))</f>
        <v>0</v>
      </c>
      <c r="E8" s="1061">
        <f>SUM(H8:H9,J8:J9,L8:L9,N8:N9,P8:P9,R8:R9,T8:T9,V8:V9,X8:X9,Z8:Z9,AB8:AB9,AD8:AD9,AF8:AF9,AH8:AH9)</f>
        <v>0</v>
      </c>
      <c r="F8" s="963">
        <f>SUM(I8:I9,K8:K9,M8:M9,O8:O9,Q8:Q9,S8:S9,U8:U9,W8:W9,Y8:Y9,AA8:AA9,AC8:AC9,AE8:AE9,AG8:AG9,AI8:AI9)</f>
        <v>0</v>
      </c>
      <c r="G8" s="989">
        <f>IFERROR(F8/$F$59,0)</f>
        <v>0</v>
      </c>
      <c r="H8" s="527">
        <f>'[4]Pork Leg Deboning'!C8</f>
        <v>0</v>
      </c>
      <c r="I8" s="528">
        <f>'[4]Pork Leg Deboning'!D8</f>
        <v>0</v>
      </c>
      <c r="J8" s="527"/>
      <c r="K8" s="529"/>
      <c r="L8" s="530"/>
      <c r="M8" s="528"/>
      <c r="N8" s="527"/>
      <c r="O8" s="529"/>
      <c r="P8" s="530"/>
      <c r="Q8" s="528"/>
      <c r="R8" s="527"/>
      <c r="S8" s="529"/>
      <c r="T8" s="530"/>
      <c r="U8" s="528"/>
      <c r="V8" s="527"/>
      <c r="W8" s="529"/>
      <c r="X8" s="530"/>
      <c r="Y8" s="528"/>
      <c r="Z8" s="527"/>
      <c r="AA8" s="528"/>
      <c r="AB8" s="530"/>
      <c r="AC8" s="529"/>
      <c r="AD8" s="530"/>
      <c r="AE8" s="528"/>
      <c r="AF8" s="527"/>
      <c r="AG8" s="528"/>
      <c r="AH8" s="527"/>
      <c r="AI8" s="528"/>
    </row>
    <row r="9" spans="1:35" ht="12.75" customHeight="1" thickBot="1" x14ac:dyDescent="0.3">
      <c r="A9" s="473"/>
      <c r="B9" s="364"/>
      <c r="C9" s="531"/>
      <c r="D9" s="1062"/>
      <c r="E9" s="1063"/>
      <c r="F9" s="660"/>
      <c r="G9" s="990"/>
      <c r="H9" s="532">
        <f>'[4]Pork Leg Deboning'!C9</f>
        <v>0</v>
      </c>
      <c r="I9" s="533">
        <f>'[4]Pork Leg Deboning'!D9</f>
        <v>0</v>
      </c>
      <c r="J9" s="532"/>
      <c r="K9" s="534"/>
      <c r="L9" s="535"/>
      <c r="M9" s="533"/>
      <c r="N9" s="532"/>
      <c r="O9" s="534"/>
      <c r="P9" s="535"/>
      <c r="Q9" s="533"/>
      <c r="R9" s="532"/>
      <c r="S9" s="534"/>
      <c r="T9" s="535"/>
      <c r="U9" s="533"/>
      <c r="V9" s="532"/>
      <c r="W9" s="534"/>
      <c r="X9" s="535"/>
      <c r="Y9" s="533"/>
      <c r="Z9" s="532"/>
      <c r="AA9" s="533"/>
      <c r="AB9" s="535"/>
      <c r="AC9" s="534"/>
      <c r="AD9" s="535"/>
      <c r="AE9" s="533"/>
      <c r="AF9" s="532"/>
      <c r="AG9" s="533"/>
      <c r="AH9" s="532"/>
      <c r="AI9" s="533"/>
    </row>
    <row r="10" spans="1:35" ht="12.75" customHeight="1" x14ac:dyDescent="0.25">
      <c r="A10" s="473"/>
      <c r="B10" s="536" t="s">
        <v>68</v>
      </c>
      <c r="C10" s="537" t="s">
        <v>69</v>
      </c>
      <c r="D10" s="1061" t="str">
        <f>IF(E10=0,0,_xlfn.IFNA(INDEX(NewRecipeTable[ShortCode],MATCH($B10,NewRecipeTable[Item No.],0)),))</f>
        <v>2B061121</v>
      </c>
      <c r="E10" s="1061">
        <f>SUM(H10:H11,J10:J11,L10:L11,N10:N11,P10:P11,R10:R11,T10:T11,V10:V11,X10:X11,Z10:Z11,AB10:AB11,AD10:AD11,AF10:AF11,AH10:AH11)</f>
        <v>10</v>
      </c>
      <c r="F10" s="963">
        <f>SUM(I10:I11,K10:K11,M10:M11,O10:O11,Q10:Q11,S10:S11,U10:U11,W10:W11,Y10:Y11,AA10:AA11,AC10:AC11,AE10:AE11,AG10:AG11,AI10:AI11)</f>
        <v>50</v>
      </c>
      <c r="G10" s="989">
        <f>IFERROR(F10/$F$59,0)</f>
        <v>5.0204835729777486E-3</v>
      </c>
      <c r="H10" s="538">
        <f>'[4]Pork Leg Deboning'!C10</f>
        <v>10</v>
      </c>
      <c r="I10" s="539">
        <f>'[4]Pork Leg Deboning'!D10</f>
        <v>50</v>
      </c>
      <c r="J10" s="538"/>
      <c r="K10" s="540"/>
      <c r="L10" s="541"/>
      <c r="M10" s="528"/>
      <c r="N10" s="538"/>
      <c r="O10" s="540"/>
      <c r="P10" s="541"/>
      <c r="Q10" s="539"/>
      <c r="R10" s="538"/>
      <c r="S10" s="540"/>
      <c r="T10" s="541"/>
      <c r="U10" s="539"/>
      <c r="V10" s="538"/>
      <c r="W10" s="540"/>
      <c r="X10" s="541"/>
      <c r="Y10" s="539"/>
      <c r="Z10" s="538"/>
      <c r="AA10" s="539"/>
      <c r="AB10" s="541"/>
      <c r="AC10" s="540"/>
      <c r="AD10" s="541"/>
      <c r="AE10" s="539"/>
      <c r="AF10" s="538"/>
      <c r="AG10" s="539"/>
      <c r="AH10" s="538"/>
      <c r="AI10" s="539"/>
    </row>
    <row r="11" spans="1:35" ht="12.75" customHeight="1" thickBot="1" x14ac:dyDescent="0.3">
      <c r="A11" s="473"/>
      <c r="B11" s="536"/>
      <c r="C11" s="537"/>
      <c r="D11" s="1064"/>
      <c r="E11" s="1065"/>
      <c r="F11" s="964"/>
      <c r="G11" s="990"/>
      <c r="H11" s="532">
        <f>'[4]Pork Leg Deboning'!C11</f>
        <v>0</v>
      </c>
      <c r="I11" s="533">
        <f>'[4]Pork Leg Deboning'!D11</f>
        <v>0</v>
      </c>
      <c r="J11" s="542"/>
      <c r="K11" s="533"/>
      <c r="L11" s="542"/>
      <c r="M11" s="533"/>
      <c r="N11" s="543"/>
      <c r="O11" s="544"/>
      <c r="P11" s="542"/>
      <c r="Q11" s="545"/>
      <c r="R11" s="543"/>
      <c r="S11" s="544"/>
      <c r="T11" s="542"/>
      <c r="U11" s="545"/>
      <c r="V11" s="543"/>
      <c r="W11" s="544"/>
      <c r="X11" s="542"/>
      <c r="Y11" s="545"/>
      <c r="Z11" s="543"/>
      <c r="AA11" s="545"/>
      <c r="AB11" s="542"/>
      <c r="AC11" s="544"/>
      <c r="AD11" s="542"/>
      <c r="AE11" s="545"/>
      <c r="AF11" s="543"/>
      <c r="AG11" s="545"/>
      <c r="AH11" s="543"/>
      <c r="AI11" s="545"/>
    </row>
    <row r="12" spans="1:35" ht="12.75" customHeight="1" x14ac:dyDescent="0.25">
      <c r="A12" s="473"/>
      <c r="B12" s="525" t="s">
        <v>72</v>
      </c>
      <c r="C12" s="377" t="s">
        <v>217</v>
      </c>
      <c r="D12" s="1061" t="str">
        <f>IF(E12=0,0,_xlfn.IFNA(INDEX(NewRecipeTable[ShortCode],MATCH($B12,NewRecipeTable[Item No.],0)),))</f>
        <v>2B051122</v>
      </c>
      <c r="E12" s="1061">
        <f>SUM(H12:H13,J12:J13,L12:L13,N12:N13,P12:P13,R12:R13,T12:T13,V12:V13,X12:X13,Z12:Z13,AB12:AB13,AD12:AD13,AF12:AF13,AH12:AH13)</f>
        <v>102</v>
      </c>
      <c r="F12" s="963">
        <f>SUM(I12:I13,K12:K13,M12:M13,O12:O13,Q12:Q13,S12:S13,U12:U13,W12:W13,Y12:Y13,AA12:AA13,AC12:AC13,AE12:AE13,AG12:AG13,AI12:AI13)</f>
        <v>715.7</v>
      </c>
      <c r="G12" s="989">
        <f>IFERROR(F12/$F$59,0)</f>
        <v>7.1863201863603496E-2</v>
      </c>
      <c r="H12" s="541">
        <f>'[4]Pork Leg Deboning'!C12</f>
        <v>102</v>
      </c>
      <c r="I12" s="539">
        <f>'[4]Pork Leg Deboning'!D12</f>
        <v>715.7</v>
      </c>
      <c r="J12" s="527"/>
      <c r="K12" s="529"/>
      <c r="L12" s="530"/>
      <c r="M12" s="528"/>
      <c r="N12" s="527"/>
      <c r="O12" s="529"/>
      <c r="P12" s="530"/>
      <c r="Q12" s="528"/>
      <c r="R12" s="527"/>
      <c r="S12" s="529"/>
      <c r="T12" s="530"/>
      <c r="U12" s="528"/>
      <c r="V12" s="527"/>
      <c r="W12" s="529"/>
      <c r="X12" s="530"/>
      <c r="Y12" s="528"/>
      <c r="Z12" s="527"/>
      <c r="AA12" s="528"/>
      <c r="AB12" s="530"/>
      <c r="AC12" s="529"/>
      <c r="AD12" s="530"/>
      <c r="AE12" s="528"/>
      <c r="AF12" s="527"/>
      <c r="AG12" s="528"/>
      <c r="AH12" s="527"/>
      <c r="AI12" s="528"/>
    </row>
    <row r="13" spans="1:35" ht="12.75" customHeight="1" thickBot="1" x14ac:dyDescent="0.3">
      <c r="A13" s="473"/>
      <c r="B13" s="364"/>
      <c r="C13" s="531"/>
      <c r="D13" s="1062"/>
      <c r="E13" s="1063"/>
      <c r="F13" s="660"/>
      <c r="G13" s="990"/>
      <c r="H13" s="532">
        <f>'[4]Pork Leg Deboning'!C13</f>
        <v>0</v>
      </c>
      <c r="I13" s="533">
        <f>'[4]Pork Leg Deboning'!D13</f>
        <v>0</v>
      </c>
      <c r="J13" s="532"/>
      <c r="K13" s="534"/>
      <c r="L13" s="535"/>
      <c r="M13" s="533"/>
      <c r="N13" s="532"/>
      <c r="O13" s="534"/>
      <c r="P13" s="535"/>
      <c r="Q13" s="533"/>
      <c r="R13" s="532"/>
      <c r="S13" s="534"/>
      <c r="T13" s="535"/>
      <c r="U13" s="533"/>
      <c r="V13" s="532"/>
      <c r="W13" s="534"/>
      <c r="X13" s="535"/>
      <c r="Y13" s="533"/>
      <c r="Z13" s="532"/>
      <c r="AA13" s="533"/>
      <c r="AB13" s="535"/>
      <c r="AC13" s="534"/>
      <c r="AD13" s="535"/>
      <c r="AE13" s="533"/>
      <c r="AF13" s="532"/>
      <c r="AG13" s="533"/>
      <c r="AH13" s="532"/>
      <c r="AI13" s="533"/>
    </row>
    <row r="14" spans="1:35" ht="12.75" hidden="1" customHeight="1" thickBot="1" x14ac:dyDescent="0.3">
      <c r="A14" s="473"/>
      <c r="B14" s="546" t="s">
        <v>72</v>
      </c>
      <c r="C14" s="547" t="s">
        <v>218</v>
      </c>
      <c r="D14" s="1061"/>
      <c r="E14" s="1061"/>
      <c r="F14" s="963"/>
      <c r="G14" s="989">
        <f>IFERROR(F14/$F$59,0)</f>
        <v>0</v>
      </c>
      <c r="H14" s="548">
        <f>'[4]Pork Leg Deboning'!C14</f>
        <v>0</v>
      </c>
      <c r="I14" s="549">
        <f>'[4]Pork Leg Deboning'!D14</f>
        <v>0</v>
      </c>
      <c r="J14" s="548"/>
      <c r="K14" s="550"/>
      <c r="L14" s="551"/>
      <c r="M14" s="549"/>
      <c r="N14" s="548"/>
      <c r="O14" s="550"/>
      <c r="P14" s="551"/>
      <c r="Q14" s="549"/>
      <c r="R14" s="548"/>
      <c r="S14" s="550"/>
      <c r="T14" s="551"/>
      <c r="U14" s="549"/>
      <c r="V14" s="548"/>
      <c r="W14" s="550"/>
      <c r="X14" s="551"/>
      <c r="Y14" s="549"/>
      <c r="Z14" s="548"/>
      <c r="AA14" s="549"/>
      <c r="AB14" s="551"/>
      <c r="AC14" s="550"/>
      <c r="AD14" s="551"/>
      <c r="AE14" s="549"/>
      <c r="AF14" s="548"/>
      <c r="AG14" s="549"/>
      <c r="AH14" s="548"/>
      <c r="AI14" s="549"/>
    </row>
    <row r="15" spans="1:35" ht="12.75" customHeight="1" x14ac:dyDescent="0.25">
      <c r="A15" s="473"/>
      <c r="B15" s="536" t="s">
        <v>74</v>
      </c>
      <c r="C15" s="537" t="s">
        <v>75</v>
      </c>
      <c r="D15" s="1061" t="str">
        <f>IF(E15=0,0,_xlfn.IFNA(INDEX(NewRecipeTable[ShortCode],MATCH($B15,NewRecipeTable[Item No.],0)),))</f>
        <v>2B041123</v>
      </c>
      <c r="E15" s="1061">
        <f>SUM(H15:H16,J15:J16,L15:L16,N15:N16,P15:P16,R15:R16,T15:T16,V15:V16,X15:X16,Z15:Z16,AB15:AB16,AD15:AD16,AF15:AF16,AH15:AH16)</f>
        <v>20</v>
      </c>
      <c r="F15" s="963">
        <f>SUM(I15:I16,K15:K16,M15:M16,O15:O16,Q15:Q16,S15:S16,U15:U16,W15:W16,Y15:Y16,AA15:AA16,AC15:AC16,AE15:AE16,AG15:AG16,AI15:AI16)</f>
        <v>103.9</v>
      </c>
      <c r="G15" s="989">
        <f>IFERROR(F15/$F$59,0)</f>
        <v>1.0432564864647763E-2</v>
      </c>
      <c r="H15" s="538">
        <f>'[4]Pork Leg Deboning'!C15</f>
        <v>20</v>
      </c>
      <c r="I15" s="539">
        <f>'[4]Pork Leg Deboning'!D15</f>
        <v>103.9</v>
      </c>
      <c r="J15" s="538"/>
      <c r="K15" s="540"/>
      <c r="L15" s="541"/>
      <c r="M15" s="528"/>
      <c r="N15" s="538"/>
      <c r="O15" s="540"/>
      <c r="P15" s="541"/>
      <c r="Q15" s="539"/>
      <c r="R15" s="538"/>
      <c r="S15" s="540"/>
      <c r="T15" s="541"/>
      <c r="U15" s="539"/>
      <c r="V15" s="538"/>
      <c r="W15" s="540"/>
      <c r="X15" s="541"/>
      <c r="Y15" s="539"/>
      <c r="Z15" s="538"/>
      <c r="AA15" s="539"/>
      <c r="AB15" s="541"/>
      <c r="AC15" s="540"/>
      <c r="AD15" s="541"/>
      <c r="AE15" s="539"/>
      <c r="AF15" s="538"/>
      <c r="AG15" s="539"/>
      <c r="AH15" s="538"/>
      <c r="AI15" s="539"/>
    </row>
    <row r="16" spans="1:35" ht="12.75" customHeight="1" thickBot="1" x14ac:dyDescent="0.3">
      <c r="A16" s="473"/>
      <c r="B16" s="536"/>
      <c r="C16" s="537"/>
      <c r="D16" s="1064"/>
      <c r="E16" s="1065"/>
      <c r="F16" s="961"/>
      <c r="G16" s="990"/>
      <c r="H16" s="532">
        <f>'[4]Pork Leg Deboning'!C16</f>
        <v>0</v>
      </c>
      <c r="I16" s="533">
        <f>'[4]Pork Leg Deboning'!D16</f>
        <v>0</v>
      </c>
      <c r="J16" s="542"/>
      <c r="K16" s="533"/>
      <c r="L16" s="542"/>
      <c r="M16" s="533"/>
      <c r="N16" s="543"/>
      <c r="O16" s="544"/>
      <c r="P16" s="542"/>
      <c r="Q16" s="545"/>
      <c r="R16" s="543"/>
      <c r="S16" s="544"/>
      <c r="T16" s="542"/>
      <c r="U16" s="545"/>
      <c r="V16" s="543"/>
      <c r="W16" s="544"/>
      <c r="X16" s="542"/>
      <c r="Y16" s="545"/>
      <c r="Z16" s="543"/>
      <c r="AA16" s="545"/>
      <c r="AB16" s="542"/>
      <c r="AC16" s="544"/>
      <c r="AD16" s="542"/>
      <c r="AE16" s="545"/>
      <c r="AF16" s="543"/>
      <c r="AG16" s="545"/>
      <c r="AH16" s="543"/>
      <c r="AI16" s="545"/>
    </row>
    <row r="17" spans="1:35" ht="12.75" customHeight="1" x14ac:dyDescent="0.25">
      <c r="A17" s="473"/>
      <c r="B17" s="525" t="s">
        <v>78</v>
      </c>
      <c r="C17" s="377" t="s">
        <v>76</v>
      </c>
      <c r="D17" s="1061">
        <f>IF(E17=0,0,_xlfn.IFNA(INDEX(NewRecipeTable[ShortCode],MATCH($B17,NewRecipeTable[Item No.],0)),))</f>
        <v>0</v>
      </c>
      <c r="E17" s="1061">
        <f>SUM(H17:H18,J17:J18,L17:L18,N17:N18,P17:P18,R17:R18,T17:T18,V17:V18,X17:X18,Z17:Z18,AB17:AB18,AD17:AD18,AF17:AF18,AH17:AH18)</f>
        <v>0</v>
      </c>
      <c r="F17" s="963">
        <f>SUM(I17:I18,K17:K18,M17:M18,O17:O18,Q17:Q18,S17:S18,U17:U18,W17:W18,Y17:Y18,AA17:AA18,AC17:AC18,AE17:AE18,AG17:AG18,AI17:AI18)</f>
        <v>0</v>
      </c>
      <c r="G17" s="989">
        <f>IFERROR(F17/$F$59,0)</f>
        <v>0</v>
      </c>
      <c r="H17" s="527">
        <f>'[4]Pork Leg Deboning'!C17</f>
        <v>0</v>
      </c>
      <c r="I17" s="528">
        <f>'[4]Pork Leg Deboning'!D17</f>
        <v>0</v>
      </c>
      <c r="J17" s="527"/>
      <c r="K17" s="529"/>
      <c r="L17" s="530"/>
      <c r="M17" s="528"/>
      <c r="N17" s="527"/>
      <c r="O17" s="529"/>
      <c r="P17" s="530"/>
      <c r="Q17" s="528"/>
      <c r="R17" s="527"/>
      <c r="S17" s="529"/>
      <c r="T17" s="530"/>
      <c r="U17" s="528"/>
      <c r="V17" s="527"/>
      <c r="W17" s="529"/>
      <c r="X17" s="530"/>
      <c r="Y17" s="528"/>
      <c r="Z17" s="527"/>
      <c r="AA17" s="528"/>
      <c r="AB17" s="530"/>
      <c r="AC17" s="529"/>
      <c r="AD17" s="530"/>
      <c r="AE17" s="528"/>
      <c r="AF17" s="527"/>
      <c r="AG17" s="528"/>
      <c r="AH17" s="527"/>
      <c r="AI17" s="528"/>
    </row>
    <row r="18" spans="1:35" ht="12.75" customHeight="1" thickBot="1" x14ac:dyDescent="0.3">
      <c r="A18" s="473"/>
      <c r="B18" s="364"/>
      <c r="C18" s="531"/>
      <c r="D18" s="1062"/>
      <c r="E18" s="1063"/>
      <c r="F18" s="660"/>
      <c r="G18" s="990"/>
      <c r="H18" s="532">
        <f>'[4]Pork Leg Deboning'!C18</f>
        <v>0</v>
      </c>
      <c r="I18" s="533">
        <f>'[4]Pork Leg Deboning'!D18</f>
        <v>0</v>
      </c>
      <c r="J18" s="532"/>
      <c r="K18" s="534"/>
      <c r="L18" s="535"/>
      <c r="M18" s="533"/>
      <c r="N18" s="532"/>
      <c r="O18" s="534"/>
      <c r="P18" s="535"/>
      <c r="Q18" s="533"/>
      <c r="R18" s="532"/>
      <c r="S18" s="534"/>
      <c r="T18" s="535"/>
      <c r="U18" s="533"/>
      <c r="V18" s="532"/>
      <c r="W18" s="534"/>
      <c r="X18" s="535"/>
      <c r="Y18" s="533"/>
      <c r="Z18" s="532"/>
      <c r="AA18" s="533"/>
      <c r="AB18" s="535"/>
      <c r="AC18" s="534"/>
      <c r="AD18" s="535"/>
      <c r="AE18" s="533"/>
      <c r="AF18" s="532"/>
      <c r="AG18" s="533"/>
      <c r="AH18" s="532"/>
      <c r="AI18" s="533"/>
    </row>
    <row r="19" spans="1:35" ht="12.75" customHeight="1" x14ac:dyDescent="0.25">
      <c r="A19" s="473"/>
      <c r="B19" s="536" t="s">
        <v>81</v>
      </c>
      <c r="C19" s="537" t="s">
        <v>219</v>
      </c>
      <c r="D19" s="1061" t="str">
        <f>IF(E19=0,0,_xlfn.IFNA(INDEX(NewRecipeTable[ShortCode],MATCH($B19,NewRecipeTable[Item No.],0)),))</f>
        <v>2B091125</v>
      </c>
      <c r="E19" s="1061">
        <f>SUM(H19:H20,J19:J20,L19:L20,N19:N20,P19:P20,R19:R20,T19:T20,V19:V20,X19:X20,Z19:Z20,AB19:AB20,AD19:AD20,AF19:AF20,AH19:AH20)</f>
        <v>53</v>
      </c>
      <c r="F19" s="963">
        <f>SUM(I19:I20,K19:K20,M19:M20,O19:O20,Q19:Q20,S19:S20,U19:U20,W19:W20,Y19:Y20,AA19:AA20,AC19:AC20,AE19:AE20,AG19:AG20,AI19:AI20)</f>
        <v>157.9</v>
      </c>
      <c r="G19" s="989">
        <f>IFERROR(F19/$F$59,0)</f>
        <v>1.5854687123463732E-2</v>
      </c>
      <c r="H19" s="527">
        <f>'[4]Pork Leg Deboning'!C19</f>
        <v>53</v>
      </c>
      <c r="I19" s="528">
        <f>'[4]Pork Leg Deboning'!D19</f>
        <v>157.9</v>
      </c>
      <c r="J19" s="527"/>
      <c r="K19" s="529"/>
      <c r="L19" s="530"/>
      <c r="M19" s="528"/>
      <c r="N19" s="527"/>
      <c r="O19" s="529"/>
      <c r="P19" s="530"/>
      <c r="Q19" s="528"/>
      <c r="R19" s="527"/>
      <c r="S19" s="529"/>
      <c r="T19" s="541"/>
      <c r="U19" s="539"/>
      <c r="V19" s="538"/>
      <c r="W19" s="540"/>
      <c r="X19" s="541"/>
      <c r="Y19" s="539"/>
      <c r="Z19" s="538"/>
      <c r="AA19" s="539"/>
      <c r="AB19" s="541"/>
      <c r="AC19" s="540"/>
      <c r="AD19" s="541"/>
      <c r="AE19" s="539"/>
      <c r="AF19" s="538"/>
      <c r="AG19" s="539"/>
      <c r="AH19" s="538"/>
      <c r="AI19" s="539"/>
    </row>
    <row r="20" spans="1:35" ht="12.75" customHeight="1" thickBot="1" x14ac:dyDescent="0.3">
      <c r="A20" s="473"/>
      <c r="B20" s="536"/>
      <c r="C20" s="537"/>
      <c r="D20" s="1064"/>
      <c r="E20" s="1064"/>
      <c r="F20" s="964"/>
      <c r="G20" s="990"/>
      <c r="H20" s="532">
        <f>'[4]Pork Leg Deboning'!C20</f>
        <v>0</v>
      </c>
      <c r="I20" s="533">
        <f>'[4]Pork Leg Deboning'!D20</f>
        <v>0</v>
      </c>
      <c r="J20" s="532"/>
      <c r="K20" s="534"/>
      <c r="L20" s="535"/>
      <c r="M20" s="533"/>
      <c r="N20" s="532"/>
      <c r="O20" s="534"/>
      <c r="P20" s="535"/>
      <c r="Q20" s="533"/>
      <c r="R20" s="532"/>
      <c r="S20" s="534"/>
      <c r="T20" s="542"/>
      <c r="U20" s="545"/>
      <c r="V20" s="543"/>
      <c r="W20" s="544"/>
      <c r="X20" s="542"/>
      <c r="Y20" s="545"/>
      <c r="Z20" s="543"/>
      <c r="AA20" s="545"/>
      <c r="AB20" s="542"/>
      <c r="AC20" s="544"/>
      <c r="AD20" s="542"/>
      <c r="AE20" s="545"/>
      <c r="AF20" s="543"/>
      <c r="AG20" s="545"/>
      <c r="AH20" s="543"/>
      <c r="AI20" s="545"/>
    </row>
    <row r="21" spans="1:35" ht="12.75" customHeight="1" x14ac:dyDescent="0.25">
      <c r="A21" s="473"/>
      <c r="B21" s="525" t="s">
        <v>83</v>
      </c>
      <c r="C21" s="377" t="s">
        <v>220</v>
      </c>
      <c r="D21" s="1061" t="str">
        <f>IF(E21=0,0,_xlfn.IFNA(INDEX(NewRecipeTable[ShortCode],MATCH($B21,NewRecipeTable[Item No.],0)),))</f>
        <v>2B021126</v>
      </c>
      <c r="E21" s="1061">
        <f>SUM(H21:H22,J21:J22,L21:L22,N21:N22,P21:P22,R21:R22,T21:T22,V21:V22,X21:X22,Z21:Z22,AB21:AB22,AD21:AD22,AF21:AF22,AH21:AH22)</f>
        <v>903</v>
      </c>
      <c r="F21" s="963">
        <f>SUM(I21:I22,K21:K22,M21:M22,O21:O22,Q21:Q22,S21:S22,U21:U22,W21:W22,Y21:Y22,AA21:AA22,AC21:AC22,AE21:AE22,AG21:AG22,AI21:AI22)</f>
        <v>5253.8</v>
      </c>
      <c r="G21" s="989">
        <f>IFERROR(F21/$F$59,0)</f>
        <v>0.52753233191421001</v>
      </c>
      <c r="H21" s="541">
        <f>'[4]Pork Leg Deboning'!C21</f>
        <v>903</v>
      </c>
      <c r="I21" s="539">
        <f>'[4]Pork Leg Deboning'!D21</f>
        <v>5253.8</v>
      </c>
      <c r="J21" s="527"/>
      <c r="K21" s="529"/>
      <c r="L21" s="530"/>
      <c r="M21" s="528"/>
      <c r="N21" s="527"/>
      <c r="O21" s="529"/>
      <c r="P21" s="530"/>
      <c r="Q21" s="528"/>
      <c r="R21" s="527"/>
      <c r="S21" s="529"/>
      <c r="T21" s="530"/>
      <c r="U21" s="528"/>
      <c r="V21" s="530"/>
      <c r="W21" s="528"/>
      <c r="X21" s="530"/>
      <c r="Y21" s="528"/>
      <c r="Z21" s="527"/>
      <c r="AA21" s="528"/>
      <c r="AB21" s="530"/>
      <c r="AC21" s="529"/>
      <c r="AD21" s="530"/>
      <c r="AE21" s="528"/>
      <c r="AF21" s="527"/>
      <c r="AG21" s="528"/>
      <c r="AH21" s="527"/>
      <c r="AI21" s="528"/>
    </row>
    <row r="22" spans="1:35" ht="12.75" customHeight="1" thickBot="1" x14ac:dyDescent="0.3">
      <c r="A22" s="473"/>
      <c r="B22" s="364"/>
      <c r="C22" s="531"/>
      <c r="D22" s="1062"/>
      <c r="E22" s="1062"/>
      <c r="F22" s="660"/>
      <c r="G22" s="990"/>
      <c r="H22" s="532">
        <f>'[4]Pork Leg Deboning'!C22</f>
        <v>0</v>
      </c>
      <c r="I22" s="533">
        <f>'[4]Pork Leg Deboning'!D22</f>
        <v>0</v>
      </c>
      <c r="J22" s="532"/>
      <c r="K22" s="534"/>
      <c r="L22" s="535"/>
      <c r="M22" s="533"/>
      <c r="N22" s="532"/>
      <c r="O22" s="534"/>
      <c r="P22" s="535"/>
      <c r="Q22" s="533"/>
      <c r="R22" s="532"/>
      <c r="S22" s="534"/>
      <c r="T22" s="535"/>
      <c r="U22" s="533"/>
      <c r="V22" s="532"/>
      <c r="W22" s="534"/>
      <c r="X22" s="535"/>
      <c r="Y22" s="533"/>
      <c r="Z22" s="532"/>
      <c r="AA22" s="533"/>
      <c r="AB22" s="535"/>
      <c r="AC22" s="534"/>
      <c r="AD22" s="535"/>
      <c r="AE22" s="533"/>
      <c r="AF22" s="532"/>
      <c r="AG22" s="533"/>
      <c r="AH22" s="532"/>
      <c r="AI22" s="533"/>
    </row>
    <row r="23" spans="1:35" ht="12.75" customHeight="1" x14ac:dyDescent="0.25">
      <c r="A23" s="473"/>
      <c r="B23" s="536" t="s">
        <v>86</v>
      </c>
      <c r="C23" s="537" t="s">
        <v>87</v>
      </c>
      <c r="D23" s="1061">
        <f>IF(E23=0,0,_xlfn.IFNA(INDEX(NewRecipeTable[ShortCode],MATCH($B23,NewRecipeTable[Item No.],0)),))</f>
        <v>0</v>
      </c>
      <c r="E23" s="1061">
        <f>SUM(H23:H24,J23:J24,L23:L24,N23:N24,P23:P24,R23:R24,T23:T24,V23:V24,X23:X24,Z23:Z24,AB23:AB24,AD23:AD24,AF23:AF24,AH23:AH24)</f>
        <v>0</v>
      </c>
      <c r="F23" s="963">
        <f>SUM(I23:I24,K23:K24,M23:M24,O23:O24,Q23:Q24,S23:S24,U23:U24,W23:W24,Y23:Y24,AA23:AA24,AC23:AC24,AE23:AE24,AG23:AG24,AI23:AI24)</f>
        <v>0</v>
      </c>
      <c r="G23" s="989">
        <f>IFERROR(F23/$F$59,0)</f>
        <v>0</v>
      </c>
      <c r="H23" s="538">
        <f>'[4]Pork Leg Deboning'!C23</f>
        <v>0</v>
      </c>
      <c r="I23" s="539">
        <f>'[4]Pork Leg Deboning'!D23</f>
        <v>0</v>
      </c>
      <c r="J23" s="538"/>
      <c r="K23" s="540"/>
      <c r="L23" s="541"/>
      <c r="M23" s="539"/>
      <c r="N23" s="538"/>
      <c r="O23" s="540"/>
      <c r="P23" s="541"/>
      <c r="Q23" s="539"/>
      <c r="R23" s="538"/>
      <c r="S23" s="540"/>
      <c r="T23" s="541"/>
      <c r="U23" s="539"/>
      <c r="V23" s="538"/>
      <c r="W23" s="540"/>
      <c r="X23" s="541"/>
      <c r="Y23" s="539"/>
      <c r="Z23" s="538"/>
      <c r="AA23" s="539"/>
      <c r="AB23" s="541"/>
      <c r="AC23" s="540"/>
      <c r="AD23" s="541"/>
      <c r="AE23" s="539"/>
      <c r="AF23" s="538"/>
      <c r="AG23" s="539"/>
      <c r="AH23" s="538"/>
      <c r="AI23" s="539"/>
    </row>
    <row r="24" spans="1:35" ht="12.75" customHeight="1" thickBot="1" x14ac:dyDescent="0.3">
      <c r="A24" s="473"/>
      <c r="B24" s="536"/>
      <c r="C24" s="537"/>
      <c r="D24" s="1064"/>
      <c r="E24" s="1064"/>
      <c r="F24" s="964"/>
      <c r="G24" s="990"/>
      <c r="H24" s="543">
        <f>'[4]Pork Leg Deboning'!C24</f>
        <v>0</v>
      </c>
      <c r="I24" s="545">
        <f>'[4]Pork Leg Deboning'!D24</f>
        <v>0</v>
      </c>
      <c r="J24" s="543"/>
      <c r="K24" s="544"/>
      <c r="L24" s="542"/>
      <c r="M24" s="545"/>
      <c r="N24" s="543"/>
      <c r="O24" s="544"/>
      <c r="P24" s="542"/>
      <c r="Q24" s="545"/>
      <c r="R24" s="543"/>
      <c r="S24" s="544"/>
      <c r="T24" s="542"/>
      <c r="U24" s="545"/>
      <c r="V24" s="543"/>
      <c r="W24" s="544"/>
      <c r="X24" s="542"/>
      <c r="Y24" s="545"/>
      <c r="Z24" s="543"/>
      <c r="AA24" s="545"/>
      <c r="AB24" s="542"/>
      <c r="AC24" s="544"/>
      <c r="AD24" s="542"/>
      <c r="AE24" s="545"/>
      <c r="AF24" s="543"/>
      <c r="AG24" s="545"/>
      <c r="AH24" s="543"/>
      <c r="AI24" s="545"/>
    </row>
    <row r="25" spans="1:35" ht="12.75" customHeight="1" x14ac:dyDescent="0.25">
      <c r="A25" s="473"/>
      <c r="B25" s="525" t="s">
        <v>89</v>
      </c>
      <c r="C25" s="377" t="s">
        <v>90</v>
      </c>
      <c r="D25" s="1061">
        <f>IF(E25=0,0,_xlfn.IFNA(INDEX(NewRecipeTable[ShortCode],MATCH($B25,NewRecipeTable[Item No.],0)),))</f>
        <v>0</v>
      </c>
      <c r="E25" s="1061">
        <f>SUM(H25:H26,J25:J26,L25:L26,N25:N26,P25:P26,R25:R26,T25:T26,V25:V26,X25:X26,Z25:Z26,AB25:AB26,AD25:AD26,AF25:AF26,AH25:AH26)</f>
        <v>0</v>
      </c>
      <c r="F25" s="963">
        <f>SUM(I25:I26,K25:K26,M25:M26,O25:O26,Q25:Q26,S25:S26,U25:U26,W25:W26,Y25:Y26,AA25:AA26,AC25:AC26,AE25:AE26,AG25:AG26,AI25:AI26)</f>
        <v>0</v>
      </c>
      <c r="G25" s="989">
        <f>IFERROR(F25/$F$59,0)</f>
        <v>0</v>
      </c>
      <c r="H25" s="527">
        <f>'[4]Pork Leg Deboning'!C25</f>
        <v>0</v>
      </c>
      <c r="I25" s="528">
        <f>'[4]Pork Leg Deboning'!D25</f>
        <v>0</v>
      </c>
      <c r="J25" s="527"/>
      <c r="K25" s="529"/>
      <c r="L25" s="530"/>
      <c r="M25" s="528"/>
      <c r="N25" s="527"/>
      <c r="O25" s="529"/>
      <c r="P25" s="530"/>
      <c r="Q25" s="528"/>
      <c r="R25" s="527"/>
      <c r="S25" s="529"/>
      <c r="T25" s="530"/>
      <c r="U25" s="528"/>
      <c r="V25" s="527"/>
      <c r="W25" s="529"/>
      <c r="X25" s="530"/>
      <c r="Y25" s="528"/>
      <c r="Z25" s="527"/>
      <c r="AA25" s="528"/>
      <c r="AB25" s="530"/>
      <c r="AC25" s="529"/>
      <c r="AD25" s="530"/>
      <c r="AE25" s="528"/>
      <c r="AF25" s="527"/>
      <c r="AG25" s="528"/>
      <c r="AH25" s="527"/>
      <c r="AI25" s="528"/>
    </row>
    <row r="26" spans="1:35" ht="12.75" customHeight="1" thickBot="1" x14ac:dyDescent="0.3">
      <c r="A26" s="473"/>
      <c r="B26" s="364"/>
      <c r="C26" s="531"/>
      <c r="D26" s="1062"/>
      <c r="E26" s="1062"/>
      <c r="F26" s="660"/>
      <c r="G26" s="990"/>
      <c r="H26" s="532">
        <f>'[4]Pork Leg Deboning'!C26</f>
        <v>0</v>
      </c>
      <c r="I26" s="533">
        <f>'[4]Pork Leg Deboning'!D26</f>
        <v>0</v>
      </c>
      <c r="J26" s="532"/>
      <c r="K26" s="534"/>
      <c r="L26" s="535"/>
      <c r="M26" s="533"/>
      <c r="N26" s="532"/>
      <c r="O26" s="534"/>
      <c r="P26" s="535"/>
      <c r="Q26" s="533"/>
      <c r="R26" s="532"/>
      <c r="S26" s="534"/>
      <c r="T26" s="535"/>
      <c r="U26" s="533"/>
      <c r="V26" s="532"/>
      <c r="W26" s="534"/>
      <c r="X26" s="535"/>
      <c r="Y26" s="533"/>
      <c r="Z26" s="532"/>
      <c r="AA26" s="533"/>
      <c r="AB26" s="535"/>
      <c r="AC26" s="534"/>
      <c r="AD26" s="535"/>
      <c r="AE26" s="533"/>
      <c r="AF26" s="532"/>
      <c r="AG26" s="533"/>
      <c r="AH26" s="532"/>
      <c r="AI26" s="533"/>
    </row>
    <row r="27" spans="1:35" ht="12.75" hidden="1" customHeight="1" x14ac:dyDescent="0.25">
      <c r="A27" s="473"/>
      <c r="B27" s="536" t="s">
        <v>91</v>
      </c>
      <c r="C27" s="537" t="s">
        <v>92</v>
      </c>
      <c r="D27" s="1061" t="str">
        <f>IF($F27=0, "",_xlfn.IFNA(INDEX(NewRecipeList!B21:B1194,MATCH('Pork Leg Deboning'!$B27,#REF!,0)),"Inactive"))</f>
        <v/>
      </c>
      <c r="E27" s="1061">
        <f>SUM(H27:H28,J27:J28,L27:L28,N27:N28,P27:P28,R27:R28,T27:T28,V27:V28,X27:X28,Z27:Z28,AB27:AB28,AD27:AD28,AF27:AF28,AH27:AH28)</f>
        <v>0</v>
      </c>
      <c r="F27" s="963">
        <f>SUM(I27:I28,K27:K28,M27:M28,O27:O28,Q27:Q28,S27:S28,U27:U28,W27:W28,Y27:Y28,AA27:AA28,AC27:AC28,AE27:AE28,AG27:AG28,AI27:AI28)</f>
        <v>0</v>
      </c>
      <c r="G27" s="989">
        <f>IFERROR(F27/$F$59,0)</f>
        <v>0</v>
      </c>
      <c r="H27" s="538">
        <f>'[4]Pork Leg Deboning'!C27</f>
        <v>0</v>
      </c>
      <c r="I27" s="539">
        <f>'[4]Pork Leg Deboning'!D27</f>
        <v>0</v>
      </c>
      <c r="J27" s="538"/>
      <c r="K27" s="540"/>
      <c r="L27" s="541"/>
      <c r="M27" s="539"/>
      <c r="N27" s="538"/>
      <c r="O27" s="540"/>
      <c r="P27" s="541"/>
      <c r="Q27" s="539"/>
      <c r="R27" s="538"/>
      <c r="S27" s="540"/>
      <c r="T27" s="541"/>
      <c r="U27" s="539"/>
      <c r="V27" s="538"/>
      <c r="W27" s="540"/>
      <c r="X27" s="541"/>
      <c r="Y27" s="539"/>
      <c r="Z27" s="538"/>
      <c r="AA27" s="539"/>
      <c r="AB27" s="541"/>
      <c r="AC27" s="540"/>
      <c r="AD27" s="541"/>
      <c r="AE27" s="539"/>
      <c r="AF27" s="538"/>
      <c r="AG27" s="539"/>
      <c r="AH27" s="538"/>
      <c r="AI27" s="539"/>
    </row>
    <row r="28" spans="1:35" ht="12.75" hidden="1" customHeight="1" thickBot="1" x14ac:dyDescent="0.3">
      <c r="A28" s="473"/>
      <c r="B28" s="536"/>
      <c r="C28" s="537"/>
      <c r="D28" s="1064"/>
      <c r="E28" s="1064"/>
      <c r="F28" s="964"/>
      <c r="G28" s="990"/>
      <c r="H28" s="543">
        <f>'[4]Pork Leg Deboning'!C28</f>
        <v>0</v>
      </c>
      <c r="I28" s="545">
        <f>'[4]Pork Leg Deboning'!D28</f>
        <v>0</v>
      </c>
      <c r="J28" s="543"/>
      <c r="K28" s="544"/>
      <c r="L28" s="542"/>
      <c r="M28" s="545"/>
      <c r="N28" s="543"/>
      <c r="O28" s="544"/>
      <c r="P28" s="542"/>
      <c r="Q28" s="545"/>
      <c r="R28" s="543"/>
      <c r="S28" s="544"/>
      <c r="T28" s="542"/>
      <c r="U28" s="545"/>
      <c r="V28" s="543"/>
      <c r="W28" s="544"/>
      <c r="X28" s="542"/>
      <c r="Y28" s="545"/>
      <c r="Z28" s="543"/>
      <c r="AA28" s="545"/>
      <c r="AB28" s="542"/>
      <c r="AC28" s="544"/>
      <c r="AD28" s="542"/>
      <c r="AE28" s="545"/>
      <c r="AF28" s="543"/>
      <c r="AG28" s="545"/>
      <c r="AH28" s="543"/>
      <c r="AI28" s="545"/>
    </row>
    <row r="29" spans="1:35" ht="12.75" customHeight="1" x14ac:dyDescent="0.25">
      <c r="A29" s="473"/>
      <c r="B29" s="525" t="s">
        <v>93</v>
      </c>
      <c r="C29" s="377" t="s">
        <v>94</v>
      </c>
      <c r="D29" s="1061">
        <f>IF(E29=0,0,_xlfn.IFNA(INDEX(NewRecipeTable[ShortCode],MATCH($B29,NewRecipeTable[Item No.],0)),))</f>
        <v>0</v>
      </c>
      <c r="E29" s="1061">
        <f>SUM(H29:H30,J29:J30,L29:L30,N29:N30,P29:P30,R29:R30,T29:T30,V29:V30,X29:X30,Z29:Z30,AB29:AB30,AD29:AD30,AF29:AF30,AH29:AH30)</f>
        <v>0</v>
      </c>
      <c r="F29" s="963">
        <f>SUM(I29:I30,K29:K30,M29:M30,O29:O30,Q29:Q30,S29:S30,U29:U30,W29:W30,Y29:Y30,AA29:AA30,AC29:AC30,AE29:AE30,AG29:AG30,AI29:AI30)</f>
        <v>0</v>
      </c>
      <c r="G29" s="989">
        <f>IFERROR(F29/$F$59,0)</f>
        <v>0</v>
      </c>
      <c r="H29" s="527">
        <f>'[4]Pork Leg Deboning'!C29</f>
        <v>0</v>
      </c>
      <c r="I29" s="528">
        <f>'[4]Pork Leg Deboning'!D29</f>
        <v>0</v>
      </c>
      <c r="J29" s="527"/>
      <c r="K29" s="529"/>
      <c r="L29" s="530"/>
      <c r="M29" s="528"/>
      <c r="N29" s="527"/>
      <c r="O29" s="529"/>
      <c r="P29" s="530"/>
      <c r="Q29" s="528"/>
      <c r="R29" s="527"/>
      <c r="S29" s="529"/>
      <c r="T29" s="530"/>
      <c r="U29" s="528"/>
      <c r="V29" s="527"/>
      <c r="W29" s="529"/>
      <c r="X29" s="530"/>
      <c r="Y29" s="528"/>
      <c r="Z29" s="527"/>
      <c r="AA29" s="528"/>
      <c r="AB29" s="530"/>
      <c r="AC29" s="529"/>
      <c r="AD29" s="530"/>
      <c r="AE29" s="528"/>
      <c r="AF29" s="527"/>
      <c r="AG29" s="528"/>
      <c r="AH29" s="527"/>
      <c r="AI29" s="528"/>
    </row>
    <row r="30" spans="1:35" ht="12.75" customHeight="1" thickBot="1" x14ac:dyDescent="0.3">
      <c r="A30" s="473"/>
      <c r="B30" s="364"/>
      <c r="C30" s="531"/>
      <c r="D30" s="1062"/>
      <c r="E30" s="1062"/>
      <c r="F30" s="660"/>
      <c r="G30" s="990"/>
      <c r="H30" s="532">
        <f>'[4]Pork Leg Deboning'!C30</f>
        <v>0</v>
      </c>
      <c r="I30" s="533">
        <f>'[4]Pork Leg Deboning'!D30</f>
        <v>0</v>
      </c>
      <c r="J30" s="532"/>
      <c r="K30" s="534"/>
      <c r="L30" s="535"/>
      <c r="M30" s="533"/>
      <c r="N30" s="532"/>
      <c r="O30" s="534"/>
      <c r="P30" s="535"/>
      <c r="Q30" s="533"/>
      <c r="R30" s="532"/>
      <c r="S30" s="534"/>
      <c r="T30" s="535"/>
      <c r="U30" s="533"/>
      <c r="V30" s="532"/>
      <c r="W30" s="534"/>
      <c r="X30" s="535"/>
      <c r="Y30" s="533"/>
      <c r="Z30" s="532"/>
      <c r="AA30" s="533"/>
      <c r="AB30" s="535"/>
      <c r="AC30" s="534"/>
      <c r="AD30" s="535"/>
      <c r="AE30" s="533"/>
      <c r="AF30" s="532"/>
      <c r="AG30" s="533"/>
      <c r="AH30" s="532"/>
      <c r="AI30" s="533"/>
    </row>
    <row r="31" spans="1:35" ht="12.75" customHeight="1" x14ac:dyDescent="0.25">
      <c r="A31" s="473"/>
      <c r="B31" s="536" t="s">
        <v>95</v>
      </c>
      <c r="C31" s="537" t="s">
        <v>96</v>
      </c>
      <c r="D31" s="1061">
        <f>IF(E31=0,0,_xlfn.IFNA(INDEX(NewRecipeTable[ShortCode],MATCH($B31,NewRecipeTable[Item No.],0)),))</f>
        <v>0</v>
      </c>
      <c r="E31" s="1061">
        <f>SUM(H31:H32,J31:J32,L31:L32,N31:N32,P31:P32,R31:R32,T31:T32,V31:V32,X31:X32,Z31:Z32,AB31:AB32,AD31:AD32,AF31:AF32,AH31:AH32)</f>
        <v>0</v>
      </c>
      <c r="F31" s="963">
        <f>SUM(I31:I32,K31:K32,M31:M32,O31:O32,Q31:Q32,S31:S32,U31:U32,W31:W32,Y31:Y32,AA31:AA32,AC31:AC32,AE31:AE32,AG31:AG32,AI31:AI32)</f>
        <v>0</v>
      </c>
      <c r="G31" s="989">
        <f>IFERROR(F31/$F$59,0)</f>
        <v>0</v>
      </c>
      <c r="H31" s="538">
        <f>'[4]Pork Leg Deboning'!C31</f>
        <v>0</v>
      </c>
      <c r="I31" s="539">
        <f>'[4]Pork Leg Deboning'!D31</f>
        <v>0</v>
      </c>
      <c r="J31" s="538"/>
      <c r="K31" s="540"/>
      <c r="L31" s="541"/>
      <c r="M31" s="539"/>
      <c r="N31" s="538"/>
      <c r="O31" s="540"/>
      <c r="P31" s="541"/>
      <c r="Q31" s="539"/>
      <c r="R31" s="538"/>
      <c r="S31" s="540"/>
      <c r="T31" s="541"/>
      <c r="U31" s="539"/>
      <c r="V31" s="538"/>
      <c r="W31" s="540"/>
      <c r="X31" s="541"/>
      <c r="Y31" s="539"/>
      <c r="Z31" s="538"/>
      <c r="AA31" s="539"/>
      <c r="AB31" s="541"/>
      <c r="AC31" s="540"/>
      <c r="AD31" s="541"/>
      <c r="AE31" s="539"/>
      <c r="AF31" s="538"/>
      <c r="AG31" s="539"/>
      <c r="AH31" s="538"/>
      <c r="AI31" s="539"/>
    </row>
    <row r="32" spans="1:35" ht="12.75" customHeight="1" thickBot="1" x14ac:dyDescent="0.3">
      <c r="A32" s="473"/>
      <c r="B32" s="536"/>
      <c r="C32" s="537"/>
      <c r="D32" s="1064"/>
      <c r="E32" s="1064"/>
      <c r="F32" s="964"/>
      <c r="G32" s="990"/>
      <c r="H32" s="543">
        <f>'[4]Pork Leg Deboning'!C32</f>
        <v>0</v>
      </c>
      <c r="I32" s="545">
        <f>'[4]Pork Leg Deboning'!D32</f>
        <v>0</v>
      </c>
      <c r="J32" s="543"/>
      <c r="K32" s="544"/>
      <c r="L32" s="542"/>
      <c r="M32" s="545"/>
      <c r="N32" s="543"/>
      <c r="O32" s="544"/>
      <c r="P32" s="542"/>
      <c r="Q32" s="545"/>
      <c r="R32" s="543"/>
      <c r="S32" s="544"/>
      <c r="T32" s="542"/>
      <c r="U32" s="545"/>
      <c r="V32" s="543"/>
      <c r="W32" s="544"/>
      <c r="X32" s="542"/>
      <c r="Y32" s="545"/>
      <c r="Z32" s="543"/>
      <c r="AA32" s="545"/>
      <c r="AB32" s="542"/>
      <c r="AC32" s="544"/>
      <c r="AD32" s="542"/>
      <c r="AE32" s="545"/>
      <c r="AF32" s="543"/>
      <c r="AG32" s="545"/>
      <c r="AH32" s="543"/>
      <c r="AI32" s="545"/>
    </row>
    <row r="33" spans="1:35" ht="12.75" customHeight="1" x14ac:dyDescent="0.25">
      <c r="A33" s="473"/>
      <c r="B33" s="525" t="s">
        <v>98</v>
      </c>
      <c r="C33" s="377" t="s">
        <v>221</v>
      </c>
      <c r="D33" s="1061">
        <f>IF(E33=0,0,_xlfn.IFNA(INDEX(NewRecipeTable[ShortCode],MATCH($B33,NewRecipeTable[Item No.],0)),))</f>
        <v>0</v>
      </c>
      <c r="E33" s="1061">
        <f>SUM(H33:H34,J33:J34,L33:L34,N33:N34,P33:P34,R33:R34,T33:T34,V33:V34,X33:X34,Z33:Z34,AB33:AB34,AD33:AD34,AF33:AF34,AH33:AH34)</f>
        <v>0</v>
      </c>
      <c r="F33" s="963">
        <f>SUM(I33:I34,K33:K34,M33:M34,O33:O34,Q33:Q34,S33:S34,U33:U34,W33:W34,Y33:Y34,AA33:AA34,AC33:AC34,AE33:AE34,AG33:AG34,AI33:AI34)</f>
        <v>0</v>
      </c>
      <c r="G33" s="989">
        <f>IFERROR(F33/$F$59,0)</f>
        <v>0</v>
      </c>
      <c r="H33" s="527">
        <f>'[4]Pork Leg Deboning'!C33</f>
        <v>0</v>
      </c>
      <c r="I33" s="528">
        <f>'[4]Pork Leg Deboning'!D33</f>
        <v>0</v>
      </c>
      <c r="J33" s="527"/>
      <c r="K33" s="529"/>
      <c r="L33" s="530"/>
      <c r="M33" s="528"/>
      <c r="N33" s="527"/>
      <c r="O33" s="529"/>
      <c r="P33" s="530"/>
      <c r="Q33" s="528"/>
      <c r="R33" s="527"/>
      <c r="S33" s="529"/>
      <c r="T33" s="530"/>
      <c r="U33" s="528"/>
      <c r="V33" s="527"/>
      <c r="W33" s="529"/>
      <c r="X33" s="530"/>
      <c r="Y33" s="528"/>
      <c r="Z33" s="527"/>
      <c r="AA33" s="528"/>
      <c r="AB33" s="530"/>
      <c r="AC33" s="529"/>
      <c r="AD33" s="530"/>
      <c r="AE33" s="528"/>
      <c r="AF33" s="527"/>
      <c r="AG33" s="528"/>
      <c r="AH33" s="527"/>
      <c r="AI33" s="528"/>
    </row>
    <row r="34" spans="1:35" ht="12.75" customHeight="1" thickBot="1" x14ac:dyDescent="0.3">
      <c r="A34" s="473"/>
      <c r="B34" s="364"/>
      <c r="C34" s="531"/>
      <c r="D34" s="1062"/>
      <c r="E34" s="1062"/>
      <c r="F34" s="660"/>
      <c r="G34" s="990"/>
      <c r="H34" s="543">
        <f>'[4]Pork Leg Deboning'!C34</f>
        <v>0</v>
      </c>
      <c r="I34" s="545">
        <f>'[4]Pork Leg Deboning'!D34</f>
        <v>0</v>
      </c>
      <c r="J34" s="535"/>
      <c r="K34" s="533"/>
      <c r="L34" s="542"/>
      <c r="M34" s="545"/>
      <c r="N34" s="543"/>
      <c r="O34" s="544"/>
      <c r="P34" s="542"/>
      <c r="Q34" s="545"/>
      <c r="R34" s="543"/>
      <c r="S34" s="534"/>
      <c r="T34" s="535"/>
      <c r="U34" s="533"/>
      <c r="V34" s="532"/>
      <c r="W34" s="534"/>
      <c r="X34" s="535"/>
      <c r="Y34" s="533"/>
      <c r="Z34" s="532"/>
      <c r="AA34" s="533"/>
      <c r="AB34" s="535"/>
      <c r="AC34" s="534"/>
      <c r="AD34" s="535"/>
      <c r="AE34" s="533"/>
      <c r="AF34" s="532"/>
      <c r="AG34" s="533"/>
      <c r="AH34" s="532"/>
      <c r="AI34" s="533"/>
    </row>
    <row r="35" spans="1:35" ht="12.75" hidden="1" customHeight="1" x14ac:dyDescent="0.25">
      <c r="A35" s="473"/>
      <c r="B35" s="536" t="s">
        <v>100</v>
      </c>
      <c r="C35" s="537" t="s">
        <v>222</v>
      </c>
      <c r="D35" s="1061" t="str">
        <f>IF($F35=0, "",_xlfn.IFNA(INDEX(NewRecipeList!B29:B1202,MATCH('Pork Leg Deboning'!$B35,#REF!,0)),"Inactive"))</f>
        <v/>
      </c>
      <c r="E35" s="1061">
        <f>SUM(H35:H36,J35:J36,L35:L36,N35:N36,P35:P36,R35:R36,T35:T36,V35:V36,X35:X36,Z35:Z36,AB35:AB36,AD35:AD36,AF35:AF36,AH35:AH36)</f>
        <v>0</v>
      </c>
      <c r="F35" s="963">
        <f>SUM(I35:I36,K35:K36,M35:M36,O35:O36,Q35:Q36,S35:S36,U35:U36,W35:W36,Y35:Y36,AA35:AA36,AC35:AC36,AE35:AE36,AG35:AG36,AI35:AI36)</f>
        <v>0</v>
      </c>
      <c r="G35" s="989">
        <f>IFERROR(F35/$F$59,0)</f>
        <v>0</v>
      </c>
      <c r="H35" s="527">
        <f>'[4]Pork Leg Deboning'!C35</f>
        <v>0</v>
      </c>
      <c r="I35" s="528">
        <f>'[4]Pork Leg Deboning'!D35</f>
        <v>0</v>
      </c>
      <c r="J35" s="530"/>
      <c r="K35" s="528"/>
      <c r="L35" s="530"/>
      <c r="M35" s="528"/>
      <c r="N35" s="527"/>
      <c r="O35" s="529"/>
      <c r="P35" s="530"/>
      <c r="Q35" s="528"/>
      <c r="R35" s="527"/>
      <c r="S35" s="529"/>
      <c r="T35" s="530"/>
      <c r="U35" s="528"/>
      <c r="V35" s="538"/>
      <c r="W35" s="540"/>
      <c r="X35" s="541"/>
      <c r="Y35" s="539"/>
      <c r="Z35" s="538"/>
      <c r="AA35" s="539"/>
      <c r="AB35" s="541"/>
      <c r="AC35" s="540"/>
      <c r="AD35" s="541"/>
      <c r="AE35" s="539"/>
      <c r="AF35" s="538"/>
      <c r="AG35" s="539"/>
      <c r="AH35" s="538"/>
      <c r="AI35" s="539"/>
    </row>
    <row r="36" spans="1:35" ht="12.75" hidden="1" customHeight="1" thickBot="1" x14ac:dyDescent="0.3">
      <c r="A36" s="473"/>
      <c r="B36" s="536"/>
      <c r="C36" s="537"/>
      <c r="D36" s="1064"/>
      <c r="E36" s="1064"/>
      <c r="F36" s="964"/>
      <c r="G36" s="990"/>
      <c r="H36" s="543">
        <f>'[4]Pork Leg Deboning'!C36</f>
        <v>0</v>
      </c>
      <c r="I36" s="545">
        <f>'[4]Pork Leg Deboning'!D36</f>
        <v>0</v>
      </c>
      <c r="J36" s="532"/>
      <c r="K36" s="534"/>
      <c r="L36" s="535"/>
      <c r="M36" s="533"/>
      <c r="N36" s="532"/>
      <c r="O36" s="534"/>
      <c r="P36" s="535"/>
      <c r="Q36" s="533"/>
      <c r="R36" s="532"/>
      <c r="S36" s="534"/>
      <c r="T36" s="535"/>
      <c r="U36" s="533"/>
      <c r="V36" s="543"/>
      <c r="W36" s="544"/>
      <c r="X36" s="542"/>
      <c r="Y36" s="545"/>
      <c r="Z36" s="543"/>
      <c r="AA36" s="545"/>
      <c r="AB36" s="542"/>
      <c r="AC36" s="544"/>
      <c r="AD36" s="542"/>
      <c r="AE36" s="545"/>
      <c r="AF36" s="543"/>
      <c r="AG36" s="545"/>
      <c r="AH36" s="543"/>
      <c r="AI36" s="545"/>
    </row>
    <row r="37" spans="1:35" ht="12.75" customHeight="1" x14ac:dyDescent="0.25">
      <c r="A37" s="473"/>
      <c r="B37" s="525" t="s">
        <v>257</v>
      </c>
      <c r="C37" s="377" t="s">
        <v>223</v>
      </c>
      <c r="D37" s="1061" t="str">
        <f>IF(E37=0,0,_xlfn.IFNA(INDEX(NewRecipeTable[ShortCode],MATCH($B37,NewRecipeTable[Item No.],0)),))</f>
        <v>2B281137B</v>
      </c>
      <c r="E37" s="1061">
        <f>SUM(H37:H38,J37:J38,L37:L38,N37:N38,P37:P38,R37:R38,T37:T38,V37:V38,X37:X38,Z37:Z38,AB37:AB38,AD37:AD38,AF37:AF38,AH37:AH38)</f>
        <v>20</v>
      </c>
      <c r="F37" s="963">
        <f>SUM(I37:I38,K37:K38,M37:M38,O37:O38,Q37:Q38,S37:S38,U37:U38,W37:W38,Y37:Y38,AA37:AA38,AC37:AC38,AE37:AE38,AG37:AG38,AI37:AI38)</f>
        <v>86.5</v>
      </c>
      <c r="G37" s="989">
        <f>IFERROR(F37/$F$59,0)</f>
        <v>8.6854365812515048E-3</v>
      </c>
      <c r="H37" s="527">
        <f>'[4]Pork Leg Deboning'!C37</f>
        <v>20</v>
      </c>
      <c r="I37" s="528">
        <f>'[4]Pork Leg Deboning'!D37</f>
        <v>86.5</v>
      </c>
      <c r="J37" s="542"/>
      <c r="K37" s="545"/>
      <c r="L37" s="530"/>
      <c r="M37" s="528"/>
      <c r="N37" s="527"/>
      <c r="O37" s="529"/>
      <c r="P37" s="530"/>
      <c r="Q37" s="528"/>
      <c r="R37" s="527"/>
      <c r="S37" s="529"/>
      <c r="T37" s="530"/>
      <c r="U37" s="528"/>
      <c r="V37" s="527"/>
      <c r="W37" s="529"/>
      <c r="X37" s="530"/>
      <c r="Y37" s="528"/>
      <c r="Z37" s="527"/>
      <c r="AA37" s="528"/>
      <c r="AB37" s="530"/>
      <c r="AC37" s="529"/>
      <c r="AD37" s="530"/>
      <c r="AE37" s="528"/>
      <c r="AF37" s="527"/>
      <c r="AG37" s="528"/>
      <c r="AH37" s="527"/>
      <c r="AI37" s="528"/>
    </row>
    <row r="38" spans="1:35" ht="12.75" customHeight="1" thickBot="1" x14ac:dyDescent="0.3">
      <c r="A38" s="473"/>
      <c r="B38" s="364"/>
      <c r="C38" s="531"/>
      <c r="D38" s="1062"/>
      <c r="E38" s="1062"/>
      <c r="F38" s="660"/>
      <c r="G38" s="990"/>
      <c r="H38" s="543">
        <f>'[4]Pork Leg Deboning'!C38</f>
        <v>0</v>
      </c>
      <c r="I38" s="545">
        <f>'[4]Pork Leg Deboning'!D38</f>
        <v>0</v>
      </c>
      <c r="J38" s="532"/>
      <c r="K38" s="534"/>
      <c r="L38" s="535"/>
      <c r="M38" s="533"/>
      <c r="N38" s="532"/>
      <c r="O38" s="534"/>
      <c r="P38" s="535"/>
      <c r="Q38" s="533"/>
      <c r="R38" s="532"/>
      <c r="S38" s="534"/>
      <c r="T38" s="535"/>
      <c r="U38" s="533"/>
      <c r="V38" s="532"/>
      <c r="W38" s="534"/>
      <c r="X38" s="535"/>
      <c r="Y38" s="533"/>
      <c r="Z38" s="532"/>
      <c r="AA38" s="533"/>
      <c r="AB38" s="535"/>
      <c r="AC38" s="534"/>
      <c r="AD38" s="535"/>
      <c r="AE38" s="533"/>
      <c r="AF38" s="532"/>
      <c r="AG38" s="533"/>
      <c r="AH38" s="532"/>
      <c r="AI38" s="533"/>
    </row>
    <row r="39" spans="1:35" ht="12.75" hidden="1" customHeight="1" x14ac:dyDescent="0.25">
      <c r="A39" s="473"/>
      <c r="B39" s="536" t="s">
        <v>70</v>
      </c>
      <c r="C39" s="537" t="s">
        <v>224</v>
      </c>
      <c r="D39" s="1061" t="str">
        <f>IF($F39=0, "",_xlfn.IFNA(INDEX(NewRecipeList!B33:B1206,MATCH('Pork Leg Deboning'!$B39,#REF!,0)),"Inactive"))</f>
        <v/>
      </c>
      <c r="E39" s="1061">
        <f>SUM(H39:H40,J39:J40,L39:L40,N39:N40,P39:P40,R39:R40,T39:T40,V39:V40,X39:X40,Z39:Z40,AB39:AB40,AD39:AD40,AF39:AF40,AH39:AH40)</f>
        <v>0</v>
      </c>
      <c r="F39" s="963">
        <f>SUM(I39:I40,K39:K40,M39:M40,O39:O40,Q39:Q40,S39:S40,U39:U40,W39:W40,Y39:Y40,AA39:AA40,AC39:AC40,AE39:AE40,AG39:AG40,AI39:AI40)</f>
        <v>0</v>
      </c>
      <c r="G39" s="989">
        <f>IFERROR(F39/$F$59,0)</f>
        <v>0</v>
      </c>
      <c r="H39" s="527">
        <f>'[4]Pork Leg Deboning'!C39</f>
        <v>0</v>
      </c>
      <c r="I39" s="528">
        <f>'[4]Pork Leg Deboning'!D39</f>
        <v>0</v>
      </c>
      <c r="J39" s="538"/>
      <c r="K39" s="540"/>
      <c r="L39" s="541"/>
      <c r="M39" s="539"/>
      <c r="N39" s="538"/>
      <c r="O39" s="540"/>
      <c r="P39" s="541"/>
      <c r="Q39" s="539"/>
      <c r="R39" s="538"/>
      <c r="S39" s="540"/>
      <c r="T39" s="541"/>
      <c r="U39" s="539"/>
      <c r="V39" s="538"/>
      <c r="W39" s="540"/>
      <c r="X39" s="541"/>
      <c r="Y39" s="539"/>
      <c r="Z39" s="538"/>
      <c r="AA39" s="539"/>
      <c r="AB39" s="541"/>
      <c r="AC39" s="540"/>
      <c r="AD39" s="541"/>
      <c r="AE39" s="539"/>
      <c r="AF39" s="538"/>
      <c r="AG39" s="539"/>
      <c r="AH39" s="538"/>
      <c r="AI39" s="539"/>
    </row>
    <row r="40" spans="1:35" ht="12.75" hidden="1" customHeight="1" thickBot="1" x14ac:dyDescent="0.3">
      <c r="A40" s="473"/>
      <c r="B40" s="364"/>
      <c r="C40" s="537"/>
      <c r="D40" s="1064"/>
      <c r="E40" s="1064"/>
      <c r="F40" s="964"/>
      <c r="G40" s="990"/>
      <c r="H40" s="543">
        <f>'[4]Pork Leg Deboning'!C40</f>
        <v>0</v>
      </c>
      <c r="I40" s="545">
        <f>'[4]Pork Leg Deboning'!D40</f>
        <v>0</v>
      </c>
      <c r="J40" s="543"/>
      <c r="K40" s="544"/>
      <c r="L40" s="542"/>
      <c r="M40" s="545"/>
      <c r="N40" s="543"/>
      <c r="O40" s="544"/>
      <c r="P40" s="542"/>
      <c r="Q40" s="545"/>
      <c r="R40" s="543"/>
      <c r="S40" s="544"/>
      <c r="T40" s="542"/>
      <c r="U40" s="545"/>
      <c r="V40" s="543"/>
      <c r="W40" s="544"/>
      <c r="X40" s="542"/>
      <c r="Y40" s="545"/>
      <c r="Z40" s="543"/>
      <c r="AA40" s="545"/>
      <c r="AB40" s="542"/>
      <c r="AC40" s="544"/>
      <c r="AD40" s="542"/>
      <c r="AE40" s="545"/>
      <c r="AF40" s="543"/>
      <c r="AG40" s="545"/>
      <c r="AH40" s="543"/>
      <c r="AI40" s="545"/>
    </row>
    <row r="41" spans="1:35" ht="12.75" customHeight="1" x14ac:dyDescent="0.25">
      <c r="A41" s="473"/>
      <c r="B41" s="525" t="s">
        <v>65</v>
      </c>
      <c r="C41" s="377" t="s">
        <v>225</v>
      </c>
      <c r="D41" s="1061">
        <f>IF(E41=0,0,_xlfn.IFNA(INDEX(NewRecipeTable[ShortCode],MATCH($B41,NewRecipeTable[Item No.],0)),))</f>
        <v>0</v>
      </c>
      <c r="E41" s="1061">
        <f>SUM(H41:H42,J41:J42,L41:L42,N41:N42,P41:P42,R41:R42,T41:T42,V41:V42,X41:X42,Z41:Z42,AB41:AB42,AD41:AD42,AF41:AF42,AH41:AH42)</f>
        <v>0</v>
      </c>
      <c r="F41" s="963">
        <f>SUM(I41:I42,K41:K42,M41:M42,O41:O42,Q41:Q42,S41:S42,U41:U42,W41:W42,Y41:Y42,AA41:AA42,AC41:AC42,AE41:AE42,AG41:AG42,AI41:AI42)</f>
        <v>0</v>
      </c>
      <c r="G41" s="989">
        <f>IFERROR(F41/$F$59,0)</f>
        <v>0</v>
      </c>
      <c r="H41" s="527">
        <f>'[4]Pork Leg Deboning'!C41</f>
        <v>0</v>
      </c>
      <c r="I41" s="528">
        <f>'[4]Pork Leg Deboning'!D41</f>
        <v>0</v>
      </c>
      <c r="J41" s="527"/>
      <c r="K41" s="529"/>
      <c r="L41" s="530"/>
      <c r="M41" s="528"/>
      <c r="N41" s="527"/>
      <c r="O41" s="529"/>
      <c r="P41" s="530"/>
      <c r="Q41" s="528"/>
      <c r="R41" s="527"/>
      <c r="S41" s="529"/>
      <c r="T41" s="530"/>
      <c r="U41" s="528"/>
      <c r="V41" s="527"/>
      <c r="W41" s="529"/>
      <c r="X41" s="530"/>
      <c r="Y41" s="528"/>
      <c r="Z41" s="527"/>
      <c r="AA41" s="528"/>
      <c r="AB41" s="530"/>
      <c r="AC41" s="529"/>
      <c r="AD41" s="530"/>
      <c r="AE41" s="528"/>
      <c r="AF41" s="527"/>
      <c r="AG41" s="528"/>
      <c r="AH41" s="527"/>
      <c r="AI41" s="528"/>
    </row>
    <row r="42" spans="1:35" ht="12.75" customHeight="1" thickBot="1" x14ac:dyDescent="0.3">
      <c r="A42" s="473"/>
      <c r="B42" s="364"/>
      <c r="C42" s="531"/>
      <c r="D42" s="1062"/>
      <c r="E42" s="1062"/>
      <c r="F42" s="660"/>
      <c r="G42" s="990"/>
      <c r="H42" s="543">
        <f>'[4]Pork Leg Deboning'!C42</f>
        <v>0</v>
      </c>
      <c r="I42" s="545">
        <f>'[4]Pork Leg Deboning'!D42</f>
        <v>0</v>
      </c>
      <c r="J42" s="543"/>
      <c r="K42" s="544"/>
      <c r="L42" s="542"/>
      <c r="M42" s="545"/>
      <c r="N42" s="543"/>
      <c r="O42" s="544"/>
      <c r="P42" s="542"/>
      <c r="Q42" s="545"/>
      <c r="R42" s="543"/>
      <c r="S42" s="544"/>
      <c r="T42" s="542"/>
      <c r="U42" s="545"/>
      <c r="V42" s="543"/>
      <c r="W42" s="544"/>
      <c r="X42" s="542"/>
      <c r="Y42" s="545"/>
      <c r="Z42" s="543"/>
      <c r="AA42" s="545"/>
      <c r="AB42" s="542"/>
      <c r="AC42" s="544"/>
      <c r="AD42" s="542"/>
      <c r="AE42" s="545"/>
      <c r="AF42" s="543"/>
      <c r="AG42" s="533"/>
      <c r="AH42" s="543"/>
      <c r="AI42" s="545"/>
    </row>
    <row r="43" spans="1:35" ht="12.75" customHeight="1" thickBot="1" x14ac:dyDescent="0.3">
      <c r="A43" s="473"/>
      <c r="B43" s="525"/>
      <c r="C43" s="552" t="s">
        <v>174</v>
      </c>
      <c r="D43" s="1066"/>
      <c r="E43" s="1067">
        <f>SUM($E$8:$E$42)</f>
        <v>1108</v>
      </c>
      <c r="F43" s="553">
        <f>SUM($F$8:$F$42)</f>
        <v>6367.8</v>
      </c>
      <c r="G43" s="554">
        <f>SUM($G$8:$G$42)</f>
        <v>0.63938870592015429</v>
      </c>
      <c r="H43" s="555"/>
      <c r="I43" s="556"/>
      <c r="J43" s="556"/>
      <c r="K43" s="556"/>
      <c r="L43" s="556"/>
      <c r="M43" s="556"/>
      <c r="N43" s="556"/>
      <c r="O43" s="556"/>
      <c r="P43" s="556"/>
      <c r="Q43" s="556"/>
      <c r="R43" s="556"/>
      <c r="S43" s="556"/>
      <c r="T43" s="556"/>
      <c r="U43" s="556"/>
      <c r="V43" s="556"/>
      <c r="W43" s="556"/>
      <c r="X43" s="556"/>
      <c r="Y43" s="556"/>
      <c r="Z43" s="556"/>
      <c r="AA43" s="556"/>
      <c r="AB43" s="556"/>
      <c r="AC43" s="556"/>
      <c r="AD43" s="556"/>
      <c r="AE43" s="556"/>
      <c r="AF43" s="556"/>
      <c r="AG43" s="556"/>
      <c r="AH43" s="556"/>
      <c r="AI43" s="557"/>
    </row>
    <row r="44" spans="1:35" ht="12.75" customHeight="1" thickBot="1" x14ac:dyDescent="0.3">
      <c r="A44" s="473"/>
      <c r="B44" s="536"/>
      <c r="C44" s="381"/>
      <c r="D44" s="1068"/>
      <c r="E44" s="1068"/>
      <c r="F44" s="558"/>
      <c r="G44" s="559"/>
      <c r="H44" s="560"/>
      <c r="I44" s="561"/>
      <c r="J44" s="561"/>
      <c r="K44" s="561"/>
      <c r="L44" s="561"/>
      <c r="M44" s="561"/>
      <c r="N44" s="561"/>
      <c r="O44" s="561"/>
      <c r="P44" s="561"/>
      <c r="Q44" s="561"/>
      <c r="R44" s="561"/>
      <c r="S44" s="561"/>
      <c r="T44" s="561"/>
      <c r="U44" s="561"/>
      <c r="V44" s="561"/>
      <c r="W44" s="561"/>
      <c r="X44" s="561"/>
      <c r="Y44" s="561"/>
      <c r="Z44" s="561"/>
      <c r="AA44" s="561"/>
      <c r="AB44" s="561"/>
      <c r="AC44" s="561"/>
      <c r="AD44" s="561"/>
      <c r="AE44" s="561"/>
      <c r="AF44" s="561"/>
      <c r="AG44" s="561"/>
      <c r="AH44" s="561"/>
      <c r="AI44" s="562"/>
    </row>
    <row r="45" spans="1:35" ht="12.75" customHeight="1" thickBot="1" x14ac:dyDescent="0.3">
      <c r="A45" s="473"/>
      <c r="B45" s="1248" t="s">
        <v>204</v>
      </c>
      <c r="C45" s="1249"/>
      <c r="D45" s="1249"/>
      <c r="E45" s="1249"/>
      <c r="F45" s="1249"/>
      <c r="G45" s="1250"/>
      <c r="H45" s="186"/>
      <c r="I45" s="186"/>
      <c r="J45" s="186"/>
      <c r="K45" s="186"/>
      <c r="L45" s="186"/>
      <c r="M45" s="186"/>
      <c r="N45" s="186"/>
      <c r="O45" s="186"/>
      <c r="P45" s="186"/>
      <c r="Q45" s="186"/>
      <c r="R45" s="186"/>
      <c r="S45" s="186"/>
      <c r="T45" s="186"/>
      <c r="U45" s="186"/>
      <c r="V45" s="186"/>
      <c r="W45" s="186"/>
      <c r="X45" s="186"/>
      <c r="Y45" s="186"/>
      <c r="Z45" s="186"/>
      <c r="AA45" s="186"/>
      <c r="AB45" s="186"/>
      <c r="AC45" s="186"/>
      <c r="AD45" s="186"/>
      <c r="AE45" s="186"/>
      <c r="AF45" s="186"/>
      <c r="AG45" s="186"/>
      <c r="AH45" s="186"/>
      <c r="AI45" s="563"/>
    </row>
    <row r="46" spans="1:35" ht="12.75" customHeight="1" thickBot="1" x14ac:dyDescent="0.3">
      <c r="A46" s="473"/>
      <c r="B46" s="1251"/>
      <c r="C46" s="1252"/>
      <c r="D46" s="1252"/>
      <c r="E46" s="1252"/>
      <c r="F46" s="1252"/>
      <c r="G46" s="1253"/>
      <c r="H46" s="564" t="s">
        <v>181</v>
      </c>
      <c r="I46" s="564" t="s">
        <v>181</v>
      </c>
      <c r="J46" s="564" t="s">
        <v>181</v>
      </c>
      <c r="K46" s="564" t="s">
        <v>181</v>
      </c>
      <c r="L46" s="564" t="s">
        <v>181</v>
      </c>
      <c r="M46" s="564" t="s">
        <v>181</v>
      </c>
      <c r="N46" s="564" t="s">
        <v>181</v>
      </c>
      <c r="O46" s="564" t="s">
        <v>181</v>
      </c>
      <c r="P46" s="564" t="s">
        <v>181</v>
      </c>
      <c r="Q46" s="564" t="s">
        <v>181</v>
      </c>
      <c r="R46" s="564" t="s">
        <v>181</v>
      </c>
      <c r="S46" s="564" t="s">
        <v>181</v>
      </c>
      <c r="T46" s="564" t="s">
        <v>181</v>
      </c>
      <c r="U46" s="565" t="s">
        <v>181</v>
      </c>
      <c r="V46" s="566" t="s">
        <v>181</v>
      </c>
      <c r="W46" s="564" t="s">
        <v>181</v>
      </c>
      <c r="X46" s="564" t="s">
        <v>181</v>
      </c>
      <c r="Y46" s="564" t="s">
        <v>181</v>
      </c>
      <c r="Z46" s="564" t="s">
        <v>181</v>
      </c>
      <c r="AA46" s="564" t="s">
        <v>181</v>
      </c>
      <c r="AB46" s="564" t="s">
        <v>181</v>
      </c>
      <c r="AC46" s="564" t="s">
        <v>181</v>
      </c>
      <c r="AD46" s="564" t="s">
        <v>181</v>
      </c>
      <c r="AE46" s="564" t="s">
        <v>181</v>
      </c>
      <c r="AF46" s="564" t="s">
        <v>181</v>
      </c>
      <c r="AG46" s="564" t="s">
        <v>181</v>
      </c>
      <c r="AH46" s="564" t="s">
        <v>181</v>
      </c>
      <c r="AI46" s="567" t="s">
        <v>181</v>
      </c>
    </row>
    <row r="47" spans="1:35" ht="12.75" customHeight="1" x14ac:dyDescent="0.25">
      <c r="A47" s="473"/>
      <c r="B47" s="536" t="s">
        <v>3</v>
      </c>
      <c r="C47" s="537" t="s">
        <v>183</v>
      </c>
      <c r="D47" s="1065"/>
      <c r="E47" s="1065"/>
      <c r="F47" s="965">
        <f>SUM(H47:AI48)</f>
        <v>995.7</v>
      </c>
      <c r="G47" s="568">
        <f>IFERROR(F47/$F$59,0)</f>
        <v>9.9977909872278892E-2</v>
      </c>
      <c r="H47" s="569">
        <f>'[4]Pork Leg Deboning'!$D$47</f>
        <v>995.7</v>
      </c>
      <c r="I47" s="570"/>
      <c r="J47" s="570"/>
      <c r="K47" s="570"/>
      <c r="L47" s="570"/>
      <c r="M47" s="570"/>
      <c r="N47" s="570"/>
      <c r="O47" s="570"/>
      <c r="P47" s="570"/>
      <c r="Q47" s="570"/>
      <c r="R47" s="570"/>
      <c r="S47" s="570"/>
      <c r="T47" s="570"/>
      <c r="U47" s="571"/>
      <c r="V47" s="572"/>
      <c r="W47" s="570"/>
      <c r="X47" s="570"/>
      <c r="Y47" s="570"/>
      <c r="Z47" s="571"/>
      <c r="AA47" s="570"/>
      <c r="AB47" s="570"/>
      <c r="AC47" s="570"/>
      <c r="AD47" s="570"/>
      <c r="AE47" s="570"/>
      <c r="AF47" s="570"/>
      <c r="AG47" s="570"/>
      <c r="AH47" s="570"/>
      <c r="AI47" s="573"/>
    </row>
    <row r="48" spans="1:35" ht="12.75" customHeight="1" thickBot="1" x14ac:dyDescent="0.3">
      <c r="A48" s="473"/>
      <c r="B48" s="364"/>
      <c r="C48" s="531"/>
      <c r="D48" s="1063"/>
      <c r="E48" s="1063"/>
      <c r="F48" s="961"/>
      <c r="G48" s="574"/>
      <c r="H48" s="575">
        <f>'[4]Pork Leg Deboning'!D48</f>
        <v>0</v>
      </c>
      <c r="I48" s="576"/>
      <c r="J48" s="576"/>
      <c r="K48" s="576"/>
      <c r="L48" s="576"/>
      <c r="M48" s="576"/>
      <c r="N48" s="576"/>
      <c r="O48" s="576"/>
      <c r="P48" s="576"/>
      <c r="Q48" s="576"/>
      <c r="R48" s="576"/>
      <c r="S48" s="576"/>
      <c r="T48" s="576"/>
      <c r="U48" s="576"/>
      <c r="V48" s="576"/>
      <c r="W48" s="576"/>
      <c r="X48" s="576"/>
      <c r="Y48" s="576"/>
      <c r="Z48" s="576"/>
      <c r="AA48" s="576"/>
      <c r="AB48" s="576"/>
      <c r="AC48" s="576"/>
      <c r="AD48" s="576"/>
      <c r="AE48" s="576"/>
      <c r="AF48" s="576"/>
      <c r="AG48" s="576"/>
      <c r="AH48" s="576"/>
      <c r="AI48" s="577"/>
    </row>
    <row r="49" spans="1:35" ht="12.75" customHeight="1" x14ac:dyDescent="0.25">
      <c r="A49" s="473"/>
      <c r="B49" s="536" t="s">
        <v>5</v>
      </c>
      <c r="C49" s="537" t="s">
        <v>59</v>
      </c>
      <c r="D49" s="1065"/>
      <c r="E49" s="1065"/>
      <c r="F49" s="965">
        <f>SUM(H49:AI50)</f>
        <v>991.2</v>
      </c>
      <c r="G49" s="568">
        <f>IFERROR(F49/$F$59,0)</f>
        <v>9.9526066350710901E-2</v>
      </c>
      <c r="H49" s="578">
        <f>'[4]Pork Leg Deboning'!D49</f>
        <v>1391.2</v>
      </c>
      <c r="I49" s="579">
        <v>-400</v>
      </c>
      <c r="J49" s="579"/>
      <c r="K49" s="579"/>
      <c r="L49" s="579"/>
      <c r="M49" s="579"/>
      <c r="N49" s="579"/>
      <c r="O49" s="579"/>
      <c r="P49" s="579"/>
      <c r="Q49" s="579"/>
      <c r="R49" s="579"/>
      <c r="S49" s="579"/>
      <c r="T49" s="579"/>
      <c r="U49" s="579"/>
      <c r="V49" s="579"/>
      <c r="W49" s="579"/>
      <c r="X49" s="579"/>
      <c r="Y49" s="579"/>
      <c r="Z49" s="579"/>
      <c r="AA49" s="579"/>
      <c r="AB49" s="579"/>
      <c r="AC49" s="579"/>
      <c r="AD49" s="579"/>
      <c r="AE49" s="579"/>
      <c r="AF49" s="579"/>
      <c r="AG49" s="579"/>
      <c r="AH49" s="579"/>
      <c r="AI49" s="580"/>
    </row>
    <row r="50" spans="1:35" ht="12.75" customHeight="1" thickBot="1" x14ac:dyDescent="0.3">
      <c r="A50" s="473"/>
      <c r="B50" s="536"/>
      <c r="C50" s="537"/>
      <c r="D50" s="1063"/>
      <c r="E50" s="1063"/>
      <c r="F50" s="961"/>
      <c r="G50" s="574"/>
      <c r="H50" s="578"/>
      <c r="I50" s="581"/>
      <c r="J50" s="581"/>
      <c r="K50" s="581"/>
      <c r="L50" s="581"/>
      <c r="M50" s="581"/>
      <c r="N50" s="581"/>
      <c r="O50" s="581"/>
      <c r="P50" s="581"/>
      <c r="Q50" s="581"/>
      <c r="R50" s="581"/>
      <c r="S50" s="581"/>
      <c r="T50" s="581"/>
      <c r="U50" s="581"/>
      <c r="V50" s="581"/>
      <c r="W50" s="581"/>
      <c r="X50" s="581"/>
      <c r="Y50" s="581"/>
      <c r="Z50" s="581"/>
      <c r="AA50" s="581"/>
      <c r="AB50" s="581"/>
      <c r="AC50" s="581"/>
      <c r="AD50" s="581"/>
      <c r="AE50" s="581"/>
      <c r="AF50" s="581"/>
      <c r="AG50" s="581"/>
      <c r="AH50" s="581"/>
      <c r="AI50" s="582"/>
    </row>
    <row r="51" spans="1:35" ht="12.75" customHeight="1" x14ac:dyDescent="0.25">
      <c r="A51" s="473"/>
      <c r="B51" s="525" t="s">
        <v>6</v>
      </c>
      <c r="C51" s="377" t="s">
        <v>186</v>
      </c>
      <c r="D51" s="1065"/>
      <c r="E51" s="1065"/>
      <c r="F51" s="965">
        <f>SUM(H51:AI52)</f>
        <v>1082.5</v>
      </c>
      <c r="G51" s="568">
        <f>IFERROR(F51/$F$59,0)</f>
        <v>0.10869346935496826</v>
      </c>
      <c r="H51" s="569">
        <f>'[4]Pork Leg Deboning'!$D$51</f>
        <v>1082.5</v>
      </c>
      <c r="I51" s="570"/>
      <c r="J51" s="570"/>
      <c r="K51" s="570"/>
      <c r="L51" s="570"/>
      <c r="M51" s="570"/>
      <c r="N51" s="570"/>
      <c r="O51" s="570"/>
      <c r="P51" s="570"/>
      <c r="Q51" s="570"/>
      <c r="R51" s="570"/>
      <c r="S51" s="570"/>
      <c r="T51" s="570"/>
      <c r="U51" s="570"/>
      <c r="V51" s="570"/>
      <c r="W51" s="570"/>
      <c r="X51" s="570"/>
      <c r="Y51" s="570"/>
      <c r="Z51" s="570"/>
      <c r="AA51" s="570"/>
      <c r="AB51" s="570"/>
      <c r="AC51" s="570"/>
      <c r="AD51" s="570"/>
      <c r="AE51" s="570"/>
      <c r="AF51" s="570"/>
      <c r="AG51" s="570"/>
      <c r="AH51" s="570"/>
      <c r="AI51" s="573"/>
    </row>
    <row r="52" spans="1:35" ht="12.75" customHeight="1" thickBot="1" x14ac:dyDescent="0.3">
      <c r="A52" s="473"/>
      <c r="B52" s="364"/>
      <c r="C52" s="531"/>
      <c r="D52" s="1063"/>
      <c r="E52" s="1063"/>
      <c r="F52" s="961"/>
      <c r="G52" s="574"/>
      <c r="H52" s="575"/>
      <c r="I52" s="576"/>
      <c r="J52" s="576"/>
      <c r="K52" s="576"/>
      <c r="L52" s="576"/>
      <c r="M52" s="576"/>
      <c r="N52" s="576"/>
      <c r="O52" s="576"/>
      <c r="P52" s="576"/>
      <c r="Q52" s="576"/>
      <c r="R52" s="576"/>
      <c r="S52" s="576"/>
      <c r="T52" s="576"/>
      <c r="U52" s="576"/>
      <c r="V52" s="576"/>
      <c r="W52" s="576"/>
      <c r="X52" s="576"/>
      <c r="Y52" s="576"/>
      <c r="Z52" s="576"/>
      <c r="AA52" s="576"/>
      <c r="AB52" s="576"/>
      <c r="AC52" s="576"/>
      <c r="AD52" s="576"/>
      <c r="AE52" s="576"/>
      <c r="AF52" s="576"/>
      <c r="AG52" s="576"/>
      <c r="AH52" s="576"/>
      <c r="AI52" s="577"/>
    </row>
    <row r="53" spans="1:35" ht="12.75" customHeight="1" x14ac:dyDescent="0.25">
      <c r="A53" s="473"/>
      <c r="B53" s="536" t="s">
        <v>260</v>
      </c>
      <c r="C53" s="537" t="s">
        <v>261</v>
      </c>
      <c r="D53" s="1065"/>
      <c r="E53" s="1065"/>
      <c r="F53" s="965">
        <f>SUM(H53:AI54)</f>
        <v>400</v>
      </c>
      <c r="G53" s="568">
        <f>IFERROR(F53/$F$59,0)</f>
        <v>4.0163868583821989E-2</v>
      </c>
      <c r="H53" s="569">
        <v>400</v>
      </c>
      <c r="I53" s="570"/>
      <c r="J53" s="570"/>
      <c r="K53" s="570"/>
      <c r="L53" s="570"/>
      <c r="M53" s="570"/>
      <c r="N53" s="570"/>
      <c r="O53" s="570"/>
      <c r="P53" s="570"/>
      <c r="Q53" s="570"/>
      <c r="R53" s="570"/>
      <c r="S53" s="570"/>
      <c r="T53" s="570"/>
      <c r="U53" s="570"/>
      <c r="V53" s="570"/>
      <c r="W53" s="570"/>
      <c r="X53" s="570"/>
      <c r="Y53" s="570"/>
      <c r="Z53" s="570"/>
      <c r="AA53" s="570"/>
      <c r="AB53" s="570"/>
      <c r="AC53" s="570"/>
      <c r="AD53" s="570"/>
      <c r="AE53" s="570"/>
      <c r="AF53" s="570"/>
      <c r="AG53" s="570"/>
      <c r="AH53" s="570"/>
      <c r="AI53" s="573"/>
    </row>
    <row r="54" spans="1:35" ht="12.75" customHeight="1" thickBot="1" x14ac:dyDescent="0.3">
      <c r="A54" s="473"/>
      <c r="B54" s="536"/>
      <c r="C54" s="537"/>
      <c r="D54" s="1063"/>
      <c r="E54" s="1063"/>
      <c r="F54" s="961"/>
      <c r="G54" s="991"/>
      <c r="H54" s="575"/>
      <c r="I54" s="576"/>
      <c r="J54" s="576"/>
      <c r="K54" s="576"/>
      <c r="L54" s="576"/>
      <c r="M54" s="576"/>
      <c r="N54" s="576"/>
      <c r="O54" s="576"/>
      <c r="P54" s="576"/>
      <c r="Q54" s="576"/>
      <c r="R54" s="576"/>
      <c r="S54" s="576"/>
      <c r="T54" s="576"/>
      <c r="U54" s="576"/>
      <c r="V54" s="576"/>
      <c r="W54" s="576"/>
      <c r="X54" s="576"/>
      <c r="Y54" s="576"/>
      <c r="Z54" s="576"/>
      <c r="AA54" s="576"/>
      <c r="AB54" s="576"/>
      <c r="AC54" s="576"/>
      <c r="AD54" s="576"/>
      <c r="AE54" s="576"/>
      <c r="AF54" s="576"/>
      <c r="AG54" s="576"/>
      <c r="AH54" s="576"/>
      <c r="AI54" s="577"/>
    </row>
    <row r="55" spans="1:35" ht="12.75" customHeight="1" x14ac:dyDescent="0.25">
      <c r="A55" s="473"/>
      <c r="B55" s="525" t="s">
        <v>55</v>
      </c>
      <c r="C55" s="377" t="s">
        <v>629</v>
      </c>
      <c r="D55" s="1065"/>
      <c r="E55" s="1065"/>
      <c r="F55" s="965">
        <f>SUM(H55:AI56)</f>
        <v>122</v>
      </c>
      <c r="G55" s="568">
        <f>IFERROR(F55/$F$59,0)</f>
        <v>1.2249979918065708E-2</v>
      </c>
      <c r="H55" s="569">
        <f>'[4]Pork Breaking'!$C$30</f>
        <v>122</v>
      </c>
      <c r="I55" s="570"/>
      <c r="J55" s="570"/>
      <c r="K55" s="570"/>
      <c r="L55" s="570"/>
      <c r="M55" s="570"/>
      <c r="N55" s="570"/>
      <c r="O55" s="570"/>
      <c r="P55" s="570"/>
      <c r="Q55" s="570"/>
      <c r="R55" s="570"/>
      <c r="S55" s="570"/>
      <c r="T55" s="570"/>
      <c r="U55" s="570"/>
      <c r="V55" s="570"/>
      <c r="W55" s="570"/>
      <c r="X55" s="570"/>
      <c r="Y55" s="570"/>
      <c r="Z55" s="570"/>
      <c r="AA55" s="570"/>
      <c r="AB55" s="570"/>
      <c r="AC55" s="570"/>
      <c r="AD55" s="570"/>
      <c r="AE55" s="570"/>
      <c r="AF55" s="570"/>
      <c r="AG55" s="570"/>
      <c r="AH55" s="570"/>
      <c r="AI55" s="573"/>
    </row>
    <row r="56" spans="1:35" ht="12.75" customHeight="1" thickBot="1" x14ac:dyDescent="0.3">
      <c r="A56" s="473"/>
      <c r="B56" s="364"/>
      <c r="C56" s="531"/>
      <c r="D56" s="1063"/>
      <c r="E56" s="1063"/>
      <c r="F56" s="961"/>
      <c r="G56" s="991"/>
      <c r="H56" s="575"/>
      <c r="I56" s="576"/>
      <c r="J56" s="576"/>
      <c r="K56" s="576"/>
      <c r="L56" s="576"/>
      <c r="M56" s="576"/>
      <c r="N56" s="576"/>
      <c r="O56" s="576"/>
      <c r="P56" s="576"/>
      <c r="Q56" s="576"/>
      <c r="R56" s="576"/>
      <c r="S56" s="576"/>
      <c r="T56" s="576"/>
      <c r="U56" s="576"/>
      <c r="V56" s="576"/>
      <c r="W56" s="576"/>
      <c r="X56" s="576"/>
      <c r="Y56" s="576"/>
      <c r="Z56" s="576"/>
      <c r="AA56" s="576"/>
      <c r="AB56" s="576"/>
      <c r="AC56" s="576"/>
      <c r="AD56" s="576"/>
      <c r="AE56" s="576"/>
      <c r="AF56" s="576"/>
      <c r="AG56" s="576"/>
      <c r="AH56" s="576"/>
      <c r="AI56" s="577"/>
    </row>
    <row r="57" spans="1:35" ht="21.75" customHeight="1" thickBot="1" x14ac:dyDescent="0.3">
      <c r="A57" s="967"/>
      <c r="B57" s="968"/>
      <c r="C57" s="584" t="s">
        <v>174</v>
      </c>
      <c r="D57" s="1069"/>
      <c r="E57" s="1070">
        <v>0</v>
      </c>
      <c r="F57" s="966">
        <f>SUM(F47:F56)</f>
        <v>3591.4</v>
      </c>
      <c r="G57" s="585">
        <f>SUM(G47:G56)</f>
        <v>0.36061129407984571</v>
      </c>
      <c r="H57" s="967"/>
      <c r="I57" s="967"/>
      <c r="J57" s="586"/>
      <c r="K57" s="587"/>
      <c r="L57" s="587"/>
      <c r="M57" s="507"/>
      <c r="N57" s="507"/>
      <c r="O57" s="507"/>
      <c r="P57" s="507"/>
      <c r="Q57" s="507"/>
      <c r="R57" s="507"/>
      <c r="S57" s="507"/>
      <c r="T57" s="507"/>
      <c r="U57" s="507"/>
      <c r="V57" s="507"/>
      <c r="W57" s="507"/>
      <c r="X57" s="507"/>
      <c r="Y57" s="507"/>
      <c r="Z57" s="507"/>
      <c r="AA57" s="507"/>
      <c r="AB57" s="507"/>
      <c r="AC57" s="507"/>
      <c r="AD57" s="507"/>
      <c r="AE57" s="507"/>
      <c r="AF57" s="507"/>
      <c r="AG57" s="507"/>
      <c r="AH57" s="507"/>
      <c r="AI57" s="507"/>
    </row>
    <row r="58" spans="1:35" ht="3" customHeight="1" thickBot="1" x14ac:dyDescent="0.3">
      <c r="A58" s="473"/>
      <c r="B58" s="405"/>
      <c r="C58" s="588"/>
      <c r="D58" s="1071"/>
      <c r="E58" s="1072"/>
      <c r="F58" s="589"/>
      <c r="G58" s="590"/>
      <c r="H58" s="473"/>
      <c r="I58" s="473"/>
      <c r="J58" s="591"/>
      <c r="K58" s="592"/>
      <c r="L58" s="174"/>
      <c r="M58" s="158"/>
      <c r="N58" s="158"/>
      <c r="O58" s="593"/>
      <c r="P58" s="158"/>
      <c r="Q58" s="158"/>
      <c r="R58" s="158"/>
      <c r="S58" s="158"/>
      <c r="T58" s="158"/>
      <c r="U58" s="183"/>
      <c r="V58" s="158"/>
      <c r="W58" s="158"/>
      <c r="X58" s="158"/>
      <c r="Y58" s="158"/>
      <c r="Z58" s="473"/>
      <c r="AA58" s="473"/>
      <c r="AB58" s="473"/>
      <c r="AC58" s="158"/>
      <c r="AD58" s="473"/>
      <c r="AE58" s="473"/>
      <c r="AF58" s="473"/>
      <c r="AG58" s="473"/>
      <c r="AH58" s="473"/>
      <c r="AI58" s="473"/>
    </row>
    <row r="59" spans="1:35" ht="18.75" customHeight="1" thickBot="1" x14ac:dyDescent="0.3">
      <c r="A59" s="473"/>
      <c r="B59" s="410"/>
      <c r="C59" s="411" t="s">
        <v>176</v>
      </c>
      <c r="D59" s="1071"/>
      <c r="E59" s="1073">
        <f>E43</f>
        <v>1108</v>
      </c>
      <c r="F59" s="594">
        <f>F43+F57</f>
        <v>9959.2000000000007</v>
      </c>
      <c r="G59" s="595">
        <f>G43+G57</f>
        <v>1</v>
      </c>
      <c r="H59" s="473"/>
      <c r="I59" s="473"/>
      <c r="J59" s="592"/>
      <c r="K59" s="174"/>
      <c r="L59" s="174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473"/>
      <c r="Z59" s="473"/>
      <c r="AA59" s="473"/>
      <c r="AB59" s="473"/>
      <c r="AC59" s="158"/>
      <c r="AD59" s="473"/>
      <c r="AE59" s="473"/>
      <c r="AF59" s="473"/>
      <c r="AG59" s="473"/>
      <c r="AH59" s="473"/>
      <c r="AI59" s="473"/>
    </row>
    <row r="60" spans="1:35" ht="18.75" customHeight="1" thickBot="1" x14ac:dyDescent="0.3">
      <c r="A60" s="473"/>
      <c r="B60" s="405"/>
      <c r="C60" s="596" t="s">
        <v>54</v>
      </c>
      <c r="D60" s="1074"/>
      <c r="E60" s="1075">
        <f>E5-E59</f>
        <v>0</v>
      </c>
      <c r="F60" s="598">
        <f>F5-F59</f>
        <v>-6</v>
      </c>
      <c r="G60" s="962">
        <f>IFERROR(F60/F5,)</f>
        <v>-6.0282120323112162E-4</v>
      </c>
      <c r="H60" s="158"/>
      <c r="I60" s="240"/>
      <c r="J60" s="497"/>
      <c r="K60" s="158"/>
      <c r="L60" s="158"/>
      <c r="M60" s="158"/>
      <c r="N60" s="158"/>
      <c r="O60" s="158"/>
      <c r="P60" s="158"/>
      <c r="Q60" s="158"/>
      <c r="R60" s="158"/>
      <c r="S60" s="158"/>
      <c r="T60" s="158"/>
      <c r="U60" s="158"/>
      <c r="V60" s="158"/>
      <c r="W60" s="158"/>
      <c r="X60" s="158"/>
      <c r="Y60" s="158"/>
      <c r="Z60" s="158"/>
      <c r="AA60" s="158"/>
      <c r="AB60" s="473"/>
      <c r="AC60" s="473"/>
      <c r="AD60" s="473"/>
      <c r="AE60" s="473"/>
      <c r="AF60" s="473"/>
      <c r="AG60" s="473"/>
      <c r="AH60" s="473"/>
      <c r="AI60" s="473"/>
    </row>
    <row r="61" spans="1:35" ht="12.75" customHeight="1" x14ac:dyDescent="0.25">
      <c r="A61" s="473"/>
      <c r="B61" s="424"/>
      <c r="C61" s="424"/>
      <c r="D61" s="1076"/>
      <c r="E61" s="1076"/>
      <c r="F61" s="424"/>
      <c r="G61" s="424"/>
      <c r="H61" s="473"/>
      <c r="I61" s="240"/>
      <c r="J61" s="497"/>
      <c r="K61" s="473"/>
      <c r="L61" s="473"/>
      <c r="M61" s="473"/>
      <c r="N61" s="473"/>
      <c r="O61" s="473"/>
      <c r="P61" s="473"/>
      <c r="Q61" s="473"/>
      <c r="R61" s="473"/>
      <c r="S61" s="473"/>
      <c r="T61" s="473"/>
      <c r="U61" s="473"/>
      <c r="V61" s="473"/>
      <c r="W61" s="473"/>
      <c r="X61" s="473"/>
      <c r="Y61" s="473"/>
      <c r="Z61" s="473"/>
      <c r="AA61" s="473"/>
      <c r="AB61" s="473"/>
      <c r="AC61" s="473"/>
      <c r="AD61" s="473"/>
      <c r="AE61" s="473"/>
      <c r="AF61" s="473"/>
      <c r="AG61" s="473"/>
      <c r="AH61" s="473"/>
      <c r="AI61" s="473"/>
    </row>
    <row r="62" spans="1:35" ht="12.75" customHeight="1" x14ac:dyDescent="0.25">
      <c r="A62" s="473"/>
      <c r="B62" s="424"/>
      <c r="C62" s="599" t="s">
        <v>191</v>
      </c>
      <c r="D62" s="1077"/>
      <c r="E62" s="1078"/>
      <c r="F62" s="600">
        <v>0</v>
      </c>
      <c r="G62" s="424"/>
      <c r="H62" s="473"/>
      <c r="I62" s="240"/>
      <c r="J62" s="497"/>
      <c r="K62" s="473"/>
      <c r="L62" s="473"/>
      <c r="M62" s="473"/>
      <c r="N62" s="473"/>
      <c r="O62" s="473"/>
      <c r="P62" s="473"/>
      <c r="Q62" s="473"/>
      <c r="R62" s="473"/>
      <c r="S62" s="473"/>
      <c r="T62" s="473"/>
      <c r="U62" s="473"/>
      <c r="V62" s="473"/>
      <c r="W62" s="473"/>
      <c r="X62" s="473"/>
      <c r="Y62" s="473"/>
      <c r="Z62" s="473"/>
      <c r="AA62" s="473"/>
      <c r="AB62" s="473"/>
      <c r="AC62" s="473"/>
      <c r="AD62" s="473"/>
      <c r="AE62" s="473"/>
      <c r="AF62" s="473"/>
      <c r="AG62" s="473"/>
      <c r="AH62" s="473"/>
      <c r="AI62" s="473"/>
    </row>
  </sheetData>
  <mergeCells count="4">
    <mergeCell ref="B3:G3"/>
    <mergeCell ref="H3:AI6"/>
    <mergeCell ref="B6:G6"/>
    <mergeCell ref="B45:G46"/>
  </mergeCells>
  <printOptions horizontalCentered="1" verticalCentered="1"/>
  <pageMargins left="0.25" right="0.25" top="0.75" bottom="0.75" header="0.3" footer="0.3"/>
  <pageSetup paperSize="9" fitToHeight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Middles">
    <tabColor theme="0"/>
    <pageSetUpPr fitToPage="1"/>
  </sheetPr>
  <dimension ref="A1:AK150"/>
  <sheetViews>
    <sheetView showGridLines="0" topLeftCell="A42" zoomScaleNormal="100" workbookViewId="0">
      <selection activeCell="M72" sqref="M72"/>
    </sheetView>
  </sheetViews>
  <sheetFormatPr defaultColWidth="8.42578125" defaultRowHeight="12.75" customHeight="1" outlineLevelCol="1" x14ac:dyDescent="0.25"/>
  <cols>
    <col min="1" max="1" width="4.5703125" style="269" customWidth="1"/>
    <col min="2" max="2" width="8.85546875" bestFit="1" customWidth="1"/>
    <col min="3" max="3" width="35.85546875" customWidth="1"/>
    <col min="4" max="4" width="9.7109375" hidden="1" customWidth="1" outlineLevel="1"/>
    <col min="5" max="5" width="13.28515625" style="8" hidden="1" customWidth="1" outlineLevel="1"/>
    <col min="6" max="6" width="9.7109375" hidden="1" customWidth="1" outlineLevel="1"/>
    <col min="7" max="7" width="8.42578125" customWidth="1" collapsed="1"/>
    <col min="8" max="8" width="8.42578125" customWidth="1"/>
    <col min="9" max="9" width="9.85546875" bestFit="1" customWidth="1"/>
    <col min="10" max="10" width="6.5703125" customWidth="1"/>
    <col min="11" max="11" width="6.85546875" customWidth="1"/>
    <col min="12" max="37" width="5" customWidth="1"/>
  </cols>
  <sheetData>
    <row r="1" spans="1:37" ht="12.75" customHeight="1" thickBot="1" x14ac:dyDescent="0.3"/>
    <row r="2" spans="1:37" ht="21" customHeight="1" thickBot="1" x14ac:dyDescent="0.35">
      <c r="A2" s="1029"/>
      <c r="B2" s="270" t="s">
        <v>0</v>
      </c>
      <c r="C2" s="271"/>
      <c r="D2" s="1262"/>
      <c r="E2" s="1263"/>
      <c r="F2" s="1263"/>
      <c r="G2" s="1263"/>
      <c r="H2" s="1263"/>
      <c r="I2" s="1264"/>
      <c r="J2" s="272"/>
      <c r="K2" s="272"/>
      <c r="L2" s="272"/>
      <c r="M2" s="272"/>
      <c r="N2" s="272"/>
      <c r="O2" s="272"/>
      <c r="P2" s="272"/>
      <c r="Q2" s="272"/>
      <c r="R2" s="272"/>
      <c r="S2" s="272"/>
      <c r="T2" s="272"/>
      <c r="U2" s="272"/>
      <c r="V2" s="272"/>
      <c r="W2" s="272"/>
      <c r="X2" s="272"/>
      <c r="Y2" s="272"/>
      <c r="Z2" s="272"/>
      <c r="AA2" s="272"/>
      <c r="AB2" s="272"/>
      <c r="AC2" s="272"/>
      <c r="AD2" s="272"/>
      <c r="AE2" s="272"/>
      <c r="AF2" s="272"/>
      <c r="AG2" s="272"/>
      <c r="AH2" s="272"/>
      <c r="AI2" s="272"/>
      <c r="AJ2" s="272"/>
      <c r="AK2" s="272"/>
    </row>
    <row r="3" spans="1:37" ht="16.5" customHeight="1" thickBot="1" x14ac:dyDescent="0.3">
      <c r="B3" s="1248" t="s">
        <v>10</v>
      </c>
      <c r="C3" s="1249"/>
      <c r="D3" s="1249"/>
      <c r="E3" s="1249"/>
      <c r="F3" s="1249"/>
      <c r="G3" s="1249"/>
      <c r="H3" s="1249"/>
      <c r="I3" s="1250"/>
      <c r="J3" s="1274" t="s">
        <v>170</v>
      </c>
      <c r="K3" s="1275"/>
      <c r="L3" s="1275"/>
      <c r="M3" s="1275"/>
      <c r="N3" s="1275"/>
      <c r="O3" s="1275"/>
      <c r="P3" s="1275"/>
      <c r="Q3" s="1275"/>
      <c r="R3" s="1275"/>
      <c r="S3" s="1275"/>
      <c r="T3" s="1275"/>
      <c r="U3" s="1275"/>
      <c r="V3" s="1275"/>
      <c r="W3" s="1275"/>
      <c r="X3" s="1275"/>
      <c r="Y3" s="1275"/>
      <c r="Z3" s="1275"/>
      <c r="AA3" s="1275"/>
      <c r="AB3" s="1275"/>
      <c r="AC3" s="1275"/>
      <c r="AD3" s="1275"/>
      <c r="AE3" s="1275"/>
      <c r="AF3" s="1275"/>
      <c r="AG3" s="1275"/>
      <c r="AH3" s="1275"/>
      <c r="AI3" s="1275"/>
      <c r="AJ3" s="1275"/>
      <c r="AK3" s="1276"/>
    </row>
    <row r="4" spans="1:37" ht="12.75" customHeight="1" x14ac:dyDescent="0.25">
      <c r="B4" s="3" t="s">
        <v>8</v>
      </c>
      <c r="C4" s="4" t="s">
        <v>168</v>
      </c>
      <c r="D4" s="273"/>
      <c r="E4" s="1032"/>
      <c r="F4" s="274"/>
      <c r="G4" s="275" t="s">
        <v>11</v>
      </c>
      <c r="H4" s="275" t="s">
        <v>43</v>
      </c>
      <c r="I4" s="276" t="s">
        <v>169</v>
      </c>
      <c r="J4" s="1277"/>
      <c r="K4" s="1278"/>
      <c r="L4" s="1278"/>
      <c r="M4" s="1278"/>
      <c r="N4" s="1278"/>
      <c r="O4" s="1278"/>
      <c r="P4" s="1278"/>
      <c r="Q4" s="1278"/>
      <c r="R4" s="1278"/>
      <c r="S4" s="1278"/>
      <c r="T4" s="1278"/>
      <c r="U4" s="1278"/>
      <c r="V4" s="1278"/>
      <c r="W4" s="1278"/>
      <c r="X4" s="1278"/>
      <c r="Y4" s="1278"/>
      <c r="Z4" s="1278"/>
      <c r="AA4" s="1278"/>
      <c r="AB4" s="1278"/>
      <c r="AC4" s="1278"/>
      <c r="AD4" s="1278"/>
      <c r="AE4" s="1278"/>
      <c r="AF4" s="1278"/>
      <c r="AG4" s="1278"/>
      <c r="AH4" s="1278"/>
      <c r="AI4" s="1278"/>
      <c r="AJ4" s="1278"/>
      <c r="AK4" s="1279"/>
    </row>
    <row r="5" spans="1:37" ht="12.75" customHeight="1" thickBot="1" x14ac:dyDescent="0.3">
      <c r="B5" s="277" t="s">
        <v>141</v>
      </c>
      <c r="C5" s="278" t="s">
        <v>262</v>
      </c>
      <c r="D5" s="279"/>
      <c r="E5" s="1033"/>
      <c r="F5" s="280"/>
      <c r="G5" s="281">
        <f>'Pork Breaking'!D20</f>
        <v>1108</v>
      </c>
      <c r="H5" s="281">
        <f>'Pork Breaking'!E25</f>
        <v>10647.5</v>
      </c>
      <c r="I5" s="282">
        <v>100</v>
      </c>
      <c r="J5" s="1277"/>
      <c r="K5" s="1278"/>
      <c r="L5" s="1278"/>
      <c r="M5" s="1278"/>
      <c r="N5" s="1278"/>
      <c r="O5" s="1278"/>
      <c r="P5" s="1278"/>
      <c r="Q5" s="1278"/>
      <c r="R5" s="1278"/>
      <c r="S5" s="1278"/>
      <c r="T5" s="1278"/>
      <c r="U5" s="1278"/>
      <c r="V5" s="1278"/>
      <c r="W5" s="1278"/>
      <c r="X5" s="1278"/>
      <c r="Y5" s="1278"/>
      <c r="Z5" s="1278"/>
      <c r="AA5" s="1278"/>
      <c r="AB5" s="1278"/>
      <c r="AC5" s="1278"/>
      <c r="AD5" s="1278"/>
      <c r="AE5" s="1278"/>
      <c r="AF5" s="1278"/>
      <c r="AG5" s="1278"/>
      <c r="AH5" s="1278"/>
      <c r="AI5" s="1278"/>
      <c r="AJ5" s="1278"/>
      <c r="AK5" s="1279"/>
    </row>
    <row r="6" spans="1:37" ht="16.5" customHeight="1" thickBot="1" x14ac:dyDescent="0.3">
      <c r="B6" s="1283" t="s">
        <v>171</v>
      </c>
      <c r="C6" s="1284"/>
      <c r="D6" s="1284"/>
      <c r="E6" s="1284"/>
      <c r="F6" s="1284"/>
      <c r="G6" s="1284"/>
      <c r="H6" s="1284"/>
      <c r="I6" s="1285"/>
      <c r="J6" s="1280"/>
      <c r="K6" s="1281"/>
      <c r="L6" s="1281"/>
      <c r="M6" s="1281"/>
      <c r="N6" s="1281"/>
      <c r="O6" s="1281"/>
      <c r="P6" s="1281"/>
      <c r="Q6" s="1281"/>
      <c r="R6" s="1281"/>
      <c r="S6" s="1281"/>
      <c r="T6" s="1281"/>
      <c r="U6" s="1281"/>
      <c r="V6" s="1281"/>
      <c r="W6" s="1281"/>
      <c r="X6" s="1281"/>
      <c r="Y6" s="1281"/>
      <c r="Z6" s="1281"/>
      <c r="AA6" s="1281"/>
      <c r="AB6" s="1281"/>
      <c r="AC6" s="1281"/>
      <c r="AD6" s="1281"/>
      <c r="AE6" s="1281"/>
      <c r="AF6" s="1281"/>
      <c r="AG6" s="1281"/>
      <c r="AH6" s="1281"/>
      <c r="AI6" s="1281"/>
      <c r="AJ6" s="1281"/>
      <c r="AK6" s="1282"/>
    </row>
    <row r="7" spans="1:37" ht="12.75" customHeight="1" thickBot="1" x14ac:dyDescent="0.3">
      <c r="B7" s="1286"/>
      <c r="C7" s="1287"/>
      <c r="D7" s="283" t="s">
        <v>57</v>
      </c>
      <c r="E7" s="979" t="s">
        <v>616</v>
      </c>
      <c r="F7" s="284" t="s">
        <v>934</v>
      </c>
      <c r="G7" s="285" t="s">
        <v>177</v>
      </c>
      <c r="H7" s="285" t="s">
        <v>178</v>
      </c>
      <c r="I7" s="286" t="s">
        <v>169</v>
      </c>
      <c r="J7" s="287" t="s">
        <v>172</v>
      </c>
      <c r="K7" s="288" t="s">
        <v>173</v>
      </c>
      <c r="L7" s="289" t="s">
        <v>172</v>
      </c>
      <c r="M7" s="290" t="s">
        <v>173</v>
      </c>
      <c r="N7" s="287" t="s">
        <v>172</v>
      </c>
      <c r="O7" s="288" t="s">
        <v>173</v>
      </c>
      <c r="P7" s="289" t="s">
        <v>172</v>
      </c>
      <c r="Q7" s="290" t="s">
        <v>173</v>
      </c>
      <c r="R7" s="287" t="s">
        <v>172</v>
      </c>
      <c r="S7" s="288" t="s">
        <v>173</v>
      </c>
      <c r="T7" s="289" t="s">
        <v>172</v>
      </c>
      <c r="U7" s="290" t="s">
        <v>173</v>
      </c>
      <c r="V7" s="287" t="s">
        <v>172</v>
      </c>
      <c r="W7" s="288" t="s">
        <v>173</v>
      </c>
      <c r="X7" s="289" t="s">
        <v>172</v>
      </c>
      <c r="Y7" s="290" t="s">
        <v>173</v>
      </c>
      <c r="Z7" s="287" t="s">
        <v>172</v>
      </c>
      <c r="AA7" s="288" t="s">
        <v>173</v>
      </c>
      <c r="AB7" s="289" t="s">
        <v>172</v>
      </c>
      <c r="AC7" s="290" t="s">
        <v>173</v>
      </c>
      <c r="AD7" s="287" t="s">
        <v>172</v>
      </c>
      <c r="AE7" s="288" t="s">
        <v>173</v>
      </c>
      <c r="AF7" s="289" t="s">
        <v>172</v>
      </c>
      <c r="AG7" s="290" t="s">
        <v>173</v>
      </c>
      <c r="AH7" s="287" t="s">
        <v>172</v>
      </c>
      <c r="AI7" s="288" t="s">
        <v>173</v>
      </c>
      <c r="AJ7" s="289" t="s">
        <v>172</v>
      </c>
      <c r="AK7" s="288" t="s">
        <v>173</v>
      </c>
    </row>
    <row r="8" spans="1:37" ht="12.75" customHeight="1" x14ac:dyDescent="0.25">
      <c r="A8" s="269" t="e">
        <f>_xlfn.IFNA( INDEX(#REF!,MATCH(Middles!E8,#REF!,0)), " ")</f>
        <v>#REF!</v>
      </c>
      <c r="B8" s="291" t="s">
        <v>1322</v>
      </c>
      <c r="C8" s="291" t="s">
        <v>1323</v>
      </c>
      <c r="D8" s="292"/>
      <c r="E8" s="978"/>
      <c r="F8" s="294"/>
      <c r="G8" s="295">
        <f>J8+L8+N8+P8+R8+T8+V8+X8+Z8+AB8+AD8+AF8+AH8+AJ8+J9+L9+N9+P9+R9+T9+V9+X9+Z9+AB9+AD9+AF9+AH9+AJ9</f>
        <v>0</v>
      </c>
      <c r="H8" s="295">
        <f>K8+K9+M8+M9+O8+O9+Q8+Q9+S8+S9+U8+U9+W8+W9+Y8+Y9+AA8+AA9+AC8+AC9+AE8+AE9+AG8+AG9+AI8+AI9+AK8+AK9</f>
        <v>0</v>
      </c>
      <c r="I8" s="982">
        <f>IFERROR(H8/$H$123,)</f>
        <v>0</v>
      </c>
      <c r="J8" s="296">
        <f>[4]Middles!C7</f>
        <v>0</v>
      </c>
      <c r="K8" s="297">
        <f>[4]Middles!D7</f>
        <v>0</v>
      </c>
      <c r="L8" s="296"/>
      <c r="M8" s="297"/>
      <c r="N8" s="296"/>
      <c r="O8" s="297"/>
      <c r="P8" s="298"/>
      <c r="Q8" s="297"/>
      <c r="R8" s="296"/>
      <c r="S8" s="297"/>
      <c r="T8" s="298"/>
      <c r="U8" s="297"/>
      <c r="V8" s="296"/>
      <c r="W8" s="297"/>
      <c r="X8" s="298"/>
      <c r="Y8" s="297"/>
      <c r="Z8" s="296"/>
      <c r="AA8" s="297"/>
      <c r="AB8" s="298"/>
      <c r="AC8" s="297"/>
      <c r="AD8" s="296"/>
      <c r="AE8" s="297"/>
      <c r="AF8" s="298"/>
      <c r="AG8" s="297"/>
      <c r="AH8" s="296"/>
      <c r="AI8" s="297"/>
      <c r="AJ8" s="298"/>
      <c r="AK8" s="297"/>
    </row>
    <row r="9" spans="1:37" ht="12.75" customHeight="1" x14ac:dyDescent="0.25">
      <c r="A9" s="269" t="e">
        <f>_xlfn.IFNA( INDEX(#REF!,MATCH(Middles!E9,#REF!,0)), " ")</f>
        <v>#REF!</v>
      </c>
      <c r="B9" s="299"/>
      <c r="C9" s="299"/>
      <c r="D9" s="300"/>
      <c r="E9" s="1034"/>
      <c r="F9" s="301"/>
      <c r="G9" s="302"/>
      <c r="H9" s="302"/>
      <c r="I9" s="983"/>
      <c r="J9" s="303"/>
      <c r="K9" s="304"/>
      <c r="L9" s="303"/>
      <c r="M9" s="304"/>
      <c r="N9" s="303"/>
      <c r="O9" s="304"/>
      <c r="P9" s="305"/>
      <c r="Q9" s="304"/>
      <c r="R9" s="303"/>
      <c r="S9" s="304"/>
      <c r="T9" s="305"/>
      <c r="U9" s="304"/>
      <c r="V9" s="303"/>
      <c r="W9" s="304"/>
      <c r="X9" s="305"/>
      <c r="Y9" s="304"/>
      <c r="Z9" s="303"/>
      <c r="AA9" s="304"/>
      <c r="AB9" s="305"/>
      <c r="AC9" s="304"/>
      <c r="AD9" s="303"/>
      <c r="AE9" s="304"/>
      <c r="AF9" s="305"/>
      <c r="AG9" s="304"/>
      <c r="AH9" s="303"/>
      <c r="AI9" s="304"/>
      <c r="AJ9" s="305"/>
      <c r="AK9" s="304"/>
    </row>
    <row r="10" spans="1:37" ht="12.75" customHeight="1" x14ac:dyDescent="0.25">
      <c r="A10" s="269" t="e">
        <f>_xlfn.IFNA( INDEX(#REF!,MATCH(Middles!E10,#REF!,0)), " ")</f>
        <v>#REF!</v>
      </c>
      <c r="B10" s="306" t="s">
        <v>1322</v>
      </c>
      <c r="C10" s="307" t="s">
        <v>1321</v>
      </c>
      <c r="D10" s="308">
        <f t="array" ref="D10">IF(H10=0,0,_xlfn.IFNA(INDEX(NewRecipeTable[ShortCode],MATCH(Middles!$C10&amp;"|"&amp;$B10,NewRecipeTable[Recipe Name]&amp;"|"&amp;NewRecipeTable[Item No.],0)),))</f>
        <v>0</v>
      </c>
      <c r="E10" s="1035" t="str">
        <f t="array" ref="E10">_xlfn.IFNA(INDEX(NewRecipeTable[Active By-Product],MATCH(Middles!$C10&amp;"|"&amp;$B10,NewRecipeTable[Recipe Name]&amp;"|"&amp;NewRecipeTable[Item No.],0)),)</f>
        <v>None</v>
      </c>
      <c r="F10" s="309">
        <f>SUMIF(Middles!$B$94:$B$105,E10,Middles!$G$94:$G$105)</f>
        <v>0</v>
      </c>
      <c r="G10" s="310">
        <f t="shared" ref="G10:G12" si="0">+J10+L10+N10+P10+R10+T10+V10+X10+Z10+AB10+AD10+AF10+AH10+AJ10</f>
        <v>0</v>
      </c>
      <c r="H10" s="310">
        <f t="shared" ref="H10:H12" si="1">+K10+M10+O10+Q10+S10+U10+W10+Y10+AA10+AC10+AE10+AG10+AI10+AK10</f>
        <v>0</v>
      </c>
      <c r="I10" s="984">
        <f>IFERROR(H10/$H$123,)</f>
        <v>0</v>
      </c>
      <c r="J10" s="311"/>
      <c r="K10" s="1018"/>
      <c r="L10" s="313"/>
      <c r="M10" s="312"/>
      <c r="N10" s="313"/>
      <c r="O10" s="312"/>
      <c r="P10" s="311"/>
      <c r="Q10" s="312"/>
      <c r="R10" s="313"/>
      <c r="S10" s="312"/>
      <c r="T10" s="311"/>
      <c r="U10" s="312"/>
      <c r="V10" s="313"/>
      <c r="W10" s="312"/>
      <c r="X10" s="311"/>
      <c r="Y10" s="312"/>
      <c r="Z10" s="313"/>
      <c r="AA10" s="312"/>
      <c r="AB10" s="311"/>
      <c r="AC10" s="312"/>
      <c r="AD10" s="313"/>
      <c r="AE10" s="312"/>
      <c r="AF10" s="311"/>
      <c r="AG10" s="312"/>
      <c r="AH10" s="313"/>
      <c r="AI10" s="312"/>
      <c r="AJ10" s="311"/>
      <c r="AK10" s="312"/>
    </row>
    <row r="11" spans="1:37" ht="12.75" customHeight="1" x14ac:dyDescent="0.25">
      <c r="A11" s="269" t="e">
        <f>_xlfn.IFNA( INDEX(#REF!,MATCH(Middles!E11,#REF!,0)), " ")</f>
        <v>#REF!</v>
      </c>
      <c r="B11" s="306" t="s">
        <v>1322</v>
      </c>
      <c r="C11" s="314" t="s">
        <v>1346</v>
      </c>
      <c r="D11" s="308">
        <f t="array" ref="D11">IF(H11=0,0,_xlfn.IFNA(INDEX(NewRecipeTable[ShortCode],MATCH(Middles!$C11&amp;"|"&amp;$B11,NewRecipeTable[Recipe Name]&amp;"|"&amp;NewRecipeTable[Item No.],0)),))</f>
        <v>0</v>
      </c>
      <c r="E11" s="1035" t="str">
        <f t="array" ref="E11">_xlfn.IFNA(INDEX(NewRecipeTable[Active By-Product],MATCH(Middles!$C11&amp;"|"&amp;$B11,NewRecipeTable[Recipe Name]&amp;"|"&amp;NewRecipeTable[Item No.],0)),)</f>
        <v>G1225</v>
      </c>
      <c r="F11" s="309">
        <f>SUMIF(Middles!$B$94:$B$105,E11,Middles!$G$94:$G$105)</f>
        <v>878</v>
      </c>
      <c r="G11" s="310">
        <f t="shared" si="0"/>
        <v>0</v>
      </c>
      <c r="H11" s="310">
        <f t="shared" si="1"/>
        <v>0</v>
      </c>
      <c r="I11" s="984">
        <f>IFERROR(H11/$H$123,)</f>
        <v>0</v>
      </c>
      <c r="J11" s="311"/>
      <c r="K11" s="312"/>
      <c r="L11" s="313"/>
      <c r="M11" s="312"/>
      <c r="N11" s="313"/>
      <c r="O11" s="312"/>
      <c r="P11" s="311"/>
      <c r="Q11" s="312"/>
      <c r="R11" s="313"/>
      <c r="S11" s="312"/>
      <c r="T11" s="311"/>
      <c r="U11" s="312"/>
      <c r="V11" s="313"/>
      <c r="W11" s="312"/>
      <c r="X11" s="311"/>
      <c r="Y11" s="312"/>
      <c r="Z11" s="313"/>
      <c r="AA11" s="312"/>
      <c r="AB11" s="311"/>
      <c r="AC11" s="312"/>
      <c r="AD11" s="313"/>
      <c r="AE11" s="312"/>
      <c r="AF11" s="311"/>
      <c r="AG11" s="312"/>
      <c r="AH11" s="313"/>
      <c r="AI11" s="312"/>
      <c r="AJ11" s="311"/>
      <c r="AK11" s="312"/>
    </row>
    <row r="12" spans="1:37" ht="12.75" customHeight="1" thickBot="1" x14ac:dyDescent="0.3">
      <c r="A12" s="269" t="e">
        <f>_xlfn.IFNA( INDEX(#REF!,MATCH(Middles!E12,#REF!,0)), " ")</f>
        <v>#REF!</v>
      </c>
      <c r="B12" s="306" t="s">
        <v>1322</v>
      </c>
      <c r="C12" s="307" t="s">
        <v>1348</v>
      </c>
      <c r="D12" s="308">
        <f t="array" ref="D12">IF(H12=0,0,_xlfn.IFNA(INDEX(NewRecipeTable[ShortCode],MATCH(Middles!$C12&amp;"|"&amp;$B12,NewRecipeTable[Recipe Name]&amp;"|"&amp;NewRecipeTable[Item No.],0)),))</f>
        <v>0</v>
      </c>
      <c r="E12" s="1035" t="str">
        <f t="array" ref="E12">_xlfn.IFNA(INDEX(NewRecipeTable[Active By-Product],MATCH(Middles!$C12&amp;"|"&amp;$B12,NewRecipeTable[Recipe Name]&amp;"|"&amp;NewRecipeTable[Item No.],0)),)</f>
        <v>G1222</v>
      </c>
      <c r="F12" s="309">
        <f>SUMIF(Middles!$B$94:$B$105,E12,Middles!$G$94:$G$105)</f>
        <v>131</v>
      </c>
      <c r="G12" s="310">
        <f t="shared" si="0"/>
        <v>0</v>
      </c>
      <c r="H12" s="310">
        <f t="shared" si="1"/>
        <v>0</v>
      </c>
      <c r="I12" s="984">
        <f>IFERROR(H12/$H$123,)</f>
        <v>0</v>
      </c>
      <c r="J12" s="311"/>
      <c r="K12" s="312"/>
      <c r="L12" s="313"/>
      <c r="M12" s="312"/>
      <c r="N12" s="313"/>
      <c r="O12" s="312"/>
      <c r="P12" s="311"/>
      <c r="Q12" s="312"/>
      <c r="R12" s="313"/>
      <c r="S12" s="312"/>
      <c r="T12" s="311"/>
      <c r="U12" s="312"/>
      <c r="V12" s="313"/>
      <c r="W12" s="312"/>
      <c r="X12" s="311"/>
      <c r="Y12" s="312"/>
      <c r="Z12" s="313"/>
      <c r="AA12" s="312"/>
      <c r="AB12" s="311"/>
      <c r="AC12" s="312"/>
      <c r="AD12" s="313"/>
      <c r="AE12" s="312"/>
      <c r="AF12" s="311"/>
      <c r="AG12" s="312"/>
      <c r="AH12" s="313"/>
      <c r="AI12" s="312"/>
      <c r="AJ12" s="311"/>
      <c r="AK12" s="312"/>
    </row>
    <row r="13" spans="1:37" ht="12.75" customHeight="1" x14ac:dyDescent="0.25">
      <c r="A13" s="269" t="e">
        <f>_xlfn.IFNA( INDEX(#REF!,MATCH(Middles!E13,#REF!,0)), " ")</f>
        <v>#REF!</v>
      </c>
      <c r="B13" s="291" t="s">
        <v>112</v>
      </c>
      <c r="C13" s="291" t="s">
        <v>292</v>
      </c>
      <c r="D13" s="292"/>
      <c r="E13" s="978"/>
      <c r="F13" s="294"/>
      <c r="G13" s="295">
        <f>J13+L13+N13+P13+R13+T13+V13+X13+Z13+AB13+AD13+AF13+AH13+AJ13+J14+L14+N14+P14+R14+T14+V14+X14+Z14+AB14+AD14+AF14+AH14+AJ14</f>
        <v>332</v>
      </c>
      <c r="H13" s="295">
        <f>K13+K14+M13+M14+O13+O14+Q13+Q14+S13+S14+U13+U14+W13+W14+Y13+Y14+AA13+AA14+AC13+AC14+AE13+AE14+AG13+AG14+AI13+AI14+AK13+AK14</f>
        <v>718</v>
      </c>
      <c r="I13" s="982">
        <f>IFERROR(H13/$H$123,)</f>
        <v>6.7357755992307325E-2</v>
      </c>
      <c r="J13" s="296">
        <f>[4]Middles!C12</f>
        <v>332</v>
      </c>
      <c r="K13" s="297">
        <f>[4]Middles!D12</f>
        <v>718</v>
      </c>
      <c r="L13" s="296"/>
      <c r="M13" s="297"/>
      <c r="N13" s="296"/>
      <c r="O13" s="297"/>
      <c r="P13" s="298"/>
      <c r="Q13" s="297"/>
      <c r="R13" s="296"/>
      <c r="S13" s="297"/>
      <c r="T13" s="298"/>
      <c r="U13" s="297"/>
      <c r="V13" s="296"/>
      <c r="W13" s="297"/>
      <c r="X13" s="298"/>
      <c r="Y13" s="297"/>
      <c r="Z13" s="296"/>
      <c r="AA13" s="297"/>
      <c r="AB13" s="298"/>
      <c r="AC13" s="297"/>
      <c r="AD13" s="296"/>
      <c r="AE13" s="297"/>
      <c r="AF13" s="298"/>
      <c r="AG13" s="297"/>
      <c r="AH13" s="296"/>
      <c r="AI13" s="297"/>
      <c r="AJ13" s="298"/>
      <c r="AK13" s="297"/>
    </row>
    <row r="14" spans="1:37" ht="12.75" customHeight="1" x14ac:dyDescent="0.25">
      <c r="A14" s="269" t="e">
        <f>_xlfn.IFNA( INDEX(#REF!,MATCH(Middles!E14,#REF!,0)), " ")</f>
        <v>#REF!</v>
      </c>
      <c r="B14" s="299"/>
      <c r="C14" s="299"/>
      <c r="D14" s="300"/>
      <c r="E14" s="1034"/>
      <c r="F14" s="301"/>
      <c r="G14" s="302"/>
      <c r="H14" s="302"/>
      <c r="I14" s="983"/>
      <c r="J14" s="303"/>
      <c r="K14" s="304"/>
      <c r="L14" s="303"/>
      <c r="M14" s="304"/>
      <c r="N14" s="303"/>
      <c r="O14" s="304"/>
      <c r="P14" s="305"/>
      <c r="Q14" s="304"/>
      <c r="R14" s="303"/>
      <c r="S14" s="304"/>
      <c r="T14" s="305"/>
      <c r="U14" s="304"/>
      <c r="V14" s="303"/>
      <c r="W14" s="304"/>
      <c r="X14" s="305"/>
      <c r="Y14" s="304"/>
      <c r="Z14" s="303"/>
      <c r="AA14" s="304"/>
      <c r="AB14" s="305"/>
      <c r="AC14" s="304"/>
      <c r="AD14" s="303"/>
      <c r="AE14" s="304"/>
      <c r="AF14" s="305"/>
      <c r="AG14" s="304"/>
      <c r="AH14" s="303"/>
      <c r="AI14" s="304"/>
      <c r="AJ14" s="305"/>
      <c r="AK14" s="304"/>
    </row>
    <row r="15" spans="1:37" ht="12.75" customHeight="1" x14ac:dyDescent="0.25">
      <c r="A15" s="269" t="e">
        <f>_xlfn.IFNA( INDEX(#REF!,MATCH(Middles!E15,#REF!,0)), " ")</f>
        <v>#REF!</v>
      </c>
      <c r="B15" s="306" t="s">
        <v>112</v>
      </c>
      <c r="C15" s="307" t="s">
        <v>553</v>
      </c>
      <c r="D15" s="308" t="str">
        <f t="array" ref="D15">IF(H15=0,0,_xlfn.IFNA(INDEX(NewRecipeTable[ShortCode],MATCH(Middles!$C15&amp;"|"&amp;$B15,NewRecipeTable[Recipe Name]&amp;"|"&amp;NewRecipeTable[Item No.],0)),))</f>
        <v>2C081189</v>
      </c>
      <c r="E15" s="1035" t="str">
        <f t="array" ref="E15">_xlfn.IFNA(INDEX(NewRecipeTable[Active By-Product],MATCH(Middles!$C15&amp;"|"&amp;$B15,NewRecipeTable[Recipe Name]&amp;"|"&amp;NewRecipeTable[Item No.],0)),)</f>
        <v>None</v>
      </c>
      <c r="F15" s="309">
        <f>SUMIF(Middles!$B$94:$B$105,E15,Middles!$G$94:$G$105)</f>
        <v>0</v>
      </c>
      <c r="G15" s="310">
        <f t="shared" ref="G15" si="2">+J15+L15+N15+P15+R15+T15+V15+X15+Z15+AB15+AD15+AF15+AH15+AJ15</f>
        <v>332</v>
      </c>
      <c r="H15" s="310">
        <f t="shared" ref="H15" si="3">+K15+M15+O15+Q15+S15+U15+W15+Y15+AA15+AC15+AE15+AG15+AI15+AK15</f>
        <v>718</v>
      </c>
      <c r="I15" s="984">
        <f t="shared" ref="I15:I21" si="4">IFERROR(H15/$H$123,)</f>
        <v>6.7357755992307325E-2</v>
      </c>
      <c r="J15" s="311">
        <v>332</v>
      </c>
      <c r="K15" s="1018">
        <v>718</v>
      </c>
      <c r="L15" s="313"/>
      <c r="M15" s="312"/>
      <c r="N15" s="313"/>
      <c r="O15" s="312"/>
      <c r="P15" s="311"/>
      <c r="Q15" s="312"/>
      <c r="R15" s="313"/>
      <c r="S15" s="312"/>
      <c r="T15" s="311"/>
      <c r="U15" s="312"/>
      <c r="V15" s="313"/>
      <c r="W15" s="312"/>
      <c r="X15" s="311"/>
      <c r="Y15" s="312"/>
      <c r="Z15" s="313"/>
      <c r="AA15" s="312"/>
      <c r="AB15" s="311"/>
      <c r="AC15" s="312"/>
      <c r="AD15" s="313"/>
      <c r="AE15" s="312"/>
      <c r="AF15" s="311"/>
      <c r="AG15" s="312"/>
      <c r="AH15" s="313"/>
      <c r="AI15" s="312"/>
      <c r="AJ15" s="311"/>
      <c r="AK15" s="312"/>
    </row>
    <row r="16" spans="1:37" ht="12.75" customHeight="1" x14ac:dyDescent="0.25">
      <c r="A16" s="269" t="e">
        <f>_xlfn.IFNA( INDEX(#REF!,MATCH(Middles!E16,#REF!,0)), " ")</f>
        <v>#REF!</v>
      </c>
      <c r="B16" s="306" t="s">
        <v>112</v>
      </c>
      <c r="C16" s="314" t="s">
        <v>557</v>
      </c>
      <c r="D16" s="308">
        <f t="array" ref="D16">IF(H16=0,0,_xlfn.IFNA(INDEX(NewRecipeTable[ShortCode],MATCH(Middles!$C16&amp;"|"&amp;$B16,NewRecipeTable[Recipe Name]&amp;"|"&amp;NewRecipeTable[Item No.],0)),))</f>
        <v>0</v>
      </c>
      <c r="E16" s="1035" t="str">
        <f t="array" ref="E16">_xlfn.IFNA(INDEX(NewRecipeTable[Active By-Product],MATCH(Middles!$C16&amp;"|"&amp;$B16,NewRecipeTable[Recipe Name]&amp;"|"&amp;NewRecipeTable[Item No.],0)),)</f>
        <v>G1224</v>
      </c>
      <c r="F16" s="309">
        <f>SUMIF(Middles!$B$94:$B$105,E16,Middles!$G$94:$G$105)</f>
        <v>25</v>
      </c>
      <c r="G16" s="310">
        <f t="shared" ref="G16" si="5">+J16+L16+N16+P16+R16+T16+V16+X16+Z16+AB16+AD16+AF16+AH16+AJ16</f>
        <v>0</v>
      </c>
      <c r="H16" s="310">
        <f t="shared" ref="H16" si="6">+K16+M16+O16+Q16+S16+U16+W16+Y16+AA16+AC16+AE16+AG16+AI16+AK16</f>
        <v>0</v>
      </c>
      <c r="I16" s="984">
        <f t="shared" si="4"/>
        <v>0</v>
      </c>
      <c r="J16" s="311"/>
      <c r="K16" s="312"/>
      <c r="L16" s="313"/>
      <c r="M16" s="312"/>
      <c r="N16" s="313"/>
      <c r="O16" s="312"/>
      <c r="P16" s="311"/>
      <c r="Q16" s="312"/>
      <c r="R16" s="313"/>
      <c r="S16" s="312"/>
      <c r="T16" s="311"/>
      <c r="U16" s="312"/>
      <c r="V16" s="313"/>
      <c r="W16" s="312"/>
      <c r="X16" s="311"/>
      <c r="Y16" s="312"/>
      <c r="Z16" s="313"/>
      <c r="AA16" s="312"/>
      <c r="AB16" s="311"/>
      <c r="AC16" s="312"/>
      <c r="AD16" s="313"/>
      <c r="AE16" s="312"/>
      <c r="AF16" s="311"/>
      <c r="AG16" s="312"/>
      <c r="AH16" s="313"/>
      <c r="AI16" s="312"/>
      <c r="AJ16" s="311"/>
      <c r="AK16" s="312"/>
    </row>
    <row r="17" spans="1:37" ht="12.75" customHeight="1" x14ac:dyDescent="0.25">
      <c r="A17" s="269" t="e">
        <f>_xlfn.IFNA( INDEX(#REF!,MATCH(Middles!E17,#REF!,0)), " ")</f>
        <v>#REF!</v>
      </c>
      <c r="B17" s="306" t="s">
        <v>112</v>
      </c>
      <c r="C17" s="307" t="s">
        <v>559</v>
      </c>
      <c r="D17" s="308">
        <f t="array" ref="D17">IF(H17=0,0,_xlfn.IFNA(INDEX(NewRecipeTable[ShortCode],MATCH(Middles!$C17&amp;"|"&amp;$B17,NewRecipeTable[Recipe Name]&amp;"|"&amp;NewRecipeTable[Item No.],0)),))</f>
        <v>0</v>
      </c>
      <c r="E17" s="1035" t="str">
        <f t="array" ref="E17">_xlfn.IFNA(INDEX(NewRecipeTable[Active By-Product],MATCH(Middles!$C17&amp;"|"&amp;$B17,NewRecipeTable[Recipe Name]&amp;"|"&amp;NewRecipeTable[Item No.],0)),)</f>
        <v>G1222</v>
      </c>
      <c r="F17" s="309">
        <f>SUMIF(Middles!$B$94:$B$105,E17,Middles!$G$94:$G$105)</f>
        <v>131</v>
      </c>
      <c r="G17" s="310">
        <f t="shared" ref="G17" si="7">+J17+L17+N17+P17+R17+T17+V17+X17+Z17+AB17+AD17+AF17+AH17+AJ17</f>
        <v>0</v>
      </c>
      <c r="H17" s="310">
        <f t="shared" ref="H17" si="8">+K17+M17+O17+Q17+S17+U17+W17+Y17+AA17+AC17+AE17+AG17+AI17+AK17</f>
        <v>0</v>
      </c>
      <c r="I17" s="984">
        <f t="shared" si="4"/>
        <v>0</v>
      </c>
      <c r="J17" s="311"/>
      <c r="K17" s="312"/>
      <c r="L17" s="313"/>
      <c r="M17" s="312"/>
      <c r="N17" s="313"/>
      <c r="O17" s="312"/>
      <c r="P17" s="311"/>
      <c r="Q17" s="312"/>
      <c r="R17" s="313"/>
      <c r="S17" s="312"/>
      <c r="T17" s="311"/>
      <c r="U17" s="312"/>
      <c r="V17" s="313"/>
      <c r="W17" s="312"/>
      <c r="X17" s="311"/>
      <c r="Y17" s="312"/>
      <c r="Z17" s="313"/>
      <c r="AA17" s="312"/>
      <c r="AB17" s="311"/>
      <c r="AC17" s="312"/>
      <c r="AD17" s="313"/>
      <c r="AE17" s="312"/>
      <c r="AF17" s="311"/>
      <c r="AG17" s="312"/>
      <c r="AH17" s="313"/>
      <c r="AI17" s="312"/>
      <c r="AJ17" s="311"/>
      <c r="AK17" s="312"/>
    </row>
    <row r="18" spans="1:37" ht="12.75" customHeight="1" x14ac:dyDescent="0.25">
      <c r="A18" s="269" t="e">
        <f>_xlfn.IFNA( INDEX(#REF!,MATCH(Middles!E18,#REF!,0)), " ")</f>
        <v>#REF!</v>
      </c>
      <c r="B18" s="315" t="s">
        <v>112</v>
      </c>
      <c r="C18" t="s">
        <v>561</v>
      </c>
      <c r="D18" s="308">
        <f t="array" ref="D18">IF(H18=0,0,_xlfn.IFNA(INDEX(NewRecipeTable[ShortCode],MATCH(Middles!$C18&amp;"|"&amp;$B18,NewRecipeTable[Recipe Name]&amp;"|"&amp;NewRecipeTable[Item No.],0)),))</f>
        <v>0</v>
      </c>
      <c r="E18" s="1035" t="str">
        <f t="array" ref="E18">_xlfn.IFNA(INDEX(NewRecipeTable[Active By-Product],MATCH(Middles!$C18&amp;"|"&amp;$B18,NewRecipeTable[Recipe Name]&amp;"|"&amp;NewRecipeTable[Item No.],0)),)</f>
        <v>G1221</v>
      </c>
      <c r="F18" s="309">
        <f>SUMIF(Middles!$B$94:$B$105,E18,Middles!$G$94:$G$105)</f>
        <v>0</v>
      </c>
      <c r="G18" s="316">
        <f t="shared" ref="G18:G20" si="9">+J18+L18+N18+P18+R18+T18+V18+X18+Z18+AB18+AD18+AF18+AH18+AJ18</f>
        <v>0</v>
      </c>
      <c r="H18" s="316">
        <f t="shared" ref="H18:H20" si="10">+K18+M18+O18+Q18+S18+U18+W18+Y18+AA18+AC18+AE18+AG18+AI18+AK18</f>
        <v>0</v>
      </c>
      <c r="I18" s="985">
        <f t="shared" si="4"/>
        <v>0</v>
      </c>
      <c r="J18" s="317"/>
      <c r="K18" s="318"/>
      <c r="L18" s="319"/>
      <c r="M18" s="318"/>
      <c r="N18" s="319"/>
      <c r="O18" s="318"/>
      <c r="P18" s="317"/>
      <c r="Q18" s="318"/>
      <c r="R18" s="319"/>
      <c r="S18" s="318"/>
      <c r="T18" s="317"/>
      <c r="U18" s="318"/>
      <c r="V18" s="319"/>
      <c r="W18" s="318"/>
      <c r="X18" s="317"/>
      <c r="Y18" s="318"/>
      <c r="Z18" s="319"/>
      <c r="AA18" s="318"/>
      <c r="AB18" s="317"/>
      <c r="AC18" s="318"/>
      <c r="AD18" s="319"/>
      <c r="AE18" s="318"/>
      <c r="AF18" s="317"/>
      <c r="AG18" s="318"/>
      <c r="AH18" s="319"/>
      <c r="AI18" s="318"/>
      <c r="AJ18" s="317"/>
      <c r="AK18" s="318"/>
    </row>
    <row r="19" spans="1:37" ht="12.75" customHeight="1" x14ac:dyDescent="0.25">
      <c r="A19" s="269" t="e">
        <f>_xlfn.IFNA( INDEX(#REF!,MATCH(Middles!E19,#REF!,0)), " ")</f>
        <v>#REF!</v>
      </c>
      <c r="B19" s="315" t="s">
        <v>112</v>
      </c>
      <c r="C19" s="307" t="s">
        <v>563</v>
      </c>
      <c r="D19" s="308">
        <f t="array" ref="D19">IF(H19=0,0,_xlfn.IFNA(INDEX(NewRecipeTable[ShortCode],MATCH(Middles!$C19&amp;"|"&amp;$B19,NewRecipeTable[Recipe Name]&amp;"|"&amp;NewRecipeTable[Item No.],0)),))</f>
        <v>0</v>
      </c>
      <c r="E19" s="1035" t="str">
        <f t="array" ref="E19">_xlfn.IFNA(INDEX(NewRecipeTable[Active By-Product],MATCH(Middles!$C19&amp;"|"&amp;$B19,NewRecipeTable[Recipe Name]&amp;"|"&amp;NewRecipeTable[Item No.],0)),)</f>
        <v>Double|ByProducts</v>
      </c>
      <c r="F19" s="309">
        <f>SUMIF(Middles!$B$94:$B$105,E19,Middles!$G$94:$G$105)</f>
        <v>0</v>
      </c>
      <c r="G19" s="316">
        <f t="shared" si="9"/>
        <v>0</v>
      </c>
      <c r="H19" s="316">
        <f t="shared" si="10"/>
        <v>0</v>
      </c>
      <c r="I19" s="985">
        <f t="shared" si="4"/>
        <v>0</v>
      </c>
      <c r="J19" s="317"/>
      <c r="K19" s="318"/>
      <c r="L19" s="319"/>
      <c r="M19" s="318"/>
      <c r="N19" s="317"/>
      <c r="O19" s="318"/>
      <c r="P19" s="319"/>
      <c r="Q19" s="318"/>
      <c r="R19" s="317"/>
      <c r="S19" s="318"/>
      <c r="T19" s="317"/>
      <c r="U19" s="318"/>
      <c r="V19" s="319"/>
      <c r="W19" s="318"/>
      <c r="X19" s="317"/>
      <c r="Y19" s="318"/>
      <c r="Z19" s="319"/>
      <c r="AA19" s="318"/>
      <c r="AB19" s="317"/>
      <c r="AC19" s="318"/>
      <c r="AD19" s="317"/>
      <c r="AE19" s="318"/>
      <c r="AF19" s="317"/>
      <c r="AG19" s="318"/>
      <c r="AH19" s="317"/>
      <c r="AI19" s="318"/>
      <c r="AJ19" s="317"/>
      <c r="AK19" s="318"/>
    </row>
    <row r="20" spans="1:37" ht="12.75" customHeight="1" thickBot="1" x14ac:dyDescent="0.3">
      <c r="A20" s="269" t="e">
        <f>_xlfn.IFNA( INDEX(#REF!,MATCH(Middles!E20,#REF!,0)), " ")</f>
        <v>#REF!</v>
      </c>
      <c r="B20" s="320" t="s">
        <v>112</v>
      </c>
      <c r="C20" s="321" t="s">
        <v>291</v>
      </c>
      <c r="D20" s="308">
        <f t="array" ref="D20">IF(H20=0,0,_xlfn.IFNA(INDEX(NewRecipeTable[ShortCode],MATCH(Middles!$C20&amp;"|"&amp;$B20,NewRecipeTable[Recipe Name]&amp;"|"&amp;NewRecipeTable[Item No.],0)),))</f>
        <v>0</v>
      </c>
      <c r="E20" s="1035" t="str">
        <f t="array" ref="E20">_xlfn.IFNA(INDEX(NewRecipeTable[Active By-Product],MATCH(Middles!$C20&amp;"|"&amp;$B20,NewRecipeTable[Recipe Name]&amp;"|"&amp;NewRecipeTable[Item No.],0)),)</f>
        <v>G1225</v>
      </c>
      <c r="F20" s="309">
        <f>SUMIF(Middles!$B$94:$B$105,E20,Middles!$G$94:$G$105)</f>
        <v>878</v>
      </c>
      <c r="G20" s="322">
        <f t="shared" si="9"/>
        <v>0</v>
      </c>
      <c r="H20" s="322">
        <f t="shared" si="10"/>
        <v>0</v>
      </c>
      <c r="I20" s="986">
        <f t="shared" si="4"/>
        <v>0</v>
      </c>
      <c r="J20" s="323"/>
      <c r="K20" s="324"/>
      <c r="L20" s="325"/>
      <c r="M20" s="324"/>
      <c r="N20" s="323"/>
      <c r="O20" s="324"/>
      <c r="P20" s="325"/>
      <c r="Q20" s="324"/>
      <c r="R20" s="323"/>
      <c r="S20" s="324"/>
      <c r="T20" s="323"/>
      <c r="U20" s="324"/>
      <c r="V20" s="325"/>
      <c r="W20" s="324"/>
      <c r="X20" s="323"/>
      <c r="Y20" s="324"/>
      <c r="Z20" s="325"/>
      <c r="AA20" s="324"/>
      <c r="AB20" s="323"/>
      <c r="AC20" s="324"/>
      <c r="AD20" s="323"/>
      <c r="AE20" s="324"/>
      <c r="AF20" s="323"/>
      <c r="AG20" s="324"/>
      <c r="AH20" s="323"/>
      <c r="AI20" s="324"/>
      <c r="AJ20" s="323"/>
      <c r="AK20" s="324"/>
    </row>
    <row r="21" spans="1:37" ht="12.75" customHeight="1" x14ac:dyDescent="0.25">
      <c r="A21" s="269" t="e">
        <f>_xlfn.IFNA( INDEX(#REF!,MATCH(Middles!E21,#REF!,0)), " ")</f>
        <v>#REF!</v>
      </c>
      <c r="B21" s="291" t="s">
        <v>1357</v>
      </c>
      <c r="C21" s="291" t="s">
        <v>1358</v>
      </c>
      <c r="D21" s="292"/>
      <c r="E21" s="387"/>
      <c r="F21" s="294"/>
      <c r="G21" s="295">
        <f>J21+L21+N21+P21+R21+T21+V21+X21+Z21+AB21+AD21+AF21+AH21+AJ21+J22+L22+N22+P22+R22+T22+V22+X22+Z22+AB22+AD22+AF22+AH22+AJ22</f>
        <v>0</v>
      </c>
      <c r="H21" s="295">
        <f>K21+K22+M21+M22+O21+O22+Q21+Q22+S21+S22+U21+U22+W21+W22+Y21+Y22+AA21+AA22+AC21+AC22+AE21+AE22+AG21+AG22+AI21+AI22+AK21+AK22</f>
        <v>0</v>
      </c>
      <c r="I21" s="982">
        <f t="shared" si="4"/>
        <v>0</v>
      </c>
      <c r="J21" s="296">
        <f>[4]Middles!C10</f>
        <v>0</v>
      </c>
      <c r="K21" s="297">
        <f>[4]Middles!D10</f>
        <v>0</v>
      </c>
      <c r="L21" s="296"/>
      <c r="M21" s="297"/>
      <c r="N21" s="296"/>
      <c r="O21" s="297"/>
      <c r="P21" s="298"/>
      <c r="Q21" s="297"/>
      <c r="R21" s="296"/>
      <c r="S21" s="297"/>
      <c r="T21" s="298"/>
      <c r="U21" s="297"/>
      <c r="V21" s="296"/>
      <c r="W21" s="297"/>
      <c r="X21" s="298"/>
      <c r="Y21" s="297"/>
      <c r="Z21" s="296"/>
      <c r="AA21" s="297"/>
      <c r="AB21" s="298"/>
      <c r="AC21" s="297"/>
      <c r="AD21" s="296"/>
      <c r="AE21" s="297"/>
      <c r="AF21" s="298"/>
      <c r="AG21" s="297"/>
      <c r="AH21" s="296"/>
      <c r="AI21" s="297"/>
      <c r="AJ21" s="298"/>
      <c r="AK21" s="297"/>
    </row>
    <row r="22" spans="1:37" ht="12.75" customHeight="1" x14ac:dyDescent="0.25">
      <c r="A22" s="269" t="e">
        <f>_xlfn.IFNA( INDEX(#REF!,MATCH(Middles!E22,#REF!,0)), " ")</f>
        <v>#REF!</v>
      </c>
      <c r="B22" s="299"/>
      <c r="C22" s="299"/>
      <c r="D22" s="300"/>
      <c r="E22" s="1034"/>
      <c r="F22" s="301"/>
      <c r="G22" s="302"/>
      <c r="H22" s="302"/>
      <c r="I22" s="983"/>
      <c r="J22" s="303"/>
      <c r="K22" s="304"/>
      <c r="L22" s="303"/>
      <c r="M22" s="304"/>
      <c r="N22" s="303"/>
      <c r="O22" s="304"/>
      <c r="P22" s="305"/>
      <c r="Q22" s="304"/>
      <c r="R22" s="303"/>
      <c r="S22" s="304"/>
      <c r="T22" s="305"/>
      <c r="U22" s="304"/>
      <c r="V22" s="303"/>
      <c r="W22" s="304"/>
      <c r="X22" s="305"/>
      <c r="Y22" s="304"/>
      <c r="Z22" s="303"/>
      <c r="AA22" s="304"/>
      <c r="AB22" s="305"/>
      <c r="AC22" s="304"/>
      <c r="AD22" s="303"/>
      <c r="AE22" s="304"/>
      <c r="AF22" s="305"/>
      <c r="AG22" s="304"/>
      <c r="AH22" s="303"/>
      <c r="AI22" s="304"/>
      <c r="AJ22" s="305"/>
      <c r="AK22" s="304"/>
    </row>
    <row r="23" spans="1:37" ht="12.75" customHeight="1" thickBot="1" x14ac:dyDescent="0.3">
      <c r="A23" s="269" t="e">
        <f>_xlfn.IFNA( INDEX(#REF!,MATCH(Middles!E23,#REF!,0)), " ")</f>
        <v>#REF!</v>
      </c>
      <c r="B23" s="306" t="s">
        <v>1357</v>
      </c>
      <c r="C23" s="314" t="s">
        <v>1356</v>
      </c>
      <c r="D23" s="308">
        <f t="array" ref="D23">IF(H23=0,0,_xlfn.IFNA(INDEX(NewRecipeTable[ShortCode],MATCH(Middles!$C23&amp;"|"&amp;$B23,NewRecipeTable[Recipe Name]&amp;"|"&amp;NewRecipeTable[Item No.],0)),))</f>
        <v>0</v>
      </c>
      <c r="E23" s="1035" t="str">
        <f t="array" ref="E23">_xlfn.IFNA(INDEX(NewRecipeTable[Active By-Product],MATCH(Middles!$C23&amp;"|"&amp;$B23,NewRecipeTable[Recipe Name]&amp;"|"&amp;NewRecipeTable[Item No.],0)),)</f>
        <v>None|Bones-G1231</v>
      </c>
      <c r="F23" s="309">
        <f>SUMIF(Middles!$B$94:$B$105,E23,Middles!$G$94:$G$105)</f>
        <v>0</v>
      </c>
      <c r="G23" s="310">
        <f t="shared" ref="G23" si="11">+J23+L23+N23+P23+R23+T23+V23+X23+Z23+AB23+AD23+AF23+AH23+AJ23</f>
        <v>0</v>
      </c>
      <c r="H23" s="310">
        <f>+K23+M23+O23+Q23+S23+U23+W23+Y23+AA23+AC23+AE23+AG23+AI23+AK23</f>
        <v>0</v>
      </c>
      <c r="I23" s="984">
        <f>IFERROR(H23/$H$123,)</f>
        <v>0</v>
      </c>
      <c r="J23" s="311"/>
      <c r="K23" s="312"/>
      <c r="L23" s="313"/>
      <c r="M23" s="312"/>
      <c r="N23" s="313"/>
      <c r="O23" s="312"/>
      <c r="P23" s="311"/>
      <c r="Q23" s="312"/>
      <c r="R23" s="313"/>
      <c r="S23" s="312"/>
      <c r="T23" s="311"/>
      <c r="U23" s="312"/>
      <c r="V23" s="313"/>
      <c r="W23" s="312"/>
      <c r="X23" s="311"/>
      <c r="Y23" s="312"/>
      <c r="Z23" s="313"/>
      <c r="AA23" s="312"/>
      <c r="AB23" s="311"/>
      <c r="AC23" s="312"/>
      <c r="AD23" s="313"/>
      <c r="AE23" s="312"/>
      <c r="AF23" s="311"/>
      <c r="AG23" s="312"/>
      <c r="AH23" s="313"/>
      <c r="AI23" s="312"/>
      <c r="AJ23" s="311"/>
      <c r="AK23" s="312"/>
    </row>
    <row r="24" spans="1:37" ht="12.75" customHeight="1" x14ac:dyDescent="0.25">
      <c r="A24" s="269" t="e">
        <f>_xlfn.IFNA( INDEX(#REF!,MATCH(Middles!E24,#REF!,0)), " ")</f>
        <v>#REF!</v>
      </c>
      <c r="B24" s="291" t="s">
        <v>114</v>
      </c>
      <c r="C24" s="291" t="s">
        <v>276</v>
      </c>
      <c r="D24" s="292"/>
      <c r="E24" s="387"/>
      <c r="F24" s="294"/>
      <c r="G24" s="295">
        <f>J24+L24+N24+P24+R24+T24+V24+X24+Z24+AB24+AD24+AF24+AH24+AJ24+J25+L25+N25+P25+R25+T25+V25+X25+Z25+AB25+AD25+AF25+AH25+AJ25</f>
        <v>208</v>
      </c>
      <c r="H24" s="295">
        <f>K24+K25+M24+M25+O24+O25+Q24+Q25+S24+S25+U24+U25+W24+W25+Y24+Y25+AA24+AA25+AC24+AC25+AE24+AE25+AG24+AG25+AI24+AI25+AK24+AK25</f>
        <v>549.5</v>
      </c>
      <c r="I24" s="982">
        <f>IFERROR(H24/$H$123,)</f>
        <v>5.1550260331159996E-2</v>
      </c>
      <c r="J24" s="296">
        <f>[4]Middles!C13</f>
        <v>208</v>
      </c>
      <c r="K24" s="297">
        <f>[4]Middles!D13</f>
        <v>549.5</v>
      </c>
      <c r="L24" s="296"/>
      <c r="M24" s="297"/>
      <c r="N24" s="296"/>
      <c r="O24" s="297"/>
      <c r="P24" s="298"/>
      <c r="Q24" s="297"/>
      <c r="R24" s="296"/>
      <c r="S24" s="297"/>
      <c r="T24" s="298"/>
      <c r="U24" s="297"/>
      <c r="V24" s="296"/>
      <c r="W24" s="297"/>
      <c r="X24" s="298"/>
      <c r="Y24" s="297"/>
      <c r="Z24" s="296"/>
      <c r="AA24" s="297"/>
      <c r="AB24" s="298"/>
      <c r="AC24" s="297"/>
      <c r="AD24" s="296"/>
      <c r="AE24" s="297"/>
      <c r="AF24" s="298"/>
      <c r="AG24" s="297"/>
      <c r="AH24" s="296"/>
      <c r="AI24" s="297"/>
      <c r="AJ24" s="298"/>
      <c r="AK24" s="297"/>
    </row>
    <row r="25" spans="1:37" ht="12.75" customHeight="1" x14ac:dyDescent="0.25">
      <c r="A25" s="269" t="e">
        <f>_xlfn.IFNA( INDEX(#REF!,MATCH(Middles!E25,#REF!,0)), " ")</f>
        <v>#REF!</v>
      </c>
      <c r="B25" s="299"/>
      <c r="C25" s="299"/>
      <c r="D25" s="300"/>
      <c r="E25" s="1034"/>
      <c r="F25" s="301"/>
      <c r="G25" s="302"/>
      <c r="H25" s="302"/>
      <c r="I25" s="983"/>
      <c r="J25" s="303"/>
      <c r="K25" s="304"/>
      <c r="L25" s="303"/>
      <c r="M25" s="304"/>
      <c r="N25" s="303"/>
      <c r="O25" s="304"/>
      <c r="P25" s="305"/>
      <c r="Q25" s="304"/>
      <c r="R25" s="303"/>
      <c r="S25" s="304"/>
      <c r="T25" s="305"/>
      <c r="U25" s="304"/>
      <c r="V25" s="303"/>
      <c r="W25" s="304"/>
      <c r="X25" s="305"/>
      <c r="Y25" s="304"/>
      <c r="Z25" s="303"/>
      <c r="AA25" s="304"/>
      <c r="AB25" s="305"/>
      <c r="AC25" s="304"/>
      <c r="AD25" s="303"/>
      <c r="AE25" s="304"/>
      <c r="AF25" s="305"/>
      <c r="AG25" s="304"/>
      <c r="AH25" s="303"/>
      <c r="AI25" s="304"/>
      <c r="AJ25" s="305"/>
      <c r="AK25" s="304"/>
    </row>
    <row r="26" spans="1:37" ht="12.75" customHeight="1" x14ac:dyDescent="0.25">
      <c r="A26" s="269" t="e">
        <f>_xlfn.IFNA( INDEX(#REF!,MATCH(Middles!E26,#REF!,0)), " ")</f>
        <v>#REF!</v>
      </c>
      <c r="B26" s="306" t="s">
        <v>114</v>
      </c>
      <c r="C26" s="314" t="s">
        <v>275</v>
      </c>
      <c r="D26" s="308">
        <f t="array" ref="D26">IF(H26=0,0,_xlfn.IFNA(INDEX(NewRecipeTable[ShortCode],MATCH(Middles!$C26&amp;"|"&amp;$B26,NewRecipeTable[Recipe Name]&amp;"|"&amp;NewRecipeTable[Item No.],0)),))</f>
        <v>0</v>
      </c>
      <c r="E26" s="1035" t="str">
        <f t="array" ref="E26">_xlfn.IFNA(INDEX(NewRecipeTable[Active By-Product],MATCH(Middles!$C26&amp;"|"&amp;$B26,NewRecipeTable[Recipe Name]&amp;"|"&amp;NewRecipeTable[Item No.],0)),)</f>
        <v>G1225</v>
      </c>
      <c r="F26" s="309">
        <f>SUMIF(Middles!$B$94:$B$105,E26,Middles!$G$94:$G$105)</f>
        <v>878</v>
      </c>
      <c r="G26" s="310">
        <f t="shared" ref="G26:G34" si="12">+J26+L26+N26+P26+R26+T26+V26+X26+Z26+AB26+AD26+AF26+AH26+AJ26</f>
        <v>0</v>
      </c>
      <c r="H26" s="310">
        <f>+K26+M26+O26+Q26+S26+U26+W26+Y26+AA26+AC26+AE26+AG26+AI26+AK26</f>
        <v>0</v>
      </c>
      <c r="I26" s="984">
        <f t="shared" ref="I26:I35" si="13">IFERROR(H26/$H$123,)</f>
        <v>0</v>
      </c>
      <c r="J26" s="311"/>
      <c r="K26" s="312"/>
      <c r="L26" s="313"/>
      <c r="M26" s="312"/>
      <c r="N26" s="313"/>
      <c r="O26" s="312"/>
      <c r="P26" s="311"/>
      <c r="Q26" s="312"/>
      <c r="R26" s="313"/>
      <c r="S26" s="312"/>
      <c r="T26" s="311"/>
      <c r="U26" s="312"/>
      <c r="V26" s="313"/>
      <c r="W26" s="312"/>
      <c r="X26" s="311"/>
      <c r="Y26" s="312"/>
      <c r="Z26" s="313"/>
      <c r="AA26" s="312"/>
      <c r="AB26" s="311"/>
      <c r="AC26" s="312"/>
      <c r="AD26" s="313"/>
      <c r="AE26" s="312"/>
      <c r="AF26" s="311"/>
      <c r="AG26" s="312"/>
      <c r="AH26" s="313"/>
      <c r="AI26" s="312"/>
      <c r="AJ26" s="311"/>
      <c r="AK26" s="312"/>
    </row>
    <row r="27" spans="1:37" ht="12.75" customHeight="1" x14ac:dyDescent="0.25">
      <c r="A27" s="269" t="e">
        <f>_xlfn.IFNA( INDEX(#REF!,MATCH(Middles!E27,#REF!,0)), " ")</f>
        <v>#REF!</v>
      </c>
      <c r="B27" s="315" t="s">
        <v>114</v>
      </c>
      <c r="C27" s="307" t="s">
        <v>277</v>
      </c>
      <c r="D27" s="308">
        <f t="array" ref="D27">IF(H27=0,0,_xlfn.IFNA(INDEX(NewRecipeTable[ShortCode],MATCH(Middles!$C27&amp;"|"&amp;$B27,NewRecipeTable[Recipe Name]&amp;"|"&amp;NewRecipeTable[Item No.],0)),))</f>
        <v>0</v>
      </c>
      <c r="E27" s="1035" t="str">
        <f t="array" ref="E27">_xlfn.IFNA(INDEX(NewRecipeTable[Active By-Product],MATCH(Middles!$C27&amp;"|"&amp;$B27,NewRecipeTable[Recipe Name]&amp;"|"&amp;NewRecipeTable[Item No.],0)),)</f>
        <v>G1225</v>
      </c>
      <c r="F27" s="309">
        <f>SUMIF(Middles!$B$94:$B$105,E27,Middles!$G$94:$G$105)</f>
        <v>878</v>
      </c>
      <c r="G27" s="310">
        <f t="shared" si="12"/>
        <v>0</v>
      </c>
      <c r="H27" s="316">
        <f t="shared" ref="H27:H34" si="14">+K27+M27+O27+Q27+S27+U27+W27+Y27+AA27+AC27+AE27+AG27+AI27+AK27</f>
        <v>0</v>
      </c>
      <c r="I27" s="985">
        <f t="shared" si="13"/>
        <v>0</v>
      </c>
      <c r="J27" s="317"/>
      <c r="K27" s="318"/>
      <c r="L27" s="319"/>
      <c r="M27" s="318"/>
      <c r="N27" s="319"/>
      <c r="O27" s="318"/>
      <c r="P27" s="317"/>
      <c r="Q27" s="318"/>
      <c r="R27" s="319"/>
      <c r="S27" s="318"/>
      <c r="T27" s="317"/>
      <c r="U27" s="318"/>
      <c r="V27" s="319"/>
      <c r="W27" s="318"/>
      <c r="X27" s="317"/>
      <c r="Y27" s="318"/>
      <c r="Z27" s="319"/>
      <c r="AA27" s="318"/>
      <c r="AB27" s="317"/>
      <c r="AC27" s="318"/>
      <c r="AD27" s="319"/>
      <c r="AE27" s="318"/>
      <c r="AF27" s="317"/>
      <c r="AG27" s="318"/>
      <c r="AH27" s="319"/>
      <c r="AI27" s="318"/>
      <c r="AJ27" s="317"/>
      <c r="AK27" s="318"/>
    </row>
    <row r="28" spans="1:37" ht="12.75" customHeight="1" x14ac:dyDescent="0.25">
      <c r="A28" s="269" t="e">
        <f>_xlfn.IFNA( INDEX(#REF!,MATCH(Middles!E28,#REF!,0)), " ")</f>
        <v>#REF!</v>
      </c>
      <c r="B28" s="315" t="s">
        <v>114</v>
      </c>
      <c r="C28" s="307" t="s">
        <v>281</v>
      </c>
      <c r="D28" s="308">
        <f t="array" ref="D28">IF(H28=0,0,_xlfn.IFNA(INDEX(NewRecipeTable[ShortCode],MATCH(Middles!$C28&amp;"|"&amp;$B28,NewRecipeTable[Recipe Name]&amp;"|"&amp;NewRecipeTable[Item No.],0)),))</f>
        <v>0</v>
      </c>
      <c r="E28" s="1035" t="str">
        <f t="array" ref="E28">_xlfn.IFNA(INDEX(NewRecipeTable[Active By-Product],MATCH(Middles!$C28&amp;"|"&amp;$B28,NewRecipeTable[Recipe Name]&amp;"|"&amp;NewRecipeTable[Item No.],0)),)</f>
        <v>G1222</v>
      </c>
      <c r="F28" s="309">
        <f>SUMIF(Middles!$B$94:$B$105,E28,Middles!$G$94:$G$105)</f>
        <v>131</v>
      </c>
      <c r="G28" s="310">
        <f t="shared" ref="G28:G30" si="15">+J28+L28+N28+P28+R28+T28+V28+X28+Z28+AB28+AD28+AF28+AH28+AJ28</f>
        <v>0</v>
      </c>
      <c r="H28" s="316">
        <f t="shared" ref="H28:H30" si="16">+K28+M28+O28+Q28+S28+U28+W28+Y28+AA28+AC28+AE28+AG28+AI28+AK28</f>
        <v>0</v>
      </c>
      <c r="I28" s="985">
        <f t="shared" si="13"/>
        <v>0</v>
      </c>
      <c r="J28" s="317"/>
      <c r="K28" s="318"/>
      <c r="L28" s="319"/>
      <c r="M28" s="318"/>
      <c r="N28" s="319"/>
      <c r="O28" s="318"/>
      <c r="P28" s="317"/>
      <c r="Q28" s="318"/>
      <c r="R28" s="319"/>
      <c r="S28" s="318"/>
      <c r="T28" s="317"/>
      <c r="U28" s="318"/>
      <c r="V28" s="319"/>
      <c r="W28" s="318"/>
      <c r="X28" s="317"/>
      <c r="Y28" s="318"/>
      <c r="Z28" s="319"/>
      <c r="AA28" s="318"/>
      <c r="AB28" s="317"/>
      <c r="AC28" s="318"/>
      <c r="AD28" s="319"/>
      <c r="AE28" s="318"/>
      <c r="AF28" s="317"/>
      <c r="AG28" s="318"/>
      <c r="AH28" s="319"/>
      <c r="AI28" s="318"/>
      <c r="AJ28" s="317"/>
      <c r="AK28" s="318"/>
    </row>
    <row r="29" spans="1:37" ht="12.75" customHeight="1" x14ac:dyDescent="0.25">
      <c r="A29" s="269" t="e">
        <f>_xlfn.IFNA( INDEX(#REF!,MATCH(Middles!E29,#REF!,0)), " ")</f>
        <v>#REF!</v>
      </c>
      <c r="B29" s="315" t="s">
        <v>114</v>
      </c>
      <c r="C29" s="307" t="s">
        <v>282</v>
      </c>
      <c r="D29" s="308">
        <f t="array" ref="D29">IF(H29=0,0,_xlfn.IFNA(INDEX(NewRecipeTable[ShortCode],MATCH(Middles!$C29&amp;"|"&amp;$B29,NewRecipeTable[Recipe Name]&amp;"|"&amp;NewRecipeTable[Item No.],0)),))</f>
        <v>0</v>
      </c>
      <c r="E29" s="1035" t="str">
        <f t="array" ref="E29">_xlfn.IFNA(INDEX(NewRecipeTable[Active By-Product],MATCH(Middles!$C29&amp;"|"&amp;$B29,NewRecipeTable[Recipe Name]&amp;"|"&amp;NewRecipeTable[Item No.],0)),)</f>
        <v>G1221</v>
      </c>
      <c r="F29" s="309">
        <f>SUMIF(Middles!$B$94:$B$105,E29,Middles!$G$94:$G$105)</f>
        <v>0</v>
      </c>
      <c r="G29" s="316">
        <f t="shared" si="15"/>
        <v>0</v>
      </c>
      <c r="H29" s="316">
        <f t="shared" si="16"/>
        <v>0</v>
      </c>
      <c r="I29" s="985">
        <f t="shared" si="13"/>
        <v>0</v>
      </c>
      <c r="J29" s="317"/>
      <c r="K29" s="318"/>
      <c r="L29" s="319"/>
      <c r="M29" s="318"/>
      <c r="N29" s="319"/>
      <c r="O29" s="318"/>
      <c r="P29" s="317"/>
      <c r="Q29" s="318"/>
      <c r="R29" s="319"/>
      <c r="S29" s="318"/>
      <c r="T29" s="317"/>
      <c r="U29" s="318"/>
      <c r="V29" s="319"/>
      <c r="W29" s="318"/>
      <c r="X29" s="317"/>
      <c r="Y29" s="318"/>
      <c r="Z29" s="319"/>
      <c r="AA29" s="318"/>
      <c r="AB29" s="317"/>
      <c r="AC29" s="318"/>
      <c r="AD29" s="319"/>
      <c r="AE29" s="318"/>
      <c r="AF29" s="317"/>
      <c r="AG29" s="318"/>
      <c r="AH29" s="319"/>
      <c r="AI29" s="318"/>
      <c r="AJ29" s="317"/>
      <c r="AK29" s="318"/>
    </row>
    <row r="30" spans="1:37" ht="12.75" customHeight="1" x14ac:dyDescent="0.25">
      <c r="A30" s="269" t="e">
        <f>_xlfn.IFNA( INDEX(#REF!,MATCH(Middles!E30,#REF!,0)), " ")</f>
        <v>#REF!</v>
      </c>
      <c r="B30" s="306" t="s">
        <v>114</v>
      </c>
      <c r="C30" s="314" t="s">
        <v>1340</v>
      </c>
      <c r="D30" s="308">
        <f t="array" ref="D30">IF(H30=0,0,_xlfn.IFNA(INDEX(NewRecipeTable[ShortCode],MATCH(Middles!$C30&amp;"|"&amp;$B30,NewRecipeTable[Recipe Name]&amp;"|"&amp;NewRecipeTable[Item No.],0)),))</f>
        <v>0</v>
      </c>
      <c r="E30" s="1035" t="str">
        <f t="array" ref="E30">_xlfn.IFNA(INDEX(NewRecipeTable[Active By-Product],MATCH(Middles!$C30&amp;"|"&amp;$B30,NewRecipeTable[Recipe Name]&amp;"|"&amp;NewRecipeTable[Item No.],0)),)</f>
        <v>G1223</v>
      </c>
      <c r="F30" s="309">
        <f>SUMIF(Middles!$B$94:$B$105,E30,Middles!$G$94:$G$105)</f>
        <v>0</v>
      </c>
      <c r="G30" s="316">
        <f t="shared" si="15"/>
        <v>0</v>
      </c>
      <c r="H30" s="310">
        <f t="shared" si="16"/>
        <v>0</v>
      </c>
      <c r="I30" s="984">
        <f t="shared" si="13"/>
        <v>0</v>
      </c>
      <c r="J30" s="311"/>
      <c r="K30" s="312"/>
      <c r="L30" s="313"/>
      <c r="M30" s="312"/>
      <c r="N30" s="313"/>
      <c r="O30" s="312"/>
      <c r="P30" s="311"/>
      <c r="Q30" s="312"/>
      <c r="R30" s="313"/>
      <c r="S30" s="312"/>
      <c r="T30" s="311"/>
      <c r="U30" s="312"/>
      <c r="V30" s="313"/>
      <c r="W30" s="312"/>
      <c r="X30" s="311"/>
      <c r="Y30" s="312"/>
      <c r="Z30" s="313"/>
      <c r="AA30" s="312"/>
      <c r="AB30" s="311"/>
      <c r="AC30" s="312"/>
      <c r="AD30" s="313"/>
      <c r="AE30" s="312"/>
      <c r="AF30" s="311"/>
      <c r="AG30" s="312"/>
      <c r="AH30" s="313"/>
      <c r="AI30" s="312"/>
      <c r="AJ30" s="311"/>
      <c r="AK30" s="312"/>
    </row>
    <row r="31" spans="1:37" ht="12.75" customHeight="1" x14ac:dyDescent="0.25">
      <c r="A31" s="269" t="e">
        <f>_xlfn.IFNA( INDEX(#REF!,MATCH(Middles!E31,#REF!,0)), " ")</f>
        <v>#REF!</v>
      </c>
      <c r="B31" s="315" t="s">
        <v>114</v>
      </c>
      <c r="C31" s="307" t="s">
        <v>283</v>
      </c>
      <c r="D31" s="308" t="str">
        <f t="array" ref="D31">IF(H31=0,0,_xlfn.IFNA(INDEX(NewRecipeTable[ShortCode],MATCH(Middles!$C31&amp;"|"&amp;$B31,NewRecipeTable[Recipe Name]&amp;"|"&amp;NewRecipeTable[Item No.],0)),))</f>
        <v>2C241191</v>
      </c>
      <c r="E31" s="1035" t="str">
        <f t="array" ref="E31">_xlfn.IFNA(INDEX(NewRecipeTable[Active By-Product],MATCH(Middles!$C31&amp;"|"&amp;$B31,NewRecipeTable[Recipe Name]&amp;"|"&amp;NewRecipeTable[Item No.],0)),)</f>
        <v>G1224</v>
      </c>
      <c r="F31" s="309">
        <f>SUMIF(Middles!$B$94:$B$105,E31,Middles!$G$94:$G$105)</f>
        <v>25</v>
      </c>
      <c r="G31" s="310">
        <f t="shared" si="12"/>
        <v>25</v>
      </c>
      <c r="H31" s="316">
        <f t="shared" si="14"/>
        <v>549.5</v>
      </c>
      <c r="I31" s="985">
        <f t="shared" si="13"/>
        <v>5.1550260331159996E-2</v>
      </c>
      <c r="J31" s="317">
        <v>25</v>
      </c>
      <c r="K31" s="318">
        <v>549.5</v>
      </c>
      <c r="L31" s="319"/>
      <c r="M31" s="318"/>
      <c r="N31" s="319"/>
      <c r="O31" s="318"/>
      <c r="P31" s="317"/>
      <c r="Q31" s="318"/>
      <c r="R31" s="319"/>
      <c r="S31" s="318"/>
      <c r="T31" s="317"/>
      <c r="U31" s="318"/>
      <c r="V31" s="319"/>
      <c r="W31" s="318"/>
      <c r="X31" s="317"/>
      <c r="Y31" s="318"/>
      <c r="Z31" s="319"/>
      <c r="AA31" s="318"/>
      <c r="AB31" s="317"/>
      <c r="AC31" s="318"/>
      <c r="AD31" s="319"/>
      <c r="AE31" s="318"/>
      <c r="AF31" s="317"/>
      <c r="AG31" s="318"/>
      <c r="AH31" s="319"/>
      <c r="AI31" s="318"/>
      <c r="AJ31" s="317"/>
      <c r="AK31" s="318"/>
    </row>
    <row r="32" spans="1:37" ht="12.75" customHeight="1" x14ac:dyDescent="0.25">
      <c r="A32" s="269" t="e">
        <f>_xlfn.IFNA( INDEX(#REF!,MATCH(Middles!E32,#REF!,0)), " ")</f>
        <v>#REF!</v>
      </c>
      <c r="B32" s="315" t="s">
        <v>114</v>
      </c>
      <c r="C32" s="307" t="s">
        <v>1350</v>
      </c>
      <c r="D32" s="308">
        <f t="array" ref="D32">IF(H32=0,0,_xlfn.IFNA(INDEX(NewRecipeTable[ShortCode],MATCH(Middles!$C32&amp;"|"&amp;$B32,NewRecipeTable[Recipe Name]&amp;"|"&amp;NewRecipeTable[Item No.],0)),))</f>
        <v>0</v>
      </c>
      <c r="E32" s="1035" t="str">
        <f t="array" ref="E32">_xlfn.IFNA(INDEX(NewRecipeTable[Active By-Product],MATCH(Middles!$C32&amp;"|"&amp;$B32,NewRecipeTable[Recipe Name]&amp;"|"&amp;NewRecipeTable[Item No.],0)),)</f>
        <v>G1152</v>
      </c>
      <c r="F32" s="309">
        <f>SUMIF(Middles!$B$94:$B$105,E32,Middles!$G$94:$G$105)</f>
        <v>0</v>
      </c>
      <c r="G32" s="316">
        <f t="shared" si="12"/>
        <v>0</v>
      </c>
      <c r="H32" s="316">
        <f t="shared" si="14"/>
        <v>0</v>
      </c>
      <c r="I32" s="985">
        <f t="shared" si="13"/>
        <v>0</v>
      </c>
      <c r="J32" s="317"/>
      <c r="K32" s="318"/>
      <c r="L32" s="319"/>
      <c r="M32" s="318"/>
      <c r="N32" s="319"/>
      <c r="O32" s="318"/>
      <c r="P32" s="317"/>
      <c r="Q32" s="318"/>
      <c r="R32" s="319"/>
      <c r="S32" s="318"/>
      <c r="T32" s="317"/>
      <c r="U32" s="318"/>
      <c r="V32" s="319"/>
      <c r="W32" s="318"/>
      <c r="X32" s="317"/>
      <c r="Y32" s="318"/>
      <c r="Z32" s="319"/>
      <c r="AA32" s="318"/>
      <c r="AB32" s="317"/>
      <c r="AC32" s="318"/>
      <c r="AD32" s="319"/>
      <c r="AE32" s="318"/>
      <c r="AF32" s="317"/>
      <c r="AG32" s="318"/>
      <c r="AH32" s="319"/>
      <c r="AI32" s="318"/>
      <c r="AJ32" s="317"/>
      <c r="AK32" s="318"/>
    </row>
    <row r="33" spans="1:37" ht="12.75" customHeight="1" x14ac:dyDescent="0.25">
      <c r="A33" s="269" t="e">
        <f>_xlfn.IFNA( INDEX(#REF!,MATCH(Middles!E33,#REF!,0)), " ")</f>
        <v>#REF!</v>
      </c>
      <c r="B33" s="306" t="s">
        <v>114</v>
      </c>
      <c r="C33" s="314" t="s">
        <v>1374</v>
      </c>
      <c r="D33" s="308">
        <f t="array" ref="D33">IF(H33=0,0,_xlfn.IFNA(INDEX(NewRecipeTable[ShortCode],MATCH(Middles!$C33&amp;"|"&amp;$B33,NewRecipeTable[Recipe Name]&amp;"|"&amp;NewRecipeTable[Item No.],0)),))</f>
        <v>0</v>
      </c>
      <c r="E33" s="1035">
        <f t="array" ref="E33">_xlfn.IFNA(INDEX(NewRecipeTable[Active By-Product],MATCH(Middles!$C33&amp;"|"&amp;$B33,NewRecipeTable[Recipe Name]&amp;"|"&amp;NewRecipeTable[Item No.],0)),)</f>
        <v>0</v>
      </c>
      <c r="F33" s="309">
        <f>SUMIF(Middles!$B$94:$B$105,E33,Middles!$G$94:$G$105)</f>
        <v>0</v>
      </c>
      <c r="G33" s="316">
        <f t="shared" si="12"/>
        <v>0</v>
      </c>
      <c r="H33" s="310">
        <f t="shared" si="14"/>
        <v>0</v>
      </c>
      <c r="I33" s="984">
        <f t="shared" si="13"/>
        <v>0</v>
      </c>
      <c r="J33" s="311"/>
      <c r="K33" s="312"/>
      <c r="L33" s="313"/>
      <c r="M33" s="312"/>
      <c r="N33" s="313"/>
      <c r="O33" s="312"/>
      <c r="P33" s="311"/>
      <c r="Q33" s="312"/>
      <c r="R33" s="313"/>
      <c r="S33" s="312"/>
      <c r="T33" s="311"/>
      <c r="U33" s="312"/>
      <c r="V33" s="313"/>
      <c r="W33" s="312"/>
      <c r="X33" s="311"/>
      <c r="Y33" s="312"/>
      <c r="Z33" s="313"/>
      <c r="AA33" s="312"/>
      <c r="AB33" s="311"/>
      <c r="AC33" s="312"/>
      <c r="AD33" s="313"/>
      <c r="AE33" s="312"/>
      <c r="AF33" s="311"/>
      <c r="AG33" s="312"/>
      <c r="AH33" s="313"/>
      <c r="AI33" s="312"/>
      <c r="AJ33" s="311"/>
      <c r="AK33" s="312"/>
    </row>
    <row r="34" spans="1:37" ht="12.75" customHeight="1" thickBot="1" x14ac:dyDescent="0.3">
      <c r="A34" s="269" t="e">
        <f>_xlfn.IFNA( INDEX(#REF!,MATCH(Middles!E34,#REF!,0)), " ")</f>
        <v>#REF!</v>
      </c>
      <c r="B34" s="306" t="s">
        <v>114</v>
      </c>
      <c r="C34" s="314" t="s">
        <v>565</v>
      </c>
      <c r="D34" s="308">
        <f t="array" ref="D34">IF(H34=0,0,_xlfn.IFNA(INDEX(NewRecipeTable[ShortCode],MATCH(Middles!$C34&amp;"|"&amp;$B34,NewRecipeTable[Recipe Name]&amp;"|"&amp;NewRecipeTable[Item No.],0)),))</f>
        <v>0</v>
      </c>
      <c r="E34" s="1035" t="str">
        <f t="array" ref="E34">_xlfn.IFNA(INDEX(NewRecipeTable[Active By-Product],MATCH(Middles!$C34&amp;"|"&amp;$B34,NewRecipeTable[Recipe Name]&amp;"|"&amp;NewRecipeTable[Item No.],0)),)</f>
        <v>G1222</v>
      </c>
      <c r="F34" s="309">
        <f>SUMIF(Middles!$B$94:$B$105,E34,Middles!$G$94:$G$105)</f>
        <v>131</v>
      </c>
      <c r="G34" s="322">
        <f t="shared" si="12"/>
        <v>0</v>
      </c>
      <c r="H34" s="310">
        <f t="shared" si="14"/>
        <v>0</v>
      </c>
      <c r="I34" s="984">
        <f t="shared" si="13"/>
        <v>0</v>
      </c>
      <c r="J34" s="311"/>
      <c r="K34" s="312"/>
      <c r="L34" s="313"/>
      <c r="M34" s="312"/>
      <c r="N34" s="313"/>
      <c r="O34" s="312"/>
      <c r="P34" s="311"/>
      <c r="Q34" s="312"/>
      <c r="R34" s="313"/>
      <c r="S34" s="312"/>
      <c r="T34" s="311"/>
      <c r="U34" s="312"/>
      <c r="V34" s="313"/>
      <c r="W34" s="312"/>
      <c r="X34" s="311"/>
      <c r="Y34" s="312"/>
      <c r="Z34" s="313"/>
      <c r="AA34" s="312"/>
      <c r="AB34" s="311"/>
      <c r="AC34" s="312"/>
      <c r="AD34" s="313"/>
      <c r="AE34" s="312"/>
      <c r="AF34" s="311"/>
      <c r="AG34" s="312"/>
      <c r="AH34" s="313"/>
      <c r="AI34" s="312"/>
      <c r="AJ34" s="311"/>
      <c r="AK34" s="312"/>
    </row>
    <row r="35" spans="1:37" ht="12.75" customHeight="1" x14ac:dyDescent="0.25">
      <c r="A35" s="269" t="e">
        <f>_xlfn.IFNA( INDEX(#REF!,MATCH(Middles!E35,#REF!,0)), " ")</f>
        <v>#REF!</v>
      </c>
      <c r="B35" s="291" t="s">
        <v>1318</v>
      </c>
      <c r="C35" s="291" t="s">
        <v>1319</v>
      </c>
      <c r="D35" s="292"/>
      <c r="E35" s="387"/>
      <c r="F35" s="294"/>
      <c r="G35" s="295">
        <f>J35+L35+N35+P35+R35+T35+V35+X35+Z35+AB35+AD35+AF35+AH35+AJ35+J36+L36+N36+P36+R36+T36+V36+X36+Z36+AB36+AD36+AF36+AH36+AJ36</f>
        <v>0</v>
      </c>
      <c r="H35" s="295">
        <f>K35+K36+M35+M36+O35+O36+Q35+Q36+S35+S36+U35+U36+W35+W36+Y35+Y36+AA35+AA36+AC35+AC36+AE35+AE36+AG35+AG36+AI35+AI36+AK35+AK36</f>
        <v>0</v>
      </c>
      <c r="I35" s="982">
        <f t="shared" si="13"/>
        <v>0</v>
      </c>
      <c r="J35" s="327">
        <f>[4]Middles!C20</f>
        <v>0</v>
      </c>
      <c r="K35" s="328">
        <f>[4]Middles!D20</f>
        <v>0</v>
      </c>
      <c r="L35" s="329"/>
      <c r="M35" s="328"/>
      <c r="N35" s="329"/>
      <c r="O35" s="328"/>
      <c r="P35" s="327"/>
      <c r="Q35" s="328"/>
      <c r="R35" s="329"/>
      <c r="S35" s="328"/>
      <c r="T35" s="327"/>
      <c r="U35" s="328"/>
      <c r="V35" s="329"/>
      <c r="W35" s="328"/>
      <c r="X35" s="327"/>
      <c r="Y35" s="328"/>
      <c r="Z35" s="329"/>
      <c r="AA35" s="328"/>
      <c r="AB35" s="327"/>
      <c r="AC35" s="328"/>
      <c r="AD35" s="329"/>
      <c r="AE35" s="328"/>
      <c r="AF35" s="327"/>
      <c r="AG35" s="328"/>
      <c r="AH35" s="329"/>
      <c r="AI35" s="328"/>
      <c r="AJ35" s="327"/>
      <c r="AK35" s="328"/>
    </row>
    <row r="36" spans="1:37" ht="12.75" customHeight="1" x14ac:dyDescent="0.25">
      <c r="A36" s="269" t="e">
        <f>_xlfn.IFNA( INDEX(#REF!,MATCH(Middles!E36,#REF!,0)), " ")</f>
        <v>#REF!</v>
      </c>
      <c r="B36" s="299"/>
      <c r="C36" s="299"/>
      <c r="D36" s="300"/>
      <c r="E36" s="1034"/>
      <c r="F36" s="301"/>
      <c r="G36" s="330"/>
      <c r="H36" s="330"/>
      <c r="I36" s="983"/>
      <c r="J36" s="311"/>
      <c r="K36" s="312"/>
      <c r="L36" s="313"/>
      <c r="M36" s="312"/>
      <c r="N36" s="313"/>
      <c r="O36" s="312"/>
      <c r="P36" s="311"/>
      <c r="Q36" s="312"/>
      <c r="R36" s="313"/>
      <c r="S36" s="312"/>
      <c r="T36" s="311"/>
      <c r="U36" s="312"/>
      <c r="V36" s="313"/>
      <c r="W36" s="312"/>
      <c r="X36" s="311"/>
      <c r="Y36" s="312"/>
      <c r="Z36" s="313"/>
      <c r="AA36" s="312"/>
      <c r="AB36" s="311"/>
      <c r="AC36" s="312"/>
      <c r="AD36" s="313"/>
      <c r="AE36" s="312"/>
      <c r="AF36" s="311"/>
      <c r="AG36" s="312"/>
      <c r="AH36" s="313"/>
      <c r="AI36" s="312"/>
      <c r="AJ36" s="311"/>
      <c r="AK36" s="312"/>
    </row>
    <row r="37" spans="1:37" ht="12.75" customHeight="1" thickBot="1" x14ac:dyDescent="0.3">
      <c r="A37" s="269" t="e">
        <f>_xlfn.IFNA( INDEX(#REF!,MATCH(Middles!E37,#REF!,0)), " ")</f>
        <v>#REF!</v>
      </c>
      <c r="B37" s="299" t="s">
        <v>1318</v>
      </c>
      <c r="C37" s="299" t="s">
        <v>1317</v>
      </c>
      <c r="D37" s="308">
        <f t="array" ref="D37">IF(H37=0,0,_xlfn.IFNA(INDEX(NewRecipeTable[ShortCode],MATCH(Middles!$C37&amp;"|"&amp;$B37,NewRecipeTable[Recipe Name]&amp;"|"&amp;NewRecipeTable[Item No.],0)),))</f>
        <v>0</v>
      </c>
      <c r="E37" s="1035" t="str">
        <f t="array" ref="E37">_xlfn.IFNA(INDEX(NewRecipeTable[Active By-Product],MATCH(Middles!$C37&amp;"|"&amp;$B37,NewRecipeTable[Recipe Name]&amp;"|"&amp;NewRecipeTable[Item No.],0)),)</f>
        <v>G1225</v>
      </c>
      <c r="F37" s="309">
        <f>SUMIF(Middles!$B$94:$B$105,E37,Middles!$G$94:$G$105)</f>
        <v>878</v>
      </c>
      <c r="G37" s="310">
        <f t="shared" ref="G37" si="17">+J37+L37+N37+P37+R37+T37+V37+X37+Z37+AB37+AD37+AF37+AH37+AJ37</f>
        <v>0</v>
      </c>
      <c r="H37" s="302">
        <f t="shared" ref="H37" si="18">+K37+M37+O37+Q37+S37+U37+W37+Y37+AA37+AC37+AE37+AG37+AI37+AK37</f>
        <v>0</v>
      </c>
      <c r="I37" s="983">
        <f>IFERROR(H37/$H$123,)</f>
        <v>0</v>
      </c>
      <c r="J37" s="311"/>
      <c r="K37" s="312"/>
      <c r="L37" s="313"/>
      <c r="M37" s="312"/>
      <c r="N37" s="313"/>
      <c r="O37" s="312"/>
      <c r="P37" s="311"/>
      <c r="Q37" s="312"/>
      <c r="R37" s="313"/>
      <c r="S37" s="312"/>
      <c r="T37" s="311"/>
      <c r="U37" s="312"/>
      <c r="V37" s="313"/>
      <c r="W37" s="312"/>
      <c r="X37" s="311"/>
      <c r="Y37" s="312"/>
      <c r="Z37" s="313"/>
      <c r="AA37" s="312"/>
      <c r="AB37" s="311"/>
      <c r="AC37" s="312"/>
      <c r="AD37" s="313"/>
      <c r="AE37" s="312"/>
      <c r="AF37" s="311"/>
      <c r="AG37" s="312"/>
      <c r="AH37" s="313"/>
      <c r="AI37" s="312"/>
      <c r="AJ37" s="311"/>
      <c r="AK37" s="312"/>
    </row>
    <row r="38" spans="1:37" ht="12.75" customHeight="1" x14ac:dyDescent="0.25">
      <c r="A38" s="269" t="e">
        <f>_xlfn.IFNA( INDEX(#REF!,MATCH(Middles!E38,#REF!,0)), " ")</f>
        <v>#REF!</v>
      </c>
      <c r="B38" s="291" t="s">
        <v>119</v>
      </c>
      <c r="C38" s="291" t="s">
        <v>274</v>
      </c>
      <c r="D38" s="292"/>
      <c r="E38" s="387"/>
      <c r="F38" s="294"/>
      <c r="G38" s="295">
        <f>J38+L38+N38+P38+R38+T38+V38+X38+Z38+AB38+AD38+AF38+AH38+AJ38+J39+L39+N39+P39+R39+T39+V39+X39+Z39+AB39+AD39+AF39+AH39+AJ39</f>
        <v>20</v>
      </c>
      <c r="H38" s="295">
        <f>K38+K39+M38+M39+O38+O39+Q38+Q39+S38+S39+U38+U39+W38+W39+Y38+Y39+AA38+AA39+AC38+AC39+AE38+AE39+AG38+AG39+AI38+AI39+AK38+AK39</f>
        <v>44.6</v>
      </c>
      <c r="I38" s="982">
        <f>IFERROR(H38/$H$123,)</f>
        <v>4.1840611660959705E-3</v>
      </c>
      <c r="J38" s="327">
        <f>[4]Middles!C22</f>
        <v>20</v>
      </c>
      <c r="K38" s="328">
        <f>[4]Middles!D22</f>
        <v>44.6</v>
      </c>
      <c r="L38" s="329"/>
      <c r="M38" s="328"/>
      <c r="N38" s="329"/>
      <c r="O38" s="328"/>
      <c r="P38" s="327"/>
      <c r="Q38" s="328"/>
      <c r="R38" s="329"/>
      <c r="S38" s="328"/>
      <c r="T38" s="327"/>
      <c r="U38" s="328"/>
      <c r="V38" s="329"/>
      <c r="W38" s="328"/>
      <c r="X38" s="327"/>
      <c r="Y38" s="328"/>
      <c r="Z38" s="329"/>
      <c r="AA38" s="328"/>
      <c r="AB38" s="327"/>
      <c r="AC38" s="328"/>
      <c r="AD38" s="329"/>
      <c r="AE38" s="328"/>
      <c r="AF38" s="327"/>
      <c r="AG38" s="328"/>
      <c r="AH38" s="329"/>
      <c r="AI38" s="328"/>
      <c r="AJ38" s="327"/>
      <c r="AK38" s="328"/>
    </row>
    <row r="39" spans="1:37" ht="12.75" customHeight="1" x14ac:dyDescent="0.25">
      <c r="A39" s="269" t="e">
        <f>_xlfn.IFNA( INDEX(#REF!,MATCH(Middles!E39,#REF!,0)), " ")</f>
        <v>#REF!</v>
      </c>
      <c r="B39" s="299"/>
      <c r="C39" s="299"/>
      <c r="D39" s="300"/>
      <c r="E39" s="1034"/>
      <c r="F39" s="301"/>
      <c r="G39" s="330"/>
      <c r="H39" s="330"/>
      <c r="I39" s="983"/>
      <c r="J39" s="311"/>
      <c r="K39" s="312"/>
      <c r="L39" s="313"/>
      <c r="M39" s="312"/>
      <c r="N39" s="313"/>
      <c r="O39" s="312"/>
      <c r="P39" s="311"/>
      <c r="Q39" s="312"/>
      <c r="R39" s="313"/>
      <c r="S39" s="312"/>
      <c r="T39" s="311"/>
      <c r="U39" s="312"/>
      <c r="V39" s="313"/>
      <c r="W39" s="312"/>
      <c r="X39" s="311"/>
      <c r="Y39" s="312"/>
      <c r="Z39" s="313"/>
      <c r="AA39" s="312"/>
      <c r="AB39" s="311"/>
      <c r="AC39" s="312"/>
      <c r="AD39" s="313"/>
      <c r="AE39" s="312"/>
      <c r="AF39" s="311"/>
      <c r="AG39" s="312"/>
      <c r="AH39" s="313"/>
      <c r="AI39" s="312"/>
      <c r="AJ39" s="311"/>
      <c r="AK39" s="312"/>
    </row>
    <row r="40" spans="1:37" ht="12.75" customHeight="1" x14ac:dyDescent="0.25">
      <c r="A40" s="269" t="e">
        <f>_xlfn.IFNA( INDEX(#REF!,MATCH(Middles!E40,#REF!,0)), " ")</f>
        <v>#REF!</v>
      </c>
      <c r="B40" s="299" t="s">
        <v>119</v>
      </c>
      <c r="C40" s="299" t="s">
        <v>273</v>
      </c>
      <c r="D40" s="308">
        <f t="array" ref="D40">IF(H40=0,0,_xlfn.IFNA(INDEX(NewRecipeTable[ShortCode],MATCH(Middles!$C40&amp;"|"&amp;$B40,NewRecipeTable[Recipe Name]&amp;"|"&amp;NewRecipeTable[Item No.],0)),))</f>
        <v>0</v>
      </c>
      <c r="E40" s="1035" t="str">
        <f t="array" ref="E40">_xlfn.IFNA(INDEX(NewRecipeTable[Active By-Product],MATCH(Middles!$C40&amp;"|"&amp;$B40,NewRecipeTable[Recipe Name]&amp;"|"&amp;NewRecipeTable[Item No.],0)),)</f>
        <v>G1225</v>
      </c>
      <c r="F40" s="309">
        <f>SUMIF(Middles!$B$94:$B$105,E40,Middles!$G$94:$G$105)</f>
        <v>878</v>
      </c>
      <c r="G40" s="310">
        <f t="shared" ref="G40" si="19">+J40+L40+N40+P40+R40+T40+V40+X40+Z40+AB40+AD40+AF40+AH40+AJ40</f>
        <v>0</v>
      </c>
      <c r="H40" s="302">
        <f t="shared" ref="H40" si="20">+K40+M40+O40+Q40+S40+U40+W40+Y40+AA40+AC40+AE40+AG40+AI40+AK40</f>
        <v>0</v>
      </c>
      <c r="I40" s="983">
        <f>IFERROR(H40/$H$123,)</f>
        <v>0</v>
      </c>
      <c r="J40" s="311"/>
      <c r="K40" s="312"/>
      <c r="L40" s="313"/>
      <c r="M40" s="312"/>
      <c r="N40" s="313"/>
      <c r="O40" s="312"/>
      <c r="P40" s="311"/>
      <c r="Q40" s="312"/>
      <c r="R40" s="313"/>
      <c r="S40" s="312"/>
      <c r="T40" s="311"/>
      <c r="U40" s="312"/>
      <c r="V40" s="313"/>
      <c r="W40" s="312"/>
      <c r="X40" s="311"/>
      <c r="Y40" s="312"/>
      <c r="Z40" s="313"/>
      <c r="AA40" s="312"/>
      <c r="AB40" s="311"/>
      <c r="AC40" s="312"/>
      <c r="AD40" s="313"/>
      <c r="AE40" s="312"/>
      <c r="AF40" s="311"/>
      <c r="AG40" s="312"/>
      <c r="AH40" s="313"/>
      <c r="AI40" s="312"/>
      <c r="AJ40" s="311"/>
      <c r="AK40" s="312"/>
    </row>
    <row r="41" spans="1:37" ht="12.75" customHeight="1" x14ac:dyDescent="0.25">
      <c r="A41" s="269" t="e">
        <f>_xlfn.IFNA( INDEX(#REF!,MATCH(Middles!E41,#REF!,0)), " ")</f>
        <v>#REF!</v>
      </c>
      <c r="B41" s="299" t="s">
        <v>119</v>
      </c>
      <c r="C41" s="299" t="s">
        <v>1344</v>
      </c>
      <c r="D41" s="308">
        <f t="array" ref="D41">IF(H41=0,0,_xlfn.IFNA(INDEX(NewRecipeTable[ShortCode],MATCH(Middles!$C41&amp;"|"&amp;$B41,NewRecipeTable[Recipe Name]&amp;"|"&amp;NewRecipeTable[Item No.],0)),))</f>
        <v>0</v>
      </c>
      <c r="E41" s="1035" t="str">
        <f t="array" ref="E41">_xlfn.IFNA(INDEX(NewRecipeTable[Active By-Product],MATCH(Middles!$C41&amp;"|"&amp;$B41,NewRecipeTable[Recipe Name]&amp;"|"&amp;NewRecipeTable[Item No.],0)),)</f>
        <v>G1222</v>
      </c>
      <c r="F41" s="309">
        <f>SUMIF(Middles!$B$94:$B$105,E41,Middles!$G$94:$G$105)</f>
        <v>131</v>
      </c>
      <c r="G41" s="310">
        <f t="shared" ref="G41:G42" si="21">+J41+L41+N41+P41+R41+T41+V41+X41+Z41+AB41+AD41+AF41+AH41+AJ41</f>
        <v>0</v>
      </c>
      <c r="H41" s="302">
        <f t="shared" ref="H41" si="22">+K41+M41+O41+Q41+S41+U41+W41+Y41+AA41+AC41+AE41+AG41+AI41+AK41</f>
        <v>0</v>
      </c>
      <c r="I41" s="983">
        <f>IFERROR(H41/$H$123,)</f>
        <v>0</v>
      </c>
      <c r="J41" s="311"/>
      <c r="K41" s="312"/>
      <c r="L41" s="313"/>
      <c r="M41" s="312"/>
      <c r="N41" s="313"/>
      <c r="O41" s="312"/>
      <c r="P41" s="311"/>
      <c r="Q41" s="312"/>
      <c r="R41" s="313"/>
      <c r="S41" s="312"/>
      <c r="T41" s="311"/>
      <c r="U41" s="312"/>
      <c r="V41" s="313"/>
      <c r="W41" s="312"/>
      <c r="X41" s="311"/>
      <c r="Y41" s="312"/>
      <c r="Z41" s="313"/>
      <c r="AA41" s="312"/>
      <c r="AB41" s="311"/>
      <c r="AC41" s="312"/>
      <c r="AD41" s="313"/>
      <c r="AE41" s="312"/>
      <c r="AF41" s="311"/>
      <c r="AG41" s="312"/>
      <c r="AH41" s="313"/>
      <c r="AI41" s="312"/>
      <c r="AJ41" s="311"/>
      <c r="AK41" s="312"/>
    </row>
    <row r="42" spans="1:37" ht="12.75" customHeight="1" thickBot="1" x14ac:dyDescent="0.3">
      <c r="A42" s="269" t="e">
        <f>_xlfn.IFNA( INDEX(#REF!,MATCH(Middles!E42,#REF!,0)), " ")</f>
        <v>#REF!</v>
      </c>
      <c r="B42" s="320" t="s">
        <v>119</v>
      </c>
      <c r="C42" s="321" t="s">
        <v>289</v>
      </c>
      <c r="D42" s="308">
        <f t="array" ref="D42">IF(H42=0,0,_xlfn.IFNA(INDEX(NewRecipeTable[ShortCode],MATCH(Middles!$C42&amp;"|"&amp;$B42,NewRecipeTable[Recipe Name]&amp;"|"&amp;NewRecipeTable[Item No.],0)),))</f>
        <v>0</v>
      </c>
      <c r="E42" s="1035" t="str">
        <f t="array" ref="E42">_xlfn.IFNA(INDEX(NewRecipeTable[Active By-Product],MATCH(Middles!$C42&amp;"|"&amp;$B42,NewRecipeTable[Recipe Name]&amp;"|"&amp;NewRecipeTable[Item No.],0)),)</f>
        <v>G1224</v>
      </c>
      <c r="F42" s="309">
        <f>SUMIF(Middles!$B$94:$B$105,E42,Middles!$G$94:$G$105)</f>
        <v>25</v>
      </c>
      <c r="G42" s="310">
        <f t="shared" si="21"/>
        <v>0</v>
      </c>
      <c r="H42" s="322">
        <f>+K42+M42+O42+Q42+S42+U42+W42+Y42+AA42+AC42+AE42+AG42+AI42+AK42</f>
        <v>0</v>
      </c>
      <c r="I42" s="986">
        <f>IFERROR(H42/$H$123,)</f>
        <v>0</v>
      </c>
      <c r="J42" s="323"/>
      <c r="K42" s="324"/>
      <c r="L42" s="325"/>
      <c r="M42" s="324"/>
      <c r="N42" s="325"/>
      <c r="O42" s="324"/>
      <c r="P42" s="323"/>
      <c r="Q42" s="324"/>
      <c r="R42" s="325"/>
      <c r="S42" s="324"/>
      <c r="T42" s="323"/>
      <c r="U42" s="324"/>
      <c r="V42" s="325"/>
      <c r="W42" s="324"/>
      <c r="X42" s="323"/>
      <c r="Y42" s="324"/>
      <c r="Z42" s="325"/>
      <c r="AA42" s="324"/>
      <c r="AB42" s="323"/>
      <c r="AC42" s="324"/>
      <c r="AD42" s="325"/>
      <c r="AE42" s="324"/>
      <c r="AF42" s="323"/>
      <c r="AG42" s="324"/>
      <c r="AH42" s="325"/>
      <c r="AI42" s="324"/>
      <c r="AJ42" s="323"/>
      <c r="AK42" s="324"/>
    </row>
    <row r="43" spans="1:37" ht="12.75" customHeight="1" x14ac:dyDescent="0.25">
      <c r="A43" s="269" t="e">
        <f>_xlfn.IFNA( INDEX(#REF!,MATCH(Middles!E43,#REF!,0)), " ")</f>
        <v>#REF!</v>
      </c>
      <c r="B43" s="291" t="s">
        <v>122</v>
      </c>
      <c r="C43" s="291" t="s">
        <v>294</v>
      </c>
      <c r="D43" s="292"/>
      <c r="E43" s="387"/>
      <c r="F43" s="294"/>
      <c r="G43" s="295">
        <f>J43+L43+N43+P43+R43+T43+V43+X43+Z43+AB43+AD43+AF43+AH43+AJ43+J44+L44+N44+P44+R44+T44+V44+X44+Z44+AB44+AD44+AF44+AH44+AJ44</f>
        <v>2</v>
      </c>
      <c r="H43" s="295">
        <f>K43+K44+M43+M44+O43+O44+Q43+Q44+S43+S44+U43+U44+W43+W44+Y43+Y44+AA43+AA44+AC43+AC44+AE43+AE44+AG43+AG44+AI43+AI44+AK43+AK44</f>
        <v>7.7</v>
      </c>
      <c r="I43" s="982">
        <f>IFERROR(H43/$H$123,)</f>
        <v>7.2236033585064972E-4</v>
      </c>
      <c r="J43" s="296">
        <f>[4]Middles!C26</f>
        <v>2</v>
      </c>
      <c r="K43" s="297">
        <f>[4]Middles!D26</f>
        <v>7.7</v>
      </c>
      <c r="L43" s="296"/>
      <c r="M43" s="297"/>
      <c r="N43" s="296"/>
      <c r="O43" s="297"/>
      <c r="P43" s="298"/>
      <c r="Q43" s="297"/>
      <c r="R43" s="296"/>
      <c r="S43" s="297"/>
      <c r="T43" s="298"/>
      <c r="U43" s="297"/>
      <c r="V43" s="296"/>
      <c r="W43" s="297"/>
      <c r="X43" s="298"/>
      <c r="Y43" s="297"/>
      <c r="Z43" s="296"/>
      <c r="AA43" s="297"/>
      <c r="AB43" s="298"/>
      <c r="AC43" s="297"/>
      <c r="AD43" s="296"/>
      <c r="AE43" s="297"/>
      <c r="AF43" s="298"/>
      <c r="AG43" s="297"/>
      <c r="AH43" s="296"/>
      <c r="AI43" s="297"/>
      <c r="AJ43" s="298"/>
      <c r="AK43" s="297"/>
    </row>
    <row r="44" spans="1:37" ht="12.75" customHeight="1" x14ac:dyDescent="0.25">
      <c r="A44" s="269" t="e">
        <f>_xlfn.IFNA( INDEX(#REF!,MATCH(Middles!E44,#REF!,0)), " ")</f>
        <v>#REF!</v>
      </c>
      <c r="B44" s="299"/>
      <c r="C44" s="299"/>
      <c r="D44" s="300"/>
      <c r="E44" s="1034"/>
      <c r="F44" s="301"/>
      <c r="G44" s="330"/>
      <c r="H44" s="330"/>
      <c r="I44" s="983"/>
      <c r="J44" s="303"/>
      <c r="K44" s="304"/>
      <c r="L44" s="303"/>
      <c r="M44" s="304"/>
      <c r="N44" s="303"/>
      <c r="O44" s="304"/>
      <c r="P44" s="305"/>
      <c r="Q44" s="304"/>
      <c r="R44" s="303"/>
      <c r="S44" s="304"/>
      <c r="T44" s="305"/>
      <c r="U44" s="304"/>
      <c r="V44" s="303"/>
      <c r="W44" s="304"/>
      <c r="X44" s="305"/>
      <c r="Y44" s="304"/>
      <c r="Z44" s="303"/>
      <c r="AA44" s="304"/>
      <c r="AB44" s="305"/>
      <c r="AC44" s="304"/>
      <c r="AD44" s="303"/>
      <c r="AE44" s="304"/>
      <c r="AF44" s="305"/>
      <c r="AG44" s="304"/>
      <c r="AH44" s="303"/>
      <c r="AI44" s="304"/>
      <c r="AJ44" s="305"/>
      <c r="AK44" s="304"/>
    </row>
    <row r="45" spans="1:37" ht="12.75" customHeight="1" x14ac:dyDescent="0.25">
      <c r="A45" s="269" t="e">
        <f>_xlfn.IFNA( INDEX(#REF!,MATCH(Middles!E45,#REF!,0)), " ")</f>
        <v>#REF!</v>
      </c>
      <c r="B45" s="306" t="s">
        <v>122</v>
      </c>
      <c r="C45" s="314" t="s">
        <v>555</v>
      </c>
      <c r="D45" s="308">
        <f t="array" ref="D45">IF(H45=0,0,_xlfn.IFNA(INDEX(NewRecipeTable[ShortCode],MATCH(Middles!$C45&amp;"|"&amp;$B45,NewRecipeTable[Recipe Name]&amp;"|"&amp;NewRecipeTable[Item No.],0)),))</f>
        <v>0</v>
      </c>
      <c r="E45" s="1035" t="str">
        <f t="array" ref="E45">_xlfn.IFNA(INDEX(NewRecipeTable[Active By-Product],MATCH(Middles!$C45&amp;"|"&amp;$B45,NewRecipeTable[Recipe Name]&amp;"|"&amp;NewRecipeTable[Item No.],0)),)</f>
        <v>G1225</v>
      </c>
      <c r="F45" s="309">
        <f>SUMIF(Middles!$B$94:$B$105,E45,Middles!$G$94:$G$105)</f>
        <v>878</v>
      </c>
      <c r="G45" s="310">
        <f t="shared" ref="G45:G47" si="23">+J45+L45+N45+P45+R45+T45+V45+X45+Z45+AB45+AD45+AF45+AH45+AJ45</f>
        <v>0</v>
      </c>
      <c r="H45" s="310">
        <f t="shared" ref="H45:H46" si="24">+K45+M45+O45+Q45+S45+U45+W45+Y45+AA45+AC45+AE45+AG45+AI45+AK45</f>
        <v>0</v>
      </c>
      <c r="I45" s="984">
        <f>IFERROR(H45/$H$123,)</f>
        <v>0</v>
      </c>
      <c r="J45" s="311"/>
      <c r="K45" s="312"/>
      <c r="L45" s="313"/>
      <c r="M45" s="312"/>
      <c r="N45" s="313"/>
      <c r="O45" s="312"/>
      <c r="P45" s="311"/>
      <c r="Q45" s="312"/>
      <c r="R45" s="313"/>
      <c r="S45" s="312"/>
      <c r="T45" s="311"/>
      <c r="U45" s="312"/>
      <c r="V45" s="313"/>
      <c r="W45" s="312"/>
      <c r="X45" s="311"/>
      <c r="Y45" s="312"/>
      <c r="Z45" s="313"/>
      <c r="AA45" s="312"/>
      <c r="AB45" s="311"/>
      <c r="AC45" s="312"/>
      <c r="AD45" s="313"/>
      <c r="AE45" s="312"/>
      <c r="AF45" s="311"/>
      <c r="AG45" s="312"/>
      <c r="AH45" s="313"/>
      <c r="AI45" s="312"/>
      <c r="AJ45" s="311"/>
      <c r="AK45" s="312"/>
    </row>
    <row r="46" spans="1:37" ht="12.75" customHeight="1" x14ac:dyDescent="0.25">
      <c r="A46" s="269" t="e">
        <f>_xlfn.IFNA( INDEX(#REF!,MATCH(Middles!E46,#REF!,0)), " ")</f>
        <v>#REF!</v>
      </c>
      <c r="B46" s="306" t="s">
        <v>122</v>
      </c>
      <c r="C46" s="314" t="s">
        <v>293</v>
      </c>
      <c r="D46" s="308" t="str">
        <f t="array" ref="D46">IF(H46=0,0,_xlfn.IFNA(INDEX(NewRecipeTable[ShortCode],MATCH(Middles!$C46&amp;"|"&amp;$B46,NewRecipeTable[Recipe Name]&amp;"|"&amp;NewRecipeTable[Item No.],0)),))</f>
        <v>2C461196</v>
      </c>
      <c r="E46" s="1035" t="str">
        <f t="array" ref="E46">_xlfn.IFNA(INDEX(NewRecipeTable[Active By-Product],MATCH(Middles!$C46&amp;"|"&amp;$B46,NewRecipeTable[Recipe Name]&amp;"|"&amp;NewRecipeTable[Item No.],0)),)</f>
        <v>G1224</v>
      </c>
      <c r="F46" s="309">
        <f>SUMIF(Middles!$B$94:$B$105,E46,Middles!$G$94:$G$105)</f>
        <v>25</v>
      </c>
      <c r="G46" s="310">
        <f t="shared" si="23"/>
        <v>82</v>
      </c>
      <c r="H46" s="310">
        <f t="shared" si="24"/>
        <v>325.8</v>
      </c>
      <c r="I46" s="984">
        <f>IFERROR(H46/$H$123,)</f>
        <v>3.0564285379239178E-2</v>
      </c>
      <c r="J46" s="311">
        <v>82</v>
      </c>
      <c r="K46" s="312">
        <v>325.8</v>
      </c>
      <c r="L46" s="319"/>
      <c r="M46" s="318"/>
      <c r="N46" s="319"/>
      <c r="O46" s="318"/>
      <c r="P46" s="317"/>
      <c r="Q46" s="318"/>
      <c r="R46" s="319"/>
      <c r="S46" s="318"/>
      <c r="T46" s="317"/>
      <c r="U46" s="318"/>
      <c r="V46" s="319"/>
      <c r="W46" s="318"/>
      <c r="X46" s="317"/>
      <c r="Y46" s="318"/>
      <c r="Z46" s="319"/>
      <c r="AA46" s="318"/>
      <c r="AB46" s="317"/>
      <c r="AC46" s="318"/>
      <c r="AD46" s="319"/>
      <c r="AE46" s="318"/>
      <c r="AF46" s="317"/>
      <c r="AG46" s="318"/>
      <c r="AH46" s="319"/>
      <c r="AI46" s="318"/>
      <c r="AJ46" s="317"/>
      <c r="AK46" s="318"/>
    </row>
    <row r="47" spans="1:37" ht="12.75" customHeight="1" thickBot="1" x14ac:dyDescent="0.3">
      <c r="A47" s="269" t="e">
        <f>_xlfn.IFNA( INDEX(#REF!,MATCH(Middles!E47,#REF!,0)), " ")</f>
        <v>#REF!</v>
      </c>
      <c r="B47" s="331" t="s">
        <v>122</v>
      </c>
      <c r="C47" s="331" t="s">
        <v>567</v>
      </c>
      <c r="D47" s="308">
        <f t="array" ref="D47">IF(H47=0,0,_xlfn.IFNA(INDEX(NewRecipeTable[ShortCode],MATCH(Middles!$C47&amp;"|"&amp;$B47,NewRecipeTable[Recipe Name]&amp;"|"&amp;NewRecipeTable[Item No.],0)),))</f>
        <v>0</v>
      </c>
      <c r="E47" s="1035" t="str">
        <f t="array" ref="E47">_xlfn.IFNA(INDEX(NewRecipeTable[Active By-Product],MATCH(Middles!$C47&amp;"|"&amp;$B47,NewRecipeTable[Recipe Name]&amp;"|"&amp;NewRecipeTable[Item No.],0)),)</f>
        <v>G1222</v>
      </c>
      <c r="F47" s="309">
        <f>SUMIF(Middles!$B$94:$B$105,E47,Middles!$G$94:$G$105)</f>
        <v>131</v>
      </c>
      <c r="G47" s="310">
        <f t="shared" si="23"/>
        <v>0</v>
      </c>
      <c r="H47" s="332">
        <f>+K47+M47+O47+Q47+S47+U47+W47+Y47+AA47+AC47+AE47+AG47+AI47+AK47</f>
        <v>0</v>
      </c>
      <c r="I47" s="987">
        <f>IFERROR(H47/$H$123,)</f>
        <v>0</v>
      </c>
      <c r="J47" s="311"/>
      <c r="K47" s="312"/>
      <c r="L47" s="335"/>
      <c r="M47" s="334"/>
      <c r="N47" s="335"/>
      <c r="O47" s="334"/>
      <c r="P47" s="333"/>
      <c r="Q47" s="334"/>
      <c r="R47" s="335"/>
      <c r="S47" s="334"/>
      <c r="T47" s="333"/>
      <c r="U47" s="334"/>
      <c r="V47" s="335"/>
      <c r="W47" s="334"/>
      <c r="X47" s="333"/>
      <c r="Y47" s="334"/>
      <c r="Z47" s="335"/>
      <c r="AA47" s="334"/>
      <c r="AB47" s="333"/>
      <c r="AC47" s="334"/>
      <c r="AD47" s="335"/>
      <c r="AE47" s="334"/>
      <c r="AF47" s="333"/>
      <c r="AG47" s="334"/>
      <c r="AH47" s="335"/>
      <c r="AI47" s="334"/>
      <c r="AJ47" s="333"/>
      <c r="AK47" s="334"/>
    </row>
    <row r="48" spans="1:37" ht="12.75" customHeight="1" x14ac:dyDescent="0.25">
      <c r="A48" s="269" t="e">
        <f>_xlfn.IFNA( INDEX(#REF!,MATCH(Middles!E48,#REF!,0)), " ")</f>
        <v>#REF!</v>
      </c>
      <c r="B48" s="291" t="s">
        <v>124</v>
      </c>
      <c r="C48" s="291" t="s">
        <v>272</v>
      </c>
      <c r="D48" s="292"/>
      <c r="E48" s="387"/>
      <c r="F48" s="294"/>
      <c r="G48" s="295">
        <f>J48+L48+N48+P48+R48+T48+V48+X48+Z48+AB48+AD48+AF48+AH48+AJ48+J49+L49+N49+P49+R49+T49+V49+X49+Z49+AB49+AD49+AF49+AH49+AJ49</f>
        <v>514</v>
      </c>
      <c r="H48" s="295">
        <f>K48+K49+M48+M49+O48+O49+Q48+Q49+S48+S49+U48+U49+W48+W49+Y48+Y49+AA48+AA49+AC48+AC49+AE48+AE49+AG48+AG49+AI48+AI49+AK48+AK49</f>
        <v>1740</v>
      </c>
      <c r="I48" s="982">
        <f>IFERROR(H48/$H$123,)</f>
        <v>0.16323467329612082</v>
      </c>
      <c r="J48" s="296">
        <f>[4]Middles!C28</f>
        <v>514</v>
      </c>
      <c r="K48" s="297">
        <f>[4]Middles!D28</f>
        <v>1740</v>
      </c>
      <c r="L48" s="296"/>
      <c r="M48" s="297"/>
      <c r="N48" s="296"/>
      <c r="O48" s="297"/>
      <c r="P48" s="298"/>
      <c r="Q48" s="297"/>
      <c r="R48" s="296"/>
      <c r="S48" s="297"/>
      <c r="T48" s="298"/>
      <c r="U48" s="297"/>
      <c r="V48" s="296"/>
      <c r="W48" s="297"/>
      <c r="X48" s="298"/>
      <c r="Y48" s="297"/>
      <c r="Z48" s="296"/>
      <c r="AA48" s="297"/>
      <c r="AB48" s="298"/>
      <c r="AC48" s="297"/>
      <c r="AD48" s="296"/>
      <c r="AE48" s="297"/>
      <c r="AF48" s="298"/>
      <c r="AG48" s="297"/>
      <c r="AH48" s="296"/>
      <c r="AI48" s="297"/>
      <c r="AJ48" s="298"/>
      <c r="AK48" s="297"/>
    </row>
    <row r="49" spans="1:37" ht="12.75" customHeight="1" x14ac:dyDescent="0.25">
      <c r="A49" s="269" t="e">
        <f>_xlfn.IFNA( INDEX(#REF!,MATCH(Middles!E49,#REF!,0)), " ")</f>
        <v>#REF!</v>
      </c>
      <c r="B49" s="299"/>
      <c r="C49" s="306"/>
      <c r="D49" s="300"/>
      <c r="E49" s="1034"/>
      <c r="F49" s="301"/>
      <c r="G49" s="330"/>
      <c r="H49" s="330"/>
      <c r="I49" s="983"/>
      <c r="J49" s="303"/>
      <c r="K49" s="304"/>
      <c r="L49" s="303"/>
      <c r="M49" s="304"/>
      <c r="N49" s="303"/>
      <c r="O49" s="304"/>
      <c r="P49" s="305"/>
      <c r="Q49" s="304"/>
      <c r="R49" s="303"/>
      <c r="S49" s="304"/>
      <c r="T49" s="305"/>
      <c r="U49" s="304"/>
      <c r="V49" s="303"/>
      <c r="W49" s="304"/>
      <c r="X49" s="305"/>
      <c r="Y49" s="304"/>
      <c r="Z49" s="303"/>
      <c r="AA49" s="304"/>
      <c r="AB49" s="305"/>
      <c r="AC49" s="304"/>
      <c r="AD49" s="303"/>
      <c r="AE49" s="304"/>
      <c r="AF49" s="305"/>
      <c r="AG49" s="304"/>
      <c r="AH49" s="303"/>
      <c r="AI49" s="304"/>
      <c r="AJ49" s="305"/>
      <c r="AK49" s="304"/>
    </row>
    <row r="50" spans="1:37" ht="12.75" customHeight="1" x14ac:dyDescent="0.25">
      <c r="A50" s="269" t="e">
        <f>_xlfn.IFNA( INDEX(#REF!,MATCH(Middles!E50,#REF!,0)), " ")</f>
        <v>#REF!</v>
      </c>
      <c r="B50" s="306" t="s">
        <v>124</v>
      </c>
      <c r="C50" s="314" t="s">
        <v>271</v>
      </c>
      <c r="D50" s="308">
        <f t="array" ref="D50">IF(H50=0,0,_xlfn.IFNA(INDEX(NewRecipeTable[ShortCode],MATCH(Middles!$C50&amp;"|"&amp;$B50,NewRecipeTable[Recipe Name]&amp;"|"&amp;NewRecipeTable[Item No.],0)),))</f>
        <v>0</v>
      </c>
      <c r="E50" s="1035" t="str">
        <f t="array" ref="E50">_xlfn.IFNA(INDEX(NewRecipeTable[Active By-Product],MATCH(Middles!$C50&amp;"|"&amp;$B50,NewRecipeTable[Recipe Name]&amp;"|"&amp;NewRecipeTable[Item No.],0)),)</f>
        <v>G1225</v>
      </c>
      <c r="F50" s="309">
        <f>SUMIF(Middles!$B$94:$B$105,E50,Middles!$G$94:$G$105)</f>
        <v>878</v>
      </c>
      <c r="G50" s="310">
        <f t="shared" ref="G50:G52" si="25">+J50+L50+N50+P50+R50+T50+V50+X50+Z50+AB50+AD50+AF50+AH50+AJ50</f>
        <v>0</v>
      </c>
      <c r="H50" s="310">
        <f t="shared" ref="H50:H52" si="26">+K50+M50+O50+Q50+S50+U50+W50+Y50+AA50+AC50+AE50+AG50+AI50+AK50</f>
        <v>0</v>
      </c>
      <c r="I50" s="984">
        <f t="shared" ref="I50:I57" si="27">IFERROR(H50/$H$123,)</f>
        <v>0</v>
      </c>
      <c r="J50" s="317"/>
      <c r="K50" s="318"/>
      <c r="L50" s="313"/>
      <c r="M50" s="312"/>
      <c r="N50" s="313"/>
      <c r="O50" s="312"/>
      <c r="P50" s="311"/>
      <c r="Q50" s="312"/>
      <c r="R50" s="313"/>
      <c r="S50" s="312"/>
      <c r="T50" s="311"/>
      <c r="U50" s="312"/>
      <c r="V50" s="313"/>
      <c r="W50" s="312"/>
      <c r="X50" s="311"/>
      <c r="Y50" s="312"/>
      <c r="Z50" s="313"/>
      <c r="AA50" s="312"/>
      <c r="AB50" s="311"/>
      <c r="AC50" s="312"/>
      <c r="AD50" s="313"/>
      <c r="AE50" s="312"/>
      <c r="AF50" s="311"/>
      <c r="AG50" s="312"/>
      <c r="AH50" s="313"/>
      <c r="AI50" s="312"/>
      <c r="AJ50" s="311"/>
      <c r="AK50" s="312"/>
    </row>
    <row r="51" spans="1:37" ht="12.75" customHeight="1" x14ac:dyDescent="0.25">
      <c r="A51" s="269" t="e">
        <f>_xlfn.IFNA( INDEX(#REF!,MATCH(Middles!E51,#REF!,0)), " ")</f>
        <v>#REF!</v>
      </c>
      <c r="B51" s="315" t="s">
        <v>124</v>
      </c>
      <c r="C51" s="307" t="s">
        <v>278</v>
      </c>
      <c r="D51" s="308">
        <f t="array" ref="D51">IF(H51=0,0,_xlfn.IFNA(INDEX(NewRecipeTable[ShortCode],MATCH(Middles!$C51&amp;"|"&amp;$B51,NewRecipeTable[Recipe Name]&amp;"|"&amp;NewRecipeTable[Item No.],0)),))</f>
        <v>0</v>
      </c>
      <c r="E51" s="1035" t="str">
        <f t="array" ref="E51">_xlfn.IFNA(INDEX(NewRecipeTable[Active By-Product],MATCH(Middles!$C51&amp;"|"&amp;$B51,NewRecipeTable[Recipe Name]&amp;"|"&amp;NewRecipeTable[Item No.],0)),)</f>
        <v>G1222</v>
      </c>
      <c r="F51" s="309">
        <f>SUMIF(Middles!$B$94:$B$105,E51,Middles!$G$94:$G$105)</f>
        <v>131</v>
      </c>
      <c r="G51" s="310">
        <f t="shared" si="25"/>
        <v>0</v>
      </c>
      <c r="H51" s="316">
        <f t="shared" si="26"/>
        <v>0</v>
      </c>
      <c r="I51" s="985">
        <f t="shared" si="27"/>
        <v>0</v>
      </c>
      <c r="J51" s="317"/>
      <c r="K51" s="318"/>
      <c r="L51" s="319"/>
      <c r="M51" s="318"/>
      <c r="N51" s="319"/>
      <c r="O51" s="318"/>
      <c r="P51" s="317"/>
      <c r="Q51" s="318"/>
      <c r="R51" s="319"/>
      <c r="S51" s="318"/>
      <c r="T51" s="317"/>
      <c r="U51" s="318"/>
      <c r="V51" s="319"/>
      <c r="W51" s="318"/>
      <c r="X51" s="317"/>
      <c r="Y51" s="318"/>
      <c r="Z51" s="319"/>
      <c r="AA51" s="318"/>
      <c r="AB51" s="317"/>
      <c r="AC51" s="318"/>
      <c r="AD51" s="319"/>
      <c r="AE51" s="318"/>
      <c r="AF51" s="317"/>
      <c r="AG51" s="318"/>
      <c r="AH51" s="319"/>
      <c r="AI51" s="318"/>
      <c r="AJ51" s="317"/>
      <c r="AK51" s="318"/>
    </row>
    <row r="52" spans="1:37" ht="12.75" customHeight="1" x14ac:dyDescent="0.25">
      <c r="A52" s="269" t="e">
        <f>_xlfn.IFNA( INDEX(#REF!,MATCH(Middles!E52,#REF!,0)), " ")</f>
        <v>#REF!</v>
      </c>
      <c r="B52" s="315" t="s">
        <v>124</v>
      </c>
      <c r="C52" s="307" t="s">
        <v>279</v>
      </c>
      <c r="D52" s="308">
        <f t="array" ref="D52">IF(H52=0,0,_xlfn.IFNA(INDEX(NewRecipeTable[ShortCode],MATCH(Middles!$C52&amp;"|"&amp;$B52,NewRecipeTable[Recipe Name]&amp;"|"&amp;NewRecipeTable[Item No.],0)),))</f>
        <v>0</v>
      </c>
      <c r="E52" s="1035" t="str">
        <f t="array" ref="E52">_xlfn.IFNA(INDEX(NewRecipeTable[Active By-Product],MATCH(Middles!$C52&amp;"|"&amp;$B52,NewRecipeTable[Recipe Name]&amp;"|"&amp;NewRecipeTable[Item No.],0)),)</f>
        <v>G1221</v>
      </c>
      <c r="F52" s="309">
        <f>SUMIF(Middles!$B$94:$B$105,E52,Middles!$G$94:$G$105)</f>
        <v>0</v>
      </c>
      <c r="G52" s="310">
        <f t="shared" si="25"/>
        <v>0</v>
      </c>
      <c r="H52" s="316">
        <f t="shared" si="26"/>
        <v>0</v>
      </c>
      <c r="I52" s="985">
        <f t="shared" si="27"/>
        <v>0</v>
      </c>
      <c r="J52" s="317"/>
      <c r="K52" s="318"/>
      <c r="L52" s="319"/>
      <c r="M52" s="318"/>
      <c r="N52" s="319"/>
      <c r="O52" s="318"/>
      <c r="P52" s="317"/>
      <c r="Q52" s="318"/>
      <c r="R52" s="319"/>
      <c r="S52" s="318"/>
      <c r="T52" s="311"/>
      <c r="U52" s="312"/>
      <c r="V52" s="319"/>
      <c r="W52" s="318"/>
      <c r="X52" s="317"/>
      <c r="Y52" s="318"/>
      <c r="Z52" s="319"/>
      <c r="AA52" s="318"/>
      <c r="AB52" s="317"/>
      <c r="AC52" s="318"/>
      <c r="AD52" s="319"/>
      <c r="AE52" s="318"/>
      <c r="AF52" s="317"/>
      <c r="AG52" s="318"/>
      <c r="AH52" s="319"/>
      <c r="AI52" s="318"/>
      <c r="AJ52" s="317"/>
      <c r="AK52" s="318"/>
    </row>
    <row r="53" spans="1:37" ht="12.75" customHeight="1" x14ac:dyDescent="0.25">
      <c r="A53" s="269" t="e">
        <f>_xlfn.IFNA( INDEX(#REF!,MATCH(Middles!E53,#REF!,0)), " ")</f>
        <v>#REF!</v>
      </c>
      <c r="B53" s="306" t="s">
        <v>124</v>
      </c>
      <c r="C53" s="314" t="s">
        <v>1326</v>
      </c>
      <c r="D53" s="308">
        <f t="array" ref="D53">IF(H53=0,0,_xlfn.IFNA(INDEX(NewRecipeTable[ShortCode],MATCH(Middles!$C53&amp;"|"&amp;$B53,NewRecipeTable[Recipe Name]&amp;"|"&amp;NewRecipeTable[Item No.],0)),))</f>
        <v>0</v>
      </c>
      <c r="E53" s="1035" t="str">
        <f t="array" ref="E53">_xlfn.IFNA(INDEX(NewRecipeTable[Active By-Product],MATCH(Middles!$C53&amp;"|"&amp;$B53,NewRecipeTable[Recipe Name]&amp;"|"&amp;NewRecipeTable[Item No.],0)),)</f>
        <v>G1223</v>
      </c>
      <c r="F53" s="309">
        <f>SUMIF(Middles!$B$94:$B$105,E53,Middles!$G$94:$G$105)</f>
        <v>0</v>
      </c>
      <c r="G53" s="310">
        <f t="shared" ref="G53:G55" si="28">+J53+L53+N53+P53+R53+T53+V53+X53+Z53+AB53+AD53+AF53+AH53+AJ53</f>
        <v>0</v>
      </c>
      <c r="H53" s="310">
        <f t="shared" ref="H53" si="29">+K53+M53+O53+Q53+S53+U53+W53+Y53+AA53+AC53+AE53+AG53+AI53+AK53</f>
        <v>0</v>
      </c>
      <c r="I53" s="984">
        <f t="shared" si="27"/>
        <v>0</v>
      </c>
      <c r="J53" s="317"/>
      <c r="K53" s="318"/>
      <c r="L53" s="313"/>
      <c r="M53" s="312"/>
      <c r="N53" s="313"/>
      <c r="O53" s="312"/>
      <c r="P53" s="311"/>
      <c r="Q53" s="312"/>
      <c r="R53" s="313"/>
      <c r="S53" s="312"/>
      <c r="T53" s="311"/>
      <c r="U53" s="312"/>
      <c r="V53" s="313"/>
      <c r="W53" s="312"/>
      <c r="X53" s="311"/>
      <c r="Y53" s="312"/>
      <c r="Z53" s="313"/>
      <c r="AA53" s="312"/>
      <c r="AB53" s="311"/>
      <c r="AC53" s="312"/>
      <c r="AD53" s="313"/>
      <c r="AE53" s="312"/>
      <c r="AF53" s="311"/>
      <c r="AG53" s="312"/>
      <c r="AH53" s="313"/>
      <c r="AI53" s="312"/>
      <c r="AJ53" s="311"/>
      <c r="AK53" s="312"/>
    </row>
    <row r="54" spans="1:37" ht="12.75" customHeight="1" x14ac:dyDescent="0.25">
      <c r="A54" s="269" t="e">
        <f>_xlfn.IFNA( INDEX(#REF!,MATCH(Middles!E54,#REF!,0)), " ")</f>
        <v>#REF!</v>
      </c>
      <c r="B54" s="315" t="s">
        <v>124</v>
      </c>
      <c r="C54" s="307" t="s">
        <v>280</v>
      </c>
      <c r="D54" s="308" t="str">
        <f t="array" ref="D54">IF(H54=0,0,_xlfn.IFNA(INDEX(NewRecipeTable[ShortCode],MATCH(Middles!$C54&amp;"|"&amp;$B54,NewRecipeTable[Recipe Name]&amp;"|"&amp;NewRecipeTable[Item No.],0)),))</f>
        <v>2C151197</v>
      </c>
      <c r="E54" s="1035" t="str">
        <f t="array" ref="E54">_xlfn.IFNA(INDEX(NewRecipeTable[Active By-Product],MATCH(Middles!$C54&amp;"|"&amp;$B54,NewRecipeTable[Recipe Name]&amp;"|"&amp;NewRecipeTable[Item No.],0)),)</f>
        <v>G1224</v>
      </c>
      <c r="F54" s="309">
        <f>SUMIF(Middles!$B$94:$B$105,E54,Middles!$G$94:$G$105)</f>
        <v>25</v>
      </c>
      <c r="G54" s="310">
        <f t="shared" si="28"/>
        <v>449</v>
      </c>
      <c r="H54" s="316">
        <f t="shared" ref="H54:H56" si="30">+K54+M54+O54+Q54+S54+U54+W54+Y54+AA54+AC54+AE54+AG54+AI54+AK54</f>
        <v>1449.7</v>
      </c>
      <c r="I54" s="985">
        <f t="shared" si="27"/>
        <v>0.13600075050424504</v>
      </c>
      <c r="J54" s="317">
        <v>449</v>
      </c>
      <c r="K54" s="318">
        <v>1449.7</v>
      </c>
      <c r="L54" s="319"/>
      <c r="M54" s="318"/>
      <c r="N54" s="319"/>
      <c r="O54" s="318"/>
      <c r="P54" s="317"/>
      <c r="Q54" s="318"/>
      <c r="R54" s="319"/>
      <c r="S54" s="318"/>
      <c r="T54" s="317"/>
      <c r="U54" s="318"/>
      <c r="V54" s="319"/>
      <c r="W54" s="318"/>
      <c r="X54" s="317"/>
      <c r="Y54" s="318"/>
      <c r="Z54" s="319"/>
      <c r="AA54" s="318"/>
      <c r="AB54" s="317"/>
      <c r="AC54" s="318"/>
      <c r="AD54" s="319"/>
      <c r="AE54" s="318"/>
      <c r="AF54" s="317"/>
      <c r="AG54" s="318"/>
      <c r="AH54" s="319"/>
      <c r="AI54" s="318"/>
      <c r="AJ54" s="317"/>
      <c r="AK54" s="318"/>
    </row>
    <row r="55" spans="1:37" ht="12.75" customHeight="1" x14ac:dyDescent="0.25">
      <c r="A55" s="269" t="e">
        <f>_xlfn.IFNA( INDEX(#REF!,MATCH(Middles!E55,#REF!,0)), " ")</f>
        <v>#REF!</v>
      </c>
      <c r="B55" s="315" t="s">
        <v>124</v>
      </c>
      <c r="C55" s="307" t="s">
        <v>1352</v>
      </c>
      <c r="D55" s="308">
        <f t="array" ref="D55">IF(H55=0,0,_xlfn.IFNA(INDEX(NewRecipeTable[ShortCode],MATCH(Middles!$C55&amp;"|"&amp;$B55,NewRecipeTable[Recipe Name]&amp;"|"&amp;NewRecipeTable[Item No.],0)),))</f>
        <v>0</v>
      </c>
      <c r="E55" s="1035" t="str">
        <f t="array" ref="E55">_xlfn.IFNA(INDEX(NewRecipeTable[Active By-Product],MATCH(Middles!$C55&amp;"|"&amp;$B55,NewRecipeTable[Recipe Name]&amp;"|"&amp;NewRecipeTable[Item No.],0)),)</f>
        <v>G1152</v>
      </c>
      <c r="F55" s="309">
        <f>SUMIF(Middles!$B$94:$B$105,E55,Middles!$G$94:$G$105)</f>
        <v>0</v>
      </c>
      <c r="G55" s="310">
        <f t="shared" si="28"/>
        <v>0</v>
      </c>
      <c r="H55" s="316">
        <f t="shared" si="30"/>
        <v>0</v>
      </c>
      <c r="I55" s="985">
        <f t="shared" si="27"/>
        <v>0</v>
      </c>
      <c r="J55" s="317"/>
      <c r="K55" s="318"/>
      <c r="L55" s="319"/>
      <c r="M55" s="318"/>
      <c r="N55" s="319"/>
      <c r="O55" s="318"/>
      <c r="P55" s="317"/>
      <c r="Q55" s="318"/>
      <c r="R55" s="319"/>
      <c r="S55" s="318"/>
      <c r="T55" s="311"/>
      <c r="U55" s="312"/>
      <c r="V55" s="319"/>
      <c r="W55" s="318"/>
      <c r="X55" s="317"/>
      <c r="Y55" s="318"/>
      <c r="Z55" s="319"/>
      <c r="AA55" s="318"/>
      <c r="AB55" s="317"/>
      <c r="AC55" s="318"/>
      <c r="AD55" s="319"/>
      <c r="AE55" s="318"/>
      <c r="AF55" s="317"/>
      <c r="AG55" s="318"/>
      <c r="AH55" s="319"/>
      <c r="AI55" s="318"/>
      <c r="AJ55" s="317"/>
      <c r="AK55" s="318"/>
    </row>
    <row r="56" spans="1:37" ht="12.75" customHeight="1" thickBot="1" x14ac:dyDescent="0.3">
      <c r="A56" s="269" t="e">
        <f>_xlfn.IFNA( INDEX(#REF!,MATCH(Middles!E56,#REF!,0)), " ")</f>
        <v>#REF!</v>
      </c>
      <c r="B56" s="315" t="s">
        <v>124</v>
      </c>
      <c r="C56" s="307" t="s">
        <v>1376</v>
      </c>
      <c r="D56" s="308">
        <f t="array" ref="D56">IF(H56=0,0,_xlfn.IFNA(INDEX(NewRecipeTable[ShortCode],MATCH(Middles!$C56&amp;"|"&amp;$B56,NewRecipeTable[Recipe Name]&amp;"|"&amp;NewRecipeTable[Item No.],0)),))</f>
        <v>0</v>
      </c>
      <c r="E56" s="1035">
        <f t="array" ref="E56">_xlfn.IFNA(INDEX(NewRecipeTable[Active By-Product],MATCH(Middles!$C56&amp;"|"&amp;$B56,NewRecipeTable[Recipe Name]&amp;"|"&amp;NewRecipeTable[Item No.],0)),)</f>
        <v>0</v>
      </c>
      <c r="F56" s="309">
        <f>SUMIF(Middles!$B$94:$B$105,E56,Middles!$G$94:$G$105)</f>
        <v>0</v>
      </c>
      <c r="G56" s="316">
        <f t="shared" ref="G56" si="31">+J56+L56+N56+P56+R56+T56+V56+X56+Z56+AB56+AD56+AF56+AH56+AJ56</f>
        <v>0</v>
      </c>
      <c r="H56" s="316">
        <f t="shared" si="30"/>
        <v>0</v>
      </c>
      <c r="I56" s="985">
        <f t="shared" si="27"/>
        <v>0</v>
      </c>
      <c r="J56" s="317"/>
      <c r="K56" s="318"/>
      <c r="L56" s="319"/>
      <c r="M56" s="318"/>
      <c r="N56" s="319"/>
      <c r="O56" s="318"/>
      <c r="P56" s="317"/>
      <c r="Q56" s="318"/>
      <c r="R56" s="319"/>
      <c r="S56" s="318"/>
      <c r="T56" s="311"/>
      <c r="U56" s="312"/>
      <c r="V56" s="319"/>
      <c r="W56" s="318"/>
      <c r="X56" s="317"/>
      <c r="Y56" s="318"/>
      <c r="Z56" s="319"/>
      <c r="AA56" s="318"/>
      <c r="AB56" s="317"/>
      <c r="AC56" s="318"/>
      <c r="AD56" s="319"/>
      <c r="AE56" s="318"/>
      <c r="AF56" s="317"/>
      <c r="AG56" s="318"/>
      <c r="AH56" s="319"/>
      <c r="AI56" s="318"/>
      <c r="AJ56" s="317"/>
      <c r="AK56" s="318"/>
    </row>
    <row r="57" spans="1:37" ht="12.75" customHeight="1" x14ac:dyDescent="0.25">
      <c r="A57" s="269" t="e">
        <f>_xlfn.IFNA( INDEX(#REF!,MATCH(Middles!E57,#REF!,0)), " ")</f>
        <v>#REF!</v>
      </c>
      <c r="B57" s="291" t="s">
        <v>129</v>
      </c>
      <c r="C57" s="291" t="s">
        <v>267</v>
      </c>
      <c r="D57" s="292"/>
      <c r="E57" s="387"/>
      <c r="F57" s="294"/>
      <c r="G57" s="295">
        <f>J57+L57+N57+P57+R57+T57+V57+X57+Z57+AB57+AD57+AF57+AH57+AJ57+J58+L58+N58+P58+R58+T58+V58+X58+Z58+AB58+AD58+AF58+AH58+AJ58</f>
        <v>0</v>
      </c>
      <c r="H57" s="295">
        <f>K57+K58+M57+M58+O57+O58+Q57+Q58+S57+S58+U57+U58+W57+W58+Y57+Y58+AA57+AA58+AC57+AC58+AE57+AE58+AG57+AG58+AI57+AI58+AK57+AK58</f>
        <v>0</v>
      </c>
      <c r="I57" s="982">
        <f t="shared" si="27"/>
        <v>0</v>
      </c>
      <c r="J57" s="296">
        <f>[4]Middles!C35</f>
        <v>0</v>
      </c>
      <c r="K57" s="297">
        <f>[4]Middles!D35</f>
        <v>0</v>
      </c>
      <c r="L57" s="296"/>
      <c r="M57" s="297"/>
      <c r="N57" s="296"/>
      <c r="O57" s="297"/>
      <c r="P57" s="298"/>
      <c r="Q57" s="297"/>
      <c r="R57" s="296"/>
      <c r="S57" s="297"/>
      <c r="T57" s="298"/>
      <c r="U57" s="297"/>
      <c r="V57" s="296"/>
      <c r="W57" s="297"/>
      <c r="X57" s="298"/>
      <c r="Y57" s="297"/>
      <c r="Z57" s="296"/>
      <c r="AA57" s="297"/>
      <c r="AB57" s="298"/>
      <c r="AC57" s="297"/>
      <c r="AD57" s="296"/>
      <c r="AE57" s="297"/>
      <c r="AF57" s="298"/>
      <c r="AG57" s="297"/>
      <c r="AH57" s="296"/>
      <c r="AI57" s="297"/>
      <c r="AJ57" s="298"/>
      <c r="AK57" s="297"/>
    </row>
    <row r="58" spans="1:37" ht="12.75" customHeight="1" x14ac:dyDescent="0.25">
      <c r="A58" s="269" t="e">
        <f>_xlfn.IFNA( INDEX(#REF!,MATCH(Middles!E58,#REF!,0)), " ")</f>
        <v>#REF!</v>
      </c>
      <c r="B58" s="299"/>
      <c r="C58" s="306"/>
      <c r="D58" s="300"/>
      <c r="E58" s="1034"/>
      <c r="F58" s="301"/>
      <c r="G58" s="330"/>
      <c r="H58" s="330"/>
      <c r="I58" s="983"/>
      <c r="J58" s="303"/>
      <c r="K58" s="304"/>
      <c r="L58" s="303"/>
      <c r="M58" s="304"/>
      <c r="N58" s="303"/>
      <c r="O58" s="304"/>
      <c r="P58" s="305"/>
      <c r="Q58" s="304"/>
      <c r="R58" s="303"/>
      <c r="S58" s="304"/>
      <c r="T58" s="305"/>
      <c r="U58" s="304"/>
      <c r="V58" s="303"/>
      <c r="W58" s="304"/>
      <c r="X58" s="305"/>
      <c r="Y58" s="304"/>
      <c r="Z58" s="303"/>
      <c r="AA58" s="304"/>
      <c r="AB58" s="305"/>
      <c r="AC58" s="304"/>
      <c r="AD58" s="303"/>
      <c r="AE58" s="304"/>
      <c r="AF58" s="305"/>
      <c r="AG58" s="304"/>
      <c r="AH58" s="303"/>
      <c r="AI58" s="304"/>
      <c r="AJ58" s="305"/>
      <c r="AK58" s="304"/>
    </row>
    <row r="59" spans="1:37" ht="12.75" customHeight="1" x14ac:dyDescent="0.25">
      <c r="A59" s="269" t="e">
        <f>_xlfn.IFNA( INDEX(#REF!,MATCH(Middles!E59,#REF!,0)), " ")</f>
        <v>#REF!</v>
      </c>
      <c r="B59" s="306" t="s">
        <v>129</v>
      </c>
      <c r="C59" s="314" t="s">
        <v>266</v>
      </c>
      <c r="D59" s="308">
        <f t="array" ref="D59">IF(H59=0,0,_xlfn.IFNA(INDEX(NewRecipeTable[ShortCode],MATCH(Middles!$C59&amp;"|"&amp;$B59,NewRecipeTable[Recipe Name]&amp;"|"&amp;NewRecipeTable[Item No.],0)),))</f>
        <v>0</v>
      </c>
      <c r="E59" s="1035" t="str">
        <f t="array" ref="E59">_xlfn.IFNA(INDEX(NewRecipeTable[Active By-Product],MATCH(Middles!$C59&amp;"|"&amp;$B59,NewRecipeTable[Recipe Name]&amp;"|"&amp;NewRecipeTable[Item No.],0)),)</f>
        <v>G1225</v>
      </c>
      <c r="F59" s="309">
        <f>SUMIF(Middles!$B$94:$B$105,E59,Middles!$G$94:$G$105)</f>
        <v>878</v>
      </c>
      <c r="G59" s="310">
        <f t="shared" ref="G59:H62" si="32">+J59+L59+N59+P59+R59+T59+V59+X59+Z59+AB59+AD59+AF59+AH59+AJ59</f>
        <v>0</v>
      </c>
      <c r="H59" s="310">
        <f t="shared" si="32"/>
        <v>0</v>
      </c>
      <c r="I59" s="984"/>
      <c r="J59" s="311"/>
      <c r="K59" s="312"/>
      <c r="L59" s="313"/>
      <c r="M59" s="312"/>
      <c r="N59" s="313"/>
      <c r="O59" s="312"/>
      <c r="P59" s="311"/>
      <c r="Q59" s="312"/>
      <c r="R59" s="313"/>
      <c r="S59" s="312"/>
      <c r="T59" s="311"/>
      <c r="U59" s="312"/>
      <c r="V59" s="313"/>
      <c r="W59" s="312"/>
      <c r="X59" s="311"/>
      <c r="Y59" s="312"/>
      <c r="Z59" s="313"/>
      <c r="AA59" s="312"/>
      <c r="AB59" s="311"/>
      <c r="AC59" s="312"/>
      <c r="AD59" s="313"/>
      <c r="AE59" s="312"/>
      <c r="AF59" s="311"/>
      <c r="AG59" s="312"/>
      <c r="AH59" s="313"/>
      <c r="AI59" s="312"/>
      <c r="AJ59" s="311"/>
      <c r="AK59" s="312"/>
    </row>
    <row r="60" spans="1:37" ht="12.75" customHeight="1" x14ac:dyDescent="0.25">
      <c r="A60" s="269" t="e">
        <f>_xlfn.IFNA( INDEX(#REF!,MATCH(Middles!E60,#REF!,0)), " ")</f>
        <v>#REF!</v>
      </c>
      <c r="B60" s="306" t="s">
        <v>129</v>
      </c>
      <c r="C60" s="314" t="s">
        <v>1324</v>
      </c>
      <c r="D60" s="308">
        <f t="array" ref="D60">IF(H60=0,0,_xlfn.IFNA(INDEX(NewRecipeTable[ShortCode],MATCH(Middles!$C60&amp;"|"&amp;$B60,NewRecipeTable[Recipe Name]&amp;"|"&amp;NewRecipeTable[Item No.],0)),))</f>
        <v>0</v>
      </c>
      <c r="E60" s="1035" t="str">
        <f t="array" ref="E60">_xlfn.IFNA(INDEX(NewRecipeTable[Active By-Product],MATCH(Middles!$C60&amp;"|"&amp;$B60,NewRecipeTable[Recipe Name]&amp;"|"&amp;NewRecipeTable[Item No.],0)),)</f>
        <v>G1224</v>
      </c>
      <c r="F60" s="309">
        <f>SUMIF(Middles!$B$94:$B$105,E60,Middles!$G$94:$G$105)</f>
        <v>25</v>
      </c>
      <c r="G60" s="310">
        <f t="shared" si="32"/>
        <v>0</v>
      </c>
      <c r="H60" s="310">
        <f t="shared" si="32"/>
        <v>0</v>
      </c>
      <c r="I60" s="984"/>
      <c r="J60" s="311"/>
      <c r="K60" s="312"/>
      <c r="L60" s="313"/>
      <c r="M60" s="312"/>
      <c r="N60" s="313"/>
      <c r="O60" s="312"/>
      <c r="P60" s="311"/>
      <c r="Q60" s="312"/>
      <c r="R60" s="313"/>
      <c r="S60" s="312"/>
      <c r="T60" s="311"/>
      <c r="U60" s="312"/>
      <c r="V60" s="313"/>
      <c r="W60" s="312"/>
      <c r="X60" s="311"/>
      <c r="Y60" s="312"/>
      <c r="Z60" s="313"/>
      <c r="AA60" s="312"/>
      <c r="AB60" s="311"/>
      <c r="AC60" s="312"/>
      <c r="AD60" s="313"/>
      <c r="AE60" s="312"/>
      <c r="AF60" s="311"/>
      <c r="AG60" s="312"/>
      <c r="AH60" s="313"/>
      <c r="AI60" s="312"/>
      <c r="AJ60" s="311"/>
      <c r="AK60" s="312"/>
    </row>
    <row r="61" spans="1:37" ht="12.75" customHeight="1" x14ac:dyDescent="0.25">
      <c r="A61" s="269" t="e">
        <f>_xlfn.IFNA( INDEX(#REF!,MATCH(Middles!E61,#REF!,0)), " ")</f>
        <v>#REF!</v>
      </c>
      <c r="B61" s="306" t="s">
        <v>129</v>
      </c>
      <c r="C61" s="314" t="s">
        <v>287</v>
      </c>
      <c r="D61" s="308">
        <f t="array" ref="D61">IF(H61=0,0,_xlfn.IFNA(INDEX(NewRecipeTable[ShortCode],MATCH(Middles!$C61&amp;"|"&amp;$B61,NewRecipeTable[Recipe Name]&amp;"|"&amp;NewRecipeTable[Item No.],0)),))</f>
        <v>0</v>
      </c>
      <c r="E61" s="1035" t="str">
        <f t="array" ref="E61">_xlfn.IFNA(INDEX(NewRecipeTable[Active By-Product],MATCH(Middles!$C61&amp;"|"&amp;$B61,NewRecipeTable[Recipe Name]&amp;"|"&amp;NewRecipeTable[Item No.],0)),)</f>
        <v>G1222</v>
      </c>
      <c r="F61" s="309">
        <f>SUMIF(Middles!$B$94:$B$105,E61,Middles!$G$94:$G$105)</f>
        <v>131</v>
      </c>
      <c r="G61" s="310">
        <f t="shared" si="32"/>
        <v>0</v>
      </c>
      <c r="H61" s="310">
        <f t="shared" si="32"/>
        <v>0</v>
      </c>
      <c r="I61" s="984"/>
      <c r="J61" s="311"/>
      <c r="K61" s="312"/>
      <c r="L61" s="313"/>
      <c r="M61" s="312"/>
      <c r="N61" s="313"/>
      <c r="O61" s="312"/>
      <c r="P61" s="311"/>
      <c r="Q61" s="312"/>
      <c r="R61" s="313"/>
      <c r="S61" s="312"/>
      <c r="T61" s="311"/>
      <c r="U61" s="312"/>
      <c r="V61" s="313"/>
      <c r="W61" s="312"/>
      <c r="X61" s="311"/>
      <c r="Y61" s="312"/>
      <c r="Z61" s="313"/>
      <c r="AA61" s="312"/>
      <c r="AB61" s="311"/>
      <c r="AC61" s="312"/>
      <c r="AD61" s="313"/>
      <c r="AE61" s="312"/>
      <c r="AF61" s="311"/>
      <c r="AG61" s="312"/>
      <c r="AH61" s="313"/>
      <c r="AI61" s="312"/>
      <c r="AJ61" s="311"/>
      <c r="AK61" s="312"/>
    </row>
    <row r="62" spans="1:37" ht="12.75" customHeight="1" thickBot="1" x14ac:dyDescent="0.3">
      <c r="A62" s="269" t="e">
        <f>_xlfn.IFNA( INDEX(#REF!,MATCH(Middles!E62,#REF!,0)), " ")</f>
        <v>#REF!</v>
      </c>
      <c r="B62" s="306" t="s">
        <v>129</v>
      </c>
      <c r="C62" s="314" t="s">
        <v>1360</v>
      </c>
      <c r="D62" s="308">
        <f t="array" ref="D62">IF(H62=0,0,_xlfn.IFNA(INDEX(NewRecipeTable[ShortCode],MATCH(Middles!$C62&amp;"|"&amp;$B62,NewRecipeTable[Recipe Name]&amp;"|"&amp;NewRecipeTable[Item No.],0)),))</f>
        <v>0</v>
      </c>
      <c r="E62" s="1035" t="str">
        <f t="array" ref="E62">_xlfn.IFNA(INDEX(NewRecipeTable[Active By-Product],MATCH(Middles!$C62&amp;"|"&amp;$B62,NewRecipeTable[Recipe Name]&amp;"|"&amp;NewRecipeTable[Item No.],0)),)</f>
        <v>G1221</v>
      </c>
      <c r="F62" s="309">
        <f>SUMIF(Middles!$B$94:$B$105,E62,Middles!$G$94:$G$105)</f>
        <v>0</v>
      </c>
      <c r="G62" s="310">
        <f t="shared" si="32"/>
        <v>0</v>
      </c>
      <c r="H62" s="310">
        <f t="shared" si="32"/>
        <v>0</v>
      </c>
      <c r="I62" s="984"/>
      <c r="J62" s="311"/>
      <c r="K62" s="312"/>
      <c r="L62" s="313"/>
      <c r="M62" s="312"/>
      <c r="N62" s="313"/>
      <c r="O62" s="312"/>
      <c r="P62" s="311"/>
      <c r="Q62" s="312"/>
      <c r="R62" s="313"/>
      <c r="S62" s="312"/>
      <c r="T62" s="311"/>
      <c r="U62" s="312"/>
      <c r="V62" s="313"/>
      <c r="W62" s="312"/>
      <c r="X62" s="311"/>
      <c r="Y62" s="312"/>
      <c r="Z62" s="313"/>
      <c r="AA62" s="312"/>
      <c r="AB62" s="311"/>
      <c r="AC62" s="312"/>
      <c r="AD62" s="313"/>
      <c r="AE62" s="312"/>
      <c r="AF62" s="311"/>
      <c r="AG62" s="312"/>
      <c r="AH62" s="313"/>
      <c r="AI62" s="312"/>
      <c r="AJ62" s="311"/>
      <c r="AK62" s="312"/>
    </row>
    <row r="63" spans="1:37" ht="12.75" customHeight="1" x14ac:dyDescent="0.25">
      <c r="A63" s="269" t="e">
        <f>_xlfn.IFNA( INDEX(#REF!,MATCH(Middles!E63,#REF!,0)), " ")</f>
        <v>#REF!</v>
      </c>
      <c r="B63" s="291" t="s">
        <v>132</v>
      </c>
      <c r="C63" s="291" t="s">
        <v>234</v>
      </c>
      <c r="D63" s="336"/>
      <c r="E63" s="387"/>
      <c r="F63" s="294"/>
      <c r="G63" s="295">
        <f>J63+L63+N63+P63+R63+T63+V63+X63+Z63+AB63+AD63+AF63+AH63+AJ63+J64+L64+N64+P64+R64+T64+V64+X64+Z64+AB64+AD64+AF64+AH64+AJ64</f>
        <v>32</v>
      </c>
      <c r="H63" s="295">
        <f>K63+K64+M63+M64+O63+O64+Q63+Q64+S63+S64+U63+U64+W63+W64+Y63+Y64+AA63+AA64+AC63+AC64+AE63+AE64+AG63+AG64+AI63+AI64+AK63+AK64</f>
        <v>93.5</v>
      </c>
      <c r="I63" s="982">
        <f>IFERROR(H63/$H$123,)</f>
        <v>8.7715183639007453E-3</v>
      </c>
      <c r="J63" s="296">
        <f>[4]Middles!C38</f>
        <v>32</v>
      </c>
      <c r="K63" s="297">
        <f>[4]Middles!D38</f>
        <v>93.5</v>
      </c>
      <c r="L63" s="296"/>
      <c r="M63" s="297"/>
      <c r="N63" s="296"/>
      <c r="O63" s="297"/>
      <c r="P63" s="298"/>
      <c r="Q63" s="297"/>
      <c r="R63" s="296"/>
      <c r="S63" s="297"/>
      <c r="T63" s="298"/>
      <c r="U63" s="297"/>
      <c r="V63" s="296"/>
      <c r="W63" s="297"/>
      <c r="X63" s="298"/>
      <c r="Y63" s="297"/>
      <c r="Z63" s="296"/>
      <c r="AA63" s="297"/>
      <c r="AB63" s="298"/>
      <c r="AC63" s="297"/>
      <c r="AD63" s="296"/>
      <c r="AE63" s="297"/>
      <c r="AF63" s="298"/>
      <c r="AG63" s="297"/>
      <c r="AH63" s="296"/>
      <c r="AI63" s="297"/>
      <c r="AJ63" s="298"/>
      <c r="AK63" s="297"/>
    </row>
    <row r="64" spans="1:37" ht="12.75" customHeight="1" x14ac:dyDescent="0.25">
      <c r="A64" s="269" t="e">
        <f>_xlfn.IFNA( INDEX(#REF!,MATCH(Middles!E64,#REF!,0)), " ")</f>
        <v>#REF!</v>
      </c>
      <c r="B64" s="299"/>
      <c r="C64" s="306"/>
      <c r="D64" s="300"/>
      <c r="E64" s="1034"/>
      <c r="F64" s="301"/>
      <c r="G64" s="330"/>
      <c r="H64" s="330"/>
      <c r="I64" s="983"/>
      <c r="J64" s="303"/>
      <c r="K64" s="304"/>
      <c r="L64" s="303"/>
      <c r="M64" s="304"/>
      <c r="N64" s="303"/>
      <c r="O64" s="304"/>
      <c r="P64" s="305"/>
      <c r="Q64" s="304"/>
      <c r="R64" s="303"/>
      <c r="S64" s="304"/>
      <c r="T64" s="305"/>
      <c r="U64" s="304"/>
      <c r="V64" s="303"/>
      <c r="W64" s="304"/>
      <c r="X64" s="305"/>
      <c r="Y64" s="304"/>
      <c r="Z64" s="303"/>
      <c r="AA64" s="304"/>
      <c r="AB64" s="305"/>
      <c r="AC64" s="304"/>
      <c r="AD64" s="303"/>
      <c r="AE64" s="304"/>
      <c r="AF64" s="305"/>
      <c r="AG64" s="304"/>
      <c r="AH64" s="303"/>
      <c r="AI64" s="304"/>
      <c r="AJ64" s="305"/>
      <c r="AK64" s="304"/>
    </row>
    <row r="65" spans="1:37" ht="12.75" customHeight="1" x14ac:dyDescent="0.25">
      <c r="A65" s="269" t="e">
        <f>_xlfn.IFNA( INDEX(#REF!,MATCH(Middles!E65,#REF!,0)), " ")</f>
        <v>#REF!</v>
      </c>
      <c r="B65" s="306" t="s">
        <v>132</v>
      </c>
      <c r="C65" s="314" t="s">
        <v>270</v>
      </c>
      <c r="D65" s="308">
        <f t="array" ref="D65">IF(H65=0,0,_xlfn.IFNA(INDEX(NewRecipeTable[ShortCode],MATCH(Middles!$C65&amp;"|"&amp;$B65,NewRecipeTable[Recipe Name]&amp;"|"&amp;NewRecipeTable[Item No.],0)),))</f>
        <v>0</v>
      </c>
      <c r="E65" s="1035" t="str">
        <f t="array" ref="E65">_xlfn.IFNA(INDEX(NewRecipeTable[Active By-Product],MATCH(Middles!$C65&amp;"|"&amp;$B65,NewRecipeTable[Recipe Name]&amp;"|"&amp;NewRecipeTable[Item No.],0)),)</f>
        <v>G1224</v>
      </c>
      <c r="F65" s="309">
        <f>SUMIF(Middles!$B$94:$B$105,E65,Middles!$G$94:$G$105)</f>
        <v>25</v>
      </c>
      <c r="G65" s="310">
        <f t="shared" ref="G65:G70" si="33">+J65+L65+N65+P65+R65+T65+V65+X65+Z65+AB65+AD65+AF65+AH65+AJ65</f>
        <v>0</v>
      </c>
      <c r="H65" s="310">
        <f t="shared" ref="H65" si="34">+K65+M65+O65+Q65+S65+U65+W65+Y65+AA65+AC65+AE65+AG65+AI65+AK65</f>
        <v>0</v>
      </c>
      <c r="I65" s="984">
        <f t="shared" ref="I65:I74" si="35">IFERROR(H65/$H$123,)</f>
        <v>0</v>
      </c>
      <c r="J65" s="311"/>
      <c r="K65" s="312"/>
      <c r="L65" s="313"/>
      <c r="M65" s="312"/>
      <c r="N65" s="313"/>
      <c r="O65" s="312"/>
      <c r="P65" s="311"/>
      <c r="Q65" s="312"/>
      <c r="R65" s="313"/>
      <c r="S65" s="312"/>
      <c r="T65" s="311"/>
      <c r="U65" s="312"/>
      <c r="V65" s="313"/>
      <c r="W65" s="312"/>
      <c r="X65" s="311"/>
      <c r="Y65" s="312"/>
      <c r="Z65" s="313"/>
      <c r="AA65" s="312"/>
      <c r="AB65" s="311"/>
      <c r="AC65" s="312"/>
      <c r="AD65" s="313"/>
      <c r="AE65" s="312"/>
      <c r="AF65" s="311"/>
      <c r="AG65" s="312"/>
      <c r="AH65" s="313"/>
      <c r="AI65" s="312"/>
      <c r="AJ65" s="311"/>
      <c r="AK65" s="312"/>
    </row>
    <row r="66" spans="1:37" ht="12.75" customHeight="1" x14ac:dyDescent="0.25">
      <c r="A66" s="269" t="e">
        <f>_xlfn.IFNA( INDEX(#REF!,MATCH(Middles!E66,#REF!,0)), " ")</f>
        <v>#REF!</v>
      </c>
      <c r="B66" s="315" t="s">
        <v>132</v>
      </c>
      <c r="C66" s="307" t="s">
        <v>284</v>
      </c>
      <c r="D66" s="308">
        <f t="array" ref="D66">IF(H66=0,0,_xlfn.IFNA(INDEX(NewRecipeTable[ShortCode],MATCH(Middles!$C66&amp;"|"&amp;$B66,NewRecipeTable[Recipe Name]&amp;"|"&amp;NewRecipeTable[Item No.],0)),))</f>
        <v>0</v>
      </c>
      <c r="E66" s="1035" t="str">
        <f t="array" ref="E66">_xlfn.IFNA(INDEX(NewRecipeTable[Active By-Product],MATCH(Middles!$C66&amp;"|"&amp;$B66,NewRecipeTable[Recipe Name]&amp;"|"&amp;NewRecipeTable[Item No.],0)),)</f>
        <v>G1222</v>
      </c>
      <c r="F66" s="309">
        <f>SUMIF(Middles!$B$94:$B$105,E66,Middles!$G$94:$G$105)</f>
        <v>131</v>
      </c>
      <c r="G66" s="310">
        <f t="shared" si="33"/>
        <v>0</v>
      </c>
      <c r="H66" s="316">
        <f t="shared" ref="H66:H70" si="36">+K66+M66+O66+Q66+S66+U66+W66+Y66+AA66+AC66+AE66+AG66+AI66+AK66</f>
        <v>0</v>
      </c>
      <c r="I66" s="985">
        <f t="shared" si="35"/>
        <v>0</v>
      </c>
      <c r="J66" s="317"/>
      <c r="K66" s="318"/>
      <c r="L66" s="319"/>
      <c r="M66" s="318"/>
      <c r="N66" s="319"/>
      <c r="O66" s="318"/>
      <c r="P66" s="317"/>
      <c r="Q66" s="318"/>
      <c r="R66" s="319"/>
      <c r="S66" s="318"/>
      <c r="T66" s="317"/>
      <c r="U66" s="318"/>
      <c r="V66" s="319"/>
      <c r="W66" s="318"/>
      <c r="X66" s="317"/>
      <c r="Y66" s="318"/>
      <c r="Z66" s="319"/>
      <c r="AA66" s="318"/>
      <c r="AB66" s="317"/>
      <c r="AC66" s="318"/>
      <c r="AD66" s="319"/>
      <c r="AE66" s="318"/>
      <c r="AF66" s="317"/>
      <c r="AG66" s="318"/>
      <c r="AH66" s="319"/>
      <c r="AI66" s="318"/>
      <c r="AJ66" s="317"/>
      <c r="AK66" s="318"/>
    </row>
    <row r="67" spans="1:37" ht="12.75" customHeight="1" x14ac:dyDescent="0.25">
      <c r="A67" s="269" t="e">
        <f>_xlfn.IFNA( INDEX(#REF!,MATCH(Middles!E67,#REF!,0)), " ")</f>
        <v>#REF!</v>
      </c>
      <c r="B67" s="315" t="s">
        <v>132</v>
      </c>
      <c r="C67" s="307" t="s">
        <v>285</v>
      </c>
      <c r="D67" s="308">
        <f t="array" ref="D67">IF(H67=0,0,_xlfn.IFNA(INDEX(NewRecipeTable[ShortCode],MATCH(Middles!$C67&amp;"|"&amp;$B67,NewRecipeTable[Recipe Name]&amp;"|"&amp;NewRecipeTable[Item No.],0)),))</f>
        <v>0</v>
      </c>
      <c r="E67" s="1035" t="str">
        <f t="array" ref="E67">_xlfn.IFNA(INDEX(NewRecipeTable[Active By-Product],MATCH(Middles!$C67&amp;"|"&amp;$B67,NewRecipeTable[Recipe Name]&amp;"|"&amp;NewRecipeTable[Item No.],0)),)</f>
        <v>G1225</v>
      </c>
      <c r="F67" s="309">
        <f>SUMIF(Middles!$B$94:$B$105,E67,Middles!$G$94:$G$105)</f>
        <v>878</v>
      </c>
      <c r="G67" s="310">
        <f t="shared" ref="G67" si="37">+J67+L67+N67+P67+R67+T67+V67+X67+Z67+AB67+AD67+AF67+AH67+AJ67</f>
        <v>0</v>
      </c>
      <c r="H67" s="316">
        <f t="shared" ref="H67" si="38">+K67+M67+O67+Q67+S67+U67+W67+Y67+AA67+AC67+AE67+AG67+AI67+AK67</f>
        <v>0</v>
      </c>
      <c r="I67" s="985">
        <f t="shared" ref="I67" si="39">IFERROR(H67/$H$123,)</f>
        <v>0</v>
      </c>
      <c r="J67" s="317"/>
      <c r="K67" s="318"/>
      <c r="L67" s="319"/>
      <c r="M67" s="318"/>
      <c r="N67" s="319"/>
      <c r="O67" s="318"/>
      <c r="P67" s="317"/>
      <c r="Q67" s="318"/>
      <c r="R67" s="319"/>
      <c r="S67" s="318"/>
      <c r="T67" s="317"/>
      <c r="U67" s="318"/>
      <c r="V67" s="319"/>
      <c r="W67" s="318"/>
      <c r="X67" s="317"/>
      <c r="Y67" s="318"/>
      <c r="Z67" s="319"/>
      <c r="AA67" s="318"/>
      <c r="AB67" s="317"/>
      <c r="AC67" s="318"/>
      <c r="AD67" s="319"/>
      <c r="AE67" s="318"/>
      <c r="AF67" s="317"/>
      <c r="AG67" s="318"/>
      <c r="AH67" s="319"/>
      <c r="AI67" s="318"/>
      <c r="AJ67" s="317"/>
      <c r="AK67" s="318"/>
    </row>
    <row r="68" spans="1:37" ht="12.75" customHeight="1" x14ac:dyDescent="0.25">
      <c r="A68" s="269" t="e">
        <f>_xlfn.IFNA( INDEX(#REF!,MATCH(Middles!E68,#REF!,0)), " ")</f>
        <v>#REF!</v>
      </c>
      <c r="B68" s="315" t="s">
        <v>132</v>
      </c>
      <c r="C68" s="307" t="s">
        <v>286</v>
      </c>
      <c r="D68" s="308">
        <f t="array" ref="D68">IF(H68=0,0,_xlfn.IFNA(INDEX(NewRecipeTable[ShortCode],MATCH(Middles!$C68&amp;"|"&amp;$B68,NewRecipeTable[Recipe Name]&amp;"|"&amp;NewRecipeTable[Item No.],0)),))</f>
        <v>0</v>
      </c>
      <c r="E68" s="1035" t="str">
        <f t="array" ref="E68">_xlfn.IFNA(INDEX(NewRecipeTable[Active By-Product],MATCH(Middles!$C68&amp;"|"&amp;$B68,NewRecipeTable[Recipe Name]&amp;"|"&amp;NewRecipeTable[Item No.],0)),)</f>
        <v>G1221</v>
      </c>
      <c r="F68" s="309">
        <f>SUMIF(Middles!$B$94:$B$105,E68,Middles!$G$94:$G$105)</f>
        <v>0</v>
      </c>
      <c r="G68" s="310">
        <f t="shared" si="33"/>
        <v>0</v>
      </c>
      <c r="H68" s="316">
        <f t="shared" si="36"/>
        <v>0</v>
      </c>
      <c r="I68" s="985">
        <f t="shared" si="35"/>
        <v>0</v>
      </c>
      <c r="J68" s="317"/>
      <c r="K68" s="318"/>
      <c r="L68" s="319"/>
      <c r="M68" s="318"/>
      <c r="N68" s="319"/>
      <c r="O68" s="318"/>
      <c r="P68" s="317"/>
      <c r="Q68" s="318"/>
      <c r="R68" s="319"/>
      <c r="S68" s="318"/>
      <c r="T68" s="317"/>
      <c r="U68" s="318"/>
      <c r="V68" s="319"/>
      <c r="W68" s="318"/>
      <c r="X68" s="317"/>
      <c r="Y68" s="318"/>
      <c r="Z68" s="319"/>
      <c r="AA68" s="318"/>
      <c r="AB68" s="317"/>
      <c r="AC68" s="318"/>
      <c r="AD68" s="319"/>
      <c r="AE68" s="318"/>
      <c r="AF68" s="317"/>
      <c r="AG68" s="318"/>
      <c r="AH68" s="319"/>
      <c r="AI68" s="318"/>
      <c r="AJ68" s="317"/>
      <c r="AK68" s="318"/>
    </row>
    <row r="69" spans="1:37" ht="12.75" customHeight="1" x14ac:dyDescent="0.25">
      <c r="A69" s="269" t="e">
        <f>_xlfn.IFNA( INDEX(#REF!,MATCH(Middles!E69,#REF!,0)), " ")</f>
        <v>#REF!</v>
      </c>
      <c r="B69" s="315" t="s">
        <v>132</v>
      </c>
      <c r="C69" s="307" t="s">
        <v>1342</v>
      </c>
      <c r="D69" s="308">
        <f t="array" ref="D69">IF(H69=0,0,_xlfn.IFNA(INDEX(NewRecipeTable[ShortCode],MATCH(Middles!$C69&amp;"|"&amp;$B69,NewRecipeTable[Recipe Name]&amp;"|"&amp;NewRecipeTable[Item No.],0)),))</f>
        <v>0</v>
      </c>
      <c r="E69" s="1035" t="str">
        <f t="array" ref="E69">_xlfn.IFNA(INDEX(NewRecipeTable[Active By-Product],MATCH(Middles!$C69&amp;"|"&amp;$B69,NewRecipeTable[Recipe Name]&amp;"|"&amp;NewRecipeTable[Item No.],0)),)</f>
        <v>G1223</v>
      </c>
      <c r="F69" s="309">
        <f>SUMIF(Middles!$B$94:$B$105,E69,Middles!$G$94:$G$105)</f>
        <v>0</v>
      </c>
      <c r="G69" s="310">
        <f t="shared" si="33"/>
        <v>0</v>
      </c>
      <c r="H69" s="316">
        <f t="shared" si="36"/>
        <v>0</v>
      </c>
      <c r="I69" s="985">
        <f t="shared" si="35"/>
        <v>0</v>
      </c>
      <c r="J69" s="317"/>
      <c r="K69" s="318"/>
      <c r="L69" s="319"/>
      <c r="M69" s="318"/>
      <c r="N69" s="319"/>
      <c r="O69" s="318"/>
      <c r="P69" s="317"/>
      <c r="Q69" s="318"/>
      <c r="R69" s="319"/>
      <c r="S69" s="318"/>
      <c r="T69" s="317"/>
      <c r="U69" s="318"/>
      <c r="V69" s="319"/>
      <c r="W69" s="318"/>
      <c r="X69" s="317"/>
      <c r="Y69" s="318"/>
      <c r="Z69" s="319"/>
      <c r="AA69" s="318"/>
      <c r="AB69" s="317"/>
      <c r="AC69" s="318"/>
      <c r="AD69" s="319"/>
      <c r="AE69" s="318"/>
      <c r="AF69" s="317"/>
      <c r="AG69" s="318"/>
      <c r="AH69" s="319"/>
      <c r="AI69" s="318"/>
      <c r="AJ69" s="317"/>
      <c r="AK69" s="318"/>
    </row>
    <row r="70" spans="1:37" ht="12.75" customHeight="1" thickBot="1" x14ac:dyDescent="0.3">
      <c r="A70" s="269" t="e">
        <f>_xlfn.IFNA( INDEX(#REF!,MATCH(Middles!E70,#REF!,0)), " ")</f>
        <v>#REF!</v>
      </c>
      <c r="B70" s="315" t="s">
        <v>132</v>
      </c>
      <c r="C70" s="307" t="s">
        <v>290</v>
      </c>
      <c r="D70" s="308" t="str">
        <f t="array" ref="D70">IF(H70=0,0,_xlfn.IFNA(INDEX(NewRecipeTable[ShortCode],MATCH(Middles!$C70&amp;"|"&amp;$B70,NewRecipeTable[Recipe Name]&amp;"|"&amp;NewRecipeTable[Item No.],0)),))</f>
        <v>2C401199</v>
      </c>
      <c r="E70" s="1035" t="str">
        <f t="array" ref="E70">_xlfn.IFNA(INDEX(NewRecipeTable[Active By-Product],MATCH(Middles!$C70&amp;"|"&amp;$B70,NewRecipeTable[Recipe Name]&amp;"|"&amp;NewRecipeTable[Item No.],0)),)</f>
        <v>None</v>
      </c>
      <c r="F70" s="309">
        <f>SUMIF(Middles!$B$94:$B$105,E70,Middles!$G$94:$G$105)</f>
        <v>0</v>
      </c>
      <c r="G70" s="310">
        <f t="shared" si="33"/>
        <v>1</v>
      </c>
      <c r="H70" s="316">
        <f t="shared" si="36"/>
        <v>1.7</v>
      </c>
      <c r="I70" s="985">
        <f t="shared" si="35"/>
        <v>1.5948215207092266E-4</v>
      </c>
      <c r="J70" s="317">
        <v>1</v>
      </c>
      <c r="K70" s="318">
        <v>1.7</v>
      </c>
      <c r="L70" s="319"/>
      <c r="M70" s="318"/>
      <c r="N70" s="319"/>
      <c r="O70" s="318"/>
      <c r="P70" s="317"/>
      <c r="Q70" s="318"/>
      <c r="R70" s="319"/>
      <c r="S70" s="318"/>
      <c r="T70" s="317"/>
      <c r="U70" s="318"/>
      <c r="V70" s="319"/>
      <c r="W70" s="318"/>
      <c r="X70" s="317"/>
      <c r="Y70" s="318"/>
      <c r="Z70" s="319"/>
      <c r="AA70" s="318"/>
      <c r="AB70" s="317"/>
      <c r="AC70" s="318"/>
      <c r="AD70" s="319"/>
      <c r="AE70" s="318"/>
      <c r="AF70" s="317"/>
      <c r="AG70" s="318"/>
      <c r="AH70" s="319"/>
      <c r="AI70" s="318"/>
      <c r="AJ70" s="317"/>
      <c r="AK70" s="318"/>
    </row>
    <row r="71" spans="1:37" ht="12.75" customHeight="1" x14ac:dyDescent="0.25">
      <c r="A71" s="269" t="e">
        <f>_xlfn.IFNA( INDEX(#REF!,MATCH(Middles!E71,#REF!,0)), " ")</f>
        <v>#REF!</v>
      </c>
      <c r="B71" s="291" t="s">
        <v>1363</v>
      </c>
      <c r="C71" s="291" t="s">
        <v>1364</v>
      </c>
      <c r="D71" s="292"/>
      <c r="E71" s="387"/>
      <c r="F71" s="294"/>
      <c r="G71" s="295">
        <f>J71+L71+N71+P71+R71+T71+V71+X71+Z71+AB71+AD71+AF71+AH71+AJ71+J72+L72+N72+P72+R72+T72+V72+X72+Z72+AB72+AD72+AF72+AH72+AJ72</f>
        <v>0</v>
      </c>
      <c r="H71" s="295">
        <f>K71+K72+M71+M72+O71+O72+Q71+Q72+S71+S72+U71+U72+W71+W72+Y71+Y72+AA71+AA72+AC71+AC72+AE71+AE72+AG71+AG72+AI71+AI72+AK71+AK72</f>
        <v>0</v>
      </c>
      <c r="I71" s="982">
        <f t="shared" ref="I71" si="40">IFERROR(H71/$H$123,)</f>
        <v>0</v>
      </c>
      <c r="J71" s="296"/>
      <c r="K71" s="297"/>
      <c r="L71" s="296"/>
      <c r="M71" s="297"/>
      <c r="N71" s="296"/>
      <c r="O71" s="297"/>
      <c r="P71" s="298"/>
      <c r="Q71" s="297"/>
      <c r="R71" s="296"/>
      <c r="S71" s="297"/>
      <c r="T71" s="298"/>
      <c r="U71" s="297"/>
      <c r="V71" s="296"/>
      <c r="W71" s="297"/>
      <c r="X71" s="298"/>
      <c r="Y71" s="297"/>
      <c r="Z71" s="296"/>
      <c r="AA71" s="297"/>
      <c r="AB71" s="298"/>
      <c r="AC71" s="297"/>
      <c r="AD71" s="296"/>
      <c r="AE71" s="297"/>
      <c r="AF71" s="298"/>
      <c r="AG71" s="297"/>
      <c r="AH71" s="296"/>
      <c r="AI71" s="297"/>
      <c r="AJ71" s="298"/>
      <c r="AK71" s="297"/>
    </row>
    <row r="72" spans="1:37" ht="12.75" customHeight="1" x14ac:dyDescent="0.25">
      <c r="A72" s="269" t="e">
        <f>_xlfn.IFNA( INDEX(#REF!,MATCH(Middles!E72,#REF!,0)), " ")</f>
        <v>#REF!</v>
      </c>
      <c r="B72" s="299"/>
      <c r="C72" s="306"/>
      <c r="D72" s="337"/>
      <c r="E72" s="1036"/>
      <c r="F72" s="338"/>
      <c r="G72" s="339"/>
      <c r="H72" s="339"/>
      <c r="I72" s="983"/>
      <c r="J72" s="303"/>
      <c r="K72" s="304"/>
      <c r="L72" s="303"/>
      <c r="M72" s="304"/>
      <c r="N72" s="303"/>
      <c r="O72" s="304"/>
      <c r="P72" s="305"/>
      <c r="Q72" s="304"/>
      <c r="R72" s="303"/>
      <c r="S72" s="304"/>
      <c r="T72" s="305"/>
      <c r="U72" s="304"/>
      <c r="V72" s="303"/>
      <c r="W72" s="304"/>
      <c r="X72" s="305"/>
      <c r="Y72" s="304"/>
      <c r="Z72" s="303"/>
      <c r="AA72" s="304"/>
      <c r="AB72" s="305"/>
      <c r="AC72" s="304"/>
      <c r="AD72" s="303"/>
      <c r="AE72" s="304"/>
      <c r="AF72" s="305"/>
      <c r="AG72" s="304"/>
      <c r="AH72" s="303"/>
      <c r="AI72" s="304"/>
      <c r="AJ72" s="305"/>
      <c r="AK72" s="304"/>
    </row>
    <row r="73" spans="1:37" ht="12.75" customHeight="1" thickBot="1" x14ac:dyDescent="0.3">
      <c r="A73" s="269" t="e">
        <f>_xlfn.IFNA( INDEX(#REF!,MATCH(Middles!E73,#REF!,0)), " ")</f>
        <v>#REF!</v>
      </c>
      <c r="B73" s="306" t="s">
        <v>1363</v>
      </c>
      <c r="C73" s="314" t="s">
        <v>1362</v>
      </c>
      <c r="D73" s="308">
        <f t="array" ref="D73">IF(H73=0,0,_xlfn.IFNA(INDEX(NewRecipeTable[ShortCode],MATCH(Middles!$C73&amp;"|"&amp;$B73,NewRecipeTable[Recipe Name]&amp;"|"&amp;NewRecipeTable[Item No.],0)),))</f>
        <v>0</v>
      </c>
      <c r="E73" s="1035">
        <f t="array" ref="E73">_xlfn.IFNA(INDEX(NewRecipeTable[Active By-Product],MATCH(Middles!$C73&amp;"|"&amp;$B73,NewRecipeTable[Recipe Name]&amp;"|"&amp;NewRecipeTable[Item No.],0)),)</f>
        <v>0</v>
      </c>
      <c r="F73" s="309">
        <f>SUMIF(Middles!$B$94:$B$105,E73,Middles!$G$94:$G$105)</f>
        <v>0</v>
      </c>
      <c r="G73" s="310">
        <f t="shared" ref="G73" si="41">+J73+L73+N73+P73+R73+T73+V73+X73+Z73+AB73+AD73+AF73+AH73+AJ73</f>
        <v>0</v>
      </c>
      <c r="H73" s="302">
        <f>+K73+M73+O73+Q73+S73+U73+W73+Y73+AA73+AC73+AE73+AG73+AI73+AK73</f>
        <v>0</v>
      </c>
      <c r="I73" s="983">
        <f>IFERROR(H73/$H$123,)</f>
        <v>0</v>
      </c>
      <c r="J73" s="311"/>
      <c r="K73" s="312"/>
      <c r="L73" s="313"/>
      <c r="M73" s="312"/>
      <c r="N73" s="313"/>
      <c r="O73" s="312"/>
      <c r="P73" s="311"/>
      <c r="Q73" s="312"/>
      <c r="R73" s="313"/>
      <c r="S73" s="312"/>
      <c r="T73" s="311"/>
      <c r="U73" s="312"/>
      <c r="V73" s="313"/>
      <c r="W73" s="312"/>
      <c r="X73" s="311"/>
      <c r="Y73" s="312"/>
      <c r="Z73" s="313"/>
      <c r="AA73" s="312"/>
      <c r="AB73" s="311"/>
      <c r="AC73" s="312"/>
      <c r="AD73" s="313"/>
      <c r="AE73" s="312"/>
      <c r="AF73" s="311"/>
      <c r="AG73" s="312"/>
      <c r="AH73" s="313"/>
      <c r="AI73" s="312"/>
      <c r="AJ73" s="311"/>
      <c r="AK73" s="312"/>
    </row>
    <row r="74" spans="1:37" ht="12.75" customHeight="1" x14ac:dyDescent="0.25">
      <c r="A74" s="269" t="e">
        <f>_xlfn.IFNA( INDEX(#REF!,MATCH(Middles!E74,#REF!,0)), " ")</f>
        <v>#REF!</v>
      </c>
      <c r="B74" s="291" t="s">
        <v>138</v>
      </c>
      <c r="C74" s="291" t="s">
        <v>203</v>
      </c>
      <c r="D74" s="292"/>
      <c r="E74" s="387"/>
      <c r="F74" s="294"/>
      <c r="G74" s="295">
        <f>J74+L74+N74+P74+R74+T74+V74+X74+Z74+AB74+AD74+AF74+AH74+AJ74+J75+L75+N75+P75+R75+T75+V75+X75+Z75+AB75+AD75+AF75+AH75+AJ75</f>
        <v>0</v>
      </c>
      <c r="H74" s="295">
        <f>K74+K75+M74+M75+O74+O75+Q74+Q75+S74+S75+U74+U75+W74+W75+Y74+Y75+AA74+AA75+AC74+AC75+AE74+AE75+AG74+AG75+AI74+AI75+AK74+AK75</f>
        <v>0</v>
      </c>
      <c r="I74" s="982">
        <f t="shared" si="35"/>
        <v>0</v>
      </c>
      <c r="J74" s="296">
        <f>[4]Middles!C45</f>
        <v>0</v>
      </c>
      <c r="K74" s="297">
        <f>[4]Middles!D45</f>
        <v>0</v>
      </c>
      <c r="L74" s="296"/>
      <c r="M74" s="297"/>
      <c r="N74" s="296"/>
      <c r="O74" s="297"/>
      <c r="P74" s="298"/>
      <c r="Q74" s="297"/>
      <c r="R74" s="296"/>
      <c r="S74" s="297"/>
      <c r="T74" s="298"/>
      <c r="U74" s="297"/>
      <c r="V74" s="296"/>
      <c r="W74" s="297"/>
      <c r="X74" s="298"/>
      <c r="Y74" s="297"/>
      <c r="Z74" s="296"/>
      <c r="AA74" s="297"/>
      <c r="AB74" s="298"/>
      <c r="AC74" s="297"/>
      <c r="AD74" s="296"/>
      <c r="AE74" s="297"/>
      <c r="AF74" s="298"/>
      <c r="AG74" s="297"/>
      <c r="AH74" s="296"/>
      <c r="AI74" s="297"/>
      <c r="AJ74" s="298"/>
      <c r="AK74" s="297"/>
    </row>
    <row r="75" spans="1:37" ht="12.75" customHeight="1" x14ac:dyDescent="0.25">
      <c r="A75" s="269" t="e">
        <f>_xlfn.IFNA( INDEX(#REF!,MATCH(Middles!E75,#REF!,0)), " ")</f>
        <v>#REF!</v>
      </c>
      <c r="B75" s="299"/>
      <c r="C75" s="306"/>
      <c r="D75" s="337"/>
      <c r="E75" s="1036"/>
      <c r="F75" s="338"/>
      <c r="G75" s="339"/>
      <c r="H75" s="339"/>
      <c r="I75" s="983"/>
      <c r="J75" s="303"/>
      <c r="K75" s="304"/>
      <c r="L75" s="303"/>
      <c r="M75" s="304"/>
      <c r="N75" s="303"/>
      <c r="O75" s="304"/>
      <c r="P75" s="305"/>
      <c r="Q75" s="304"/>
      <c r="R75" s="303"/>
      <c r="S75" s="304"/>
      <c r="T75" s="305"/>
      <c r="U75" s="304"/>
      <c r="V75" s="303"/>
      <c r="W75" s="304"/>
      <c r="X75" s="305"/>
      <c r="Y75" s="304"/>
      <c r="Z75" s="303"/>
      <c r="AA75" s="304"/>
      <c r="AB75" s="305"/>
      <c r="AC75" s="304"/>
      <c r="AD75" s="303"/>
      <c r="AE75" s="304"/>
      <c r="AF75" s="305"/>
      <c r="AG75" s="304"/>
      <c r="AH75" s="303"/>
      <c r="AI75" s="304"/>
      <c r="AJ75" s="305"/>
      <c r="AK75" s="304"/>
    </row>
    <row r="76" spans="1:37" ht="12.75" customHeight="1" x14ac:dyDescent="0.25">
      <c r="A76" s="269" t="e">
        <f>_xlfn.IFNA( INDEX(#REF!,MATCH(Middles!E76,#REF!,0)), " ")</f>
        <v>#REF!</v>
      </c>
      <c r="B76" s="306" t="s">
        <v>138</v>
      </c>
      <c r="C76" s="314" t="s">
        <v>268</v>
      </c>
      <c r="D76" s="308">
        <f t="array" ref="D76">IF(H76=0,0,_xlfn.IFNA(INDEX(NewRecipeTable[ShortCode],MATCH(Middles!$C76&amp;"|"&amp;$B76,NewRecipeTable[Recipe Name]&amp;"|"&amp;NewRecipeTable[Item No.],0)),))</f>
        <v>0</v>
      </c>
      <c r="E76" s="1035" t="str">
        <f t="array" ref="E76">_xlfn.IFNA(INDEX(NewRecipeTable[Active By-Product],MATCH(Middles!$C76&amp;"|"&amp;$B76,NewRecipeTable[Recipe Name]&amp;"|"&amp;NewRecipeTable[Item No.],0)),)</f>
        <v>G1225</v>
      </c>
      <c r="F76" s="309">
        <f>SUMIF(Middles!$B$94:$B$105,E76,Middles!$G$94:$G$105)</f>
        <v>878</v>
      </c>
      <c r="G76" s="310">
        <f t="shared" ref="G76" si="42">+J76+L76+N76+P76+R76+T76+V76+X76+Z76+AB76+AD76+AF76+AH76+AJ76</f>
        <v>0</v>
      </c>
      <c r="H76" s="302">
        <f>+K76+M76+O76+Q76+S76+U76+W76+Y76+AA76+AC76+AE76+AG76+AI76+AK76</f>
        <v>0</v>
      </c>
      <c r="I76" s="983">
        <f>IFERROR(H76/$H$123,)</f>
        <v>0</v>
      </c>
      <c r="J76" s="311"/>
      <c r="K76" s="312"/>
      <c r="L76" s="313"/>
      <c r="M76" s="312"/>
      <c r="N76" s="313"/>
      <c r="O76" s="312"/>
      <c r="P76" s="311"/>
      <c r="Q76" s="312"/>
      <c r="R76" s="313"/>
      <c r="S76" s="312"/>
      <c r="T76" s="311"/>
      <c r="U76" s="312"/>
      <c r="V76" s="313"/>
      <c r="W76" s="312"/>
      <c r="X76" s="311"/>
      <c r="Y76" s="312"/>
      <c r="Z76" s="313"/>
      <c r="AA76" s="312"/>
      <c r="AB76" s="311"/>
      <c r="AC76" s="312"/>
      <c r="AD76" s="313"/>
      <c r="AE76" s="312"/>
      <c r="AF76" s="311"/>
      <c r="AG76" s="312"/>
      <c r="AH76" s="313"/>
      <c r="AI76" s="312"/>
      <c r="AJ76" s="311"/>
      <c r="AK76" s="312"/>
    </row>
    <row r="77" spans="1:37" ht="12.75" customHeight="1" x14ac:dyDescent="0.25">
      <c r="A77" s="269" t="e">
        <f>_xlfn.IFNA( INDEX(#REF!,MATCH(Middles!E77,#REF!,0)), " ")</f>
        <v>#REF!</v>
      </c>
      <c r="B77" s="306" t="s">
        <v>138</v>
      </c>
      <c r="C77" s="314" t="s">
        <v>1191</v>
      </c>
      <c r="D77" s="308">
        <f t="array" ref="D77">IF(H77=0,0,_xlfn.IFNA(INDEX(NewRecipeTable[ShortCode],MATCH(Middles!$C77&amp;"|"&amp;$B77,NewRecipeTable[Recipe Name]&amp;"|"&amp;NewRecipeTable[Item No.],0)),))</f>
        <v>0</v>
      </c>
      <c r="E77" s="1035" t="str">
        <f t="array" ref="E77">_xlfn.IFNA(INDEX(NewRecipeTable[Active By-Product],MATCH(Middles!$C77&amp;"|"&amp;$B77,NewRecipeTable[Recipe Name]&amp;"|"&amp;NewRecipeTable[Item No.],0)),)</f>
        <v>G1221</v>
      </c>
      <c r="F77" s="309">
        <f>SUMIF(Middles!$B$94:$B$105,E77,Middles!$G$94:$G$105)</f>
        <v>0</v>
      </c>
      <c r="G77" s="310">
        <f t="shared" ref="G77" si="43">+J77+L77+N77+P77+R77+T77+V77+X77+Z77+AB77+AD77+AF77+AH77+AJ77</f>
        <v>0</v>
      </c>
      <c r="H77" s="302">
        <f>+K77+M77+O77+Q77+S77+U77+W77+Y77+AA77+AC77+AE77+AG77+AI77+AK77</f>
        <v>0</v>
      </c>
      <c r="I77" s="983">
        <f>IFERROR(H77/$H$123,)</f>
        <v>0</v>
      </c>
      <c r="J77" s="311"/>
      <c r="K77" s="312"/>
      <c r="L77" s="313"/>
      <c r="M77" s="312"/>
      <c r="N77" s="313"/>
      <c r="O77" s="312"/>
      <c r="P77" s="311"/>
      <c r="Q77" s="312"/>
      <c r="R77" s="313"/>
      <c r="S77" s="312"/>
      <c r="T77" s="311"/>
      <c r="U77" s="312"/>
      <c r="V77" s="313"/>
      <c r="W77" s="312"/>
      <c r="X77" s="311"/>
      <c r="Y77" s="312"/>
      <c r="Z77" s="313"/>
      <c r="AA77" s="312"/>
      <c r="AB77" s="311"/>
      <c r="AC77" s="312"/>
      <c r="AD77" s="313"/>
      <c r="AE77" s="312"/>
      <c r="AF77" s="311"/>
      <c r="AG77" s="312"/>
      <c r="AH77" s="313"/>
      <c r="AI77" s="312"/>
      <c r="AJ77" s="311"/>
      <c r="AK77" s="312"/>
    </row>
    <row r="78" spans="1:37" ht="12.75" customHeight="1" x14ac:dyDescent="0.25">
      <c r="A78" s="269" t="e">
        <f>_xlfn.IFNA( INDEX(#REF!,MATCH(Middles!E78,#REF!,0)), " ")</f>
        <v>#REF!</v>
      </c>
      <c r="B78" s="306" t="s">
        <v>138</v>
      </c>
      <c r="C78" s="314" t="s">
        <v>288</v>
      </c>
      <c r="D78" s="308">
        <f t="array" ref="D78">IF(H78=0,0,_xlfn.IFNA(INDEX(NewRecipeTable[ShortCode],MATCH(Middles!$C78&amp;"|"&amp;$B78,NewRecipeTable[Recipe Name]&amp;"|"&amp;NewRecipeTable[Item No.],0)),))</f>
        <v>0</v>
      </c>
      <c r="E78" s="1035" t="str">
        <f t="array" ref="E78">_xlfn.IFNA(INDEX(NewRecipeTable[Active By-Product],MATCH(Middles!$C78&amp;"|"&amp;$B78,NewRecipeTable[Recipe Name]&amp;"|"&amp;NewRecipeTable[Item No.],0)),)</f>
        <v>G1222</v>
      </c>
      <c r="F78" s="309">
        <f>SUMIF(Middles!$B$94:$B$105,E78,Middles!$G$94:$G$105)</f>
        <v>131</v>
      </c>
      <c r="G78" s="310">
        <f t="shared" ref="G78:G79" si="44">+J78+L78+N78+P78+R78+T78+V78+X78+Z78+AB78+AD78+AF78+AH78+AJ78</f>
        <v>0</v>
      </c>
      <c r="H78" s="302">
        <f>+K78+M78+O78+Q78+S78+U78+W78+Y78+AA78+AC78+AE78+AG78+AI78+AK78</f>
        <v>0</v>
      </c>
      <c r="I78" s="983">
        <f>IFERROR(H78/$H$123,)</f>
        <v>0</v>
      </c>
      <c r="J78" s="311"/>
      <c r="K78" s="312"/>
      <c r="L78" s="313"/>
      <c r="M78" s="312"/>
      <c r="N78" s="313"/>
      <c r="O78" s="312"/>
      <c r="P78" s="311"/>
      <c r="Q78" s="312"/>
      <c r="R78" s="313"/>
      <c r="S78" s="312"/>
      <c r="T78" s="311"/>
      <c r="U78" s="312"/>
      <c r="V78" s="313"/>
      <c r="W78" s="312"/>
      <c r="X78" s="311"/>
      <c r="Y78" s="312"/>
      <c r="Z78" s="313"/>
      <c r="AA78" s="312"/>
      <c r="AB78" s="311"/>
      <c r="AC78" s="312"/>
      <c r="AD78" s="313"/>
      <c r="AE78" s="312"/>
      <c r="AF78" s="311"/>
      <c r="AG78" s="312"/>
      <c r="AH78" s="313"/>
      <c r="AI78" s="312"/>
      <c r="AJ78" s="311"/>
      <c r="AK78" s="312"/>
    </row>
    <row r="79" spans="1:37" ht="12.75" customHeight="1" thickBot="1" x14ac:dyDescent="0.3">
      <c r="A79" s="269" t="e">
        <f>_xlfn.IFNA( INDEX(#REF!,MATCH(Middles!E79,#REF!,0)), " ")</f>
        <v>#REF!</v>
      </c>
      <c r="B79" s="331" t="s">
        <v>138</v>
      </c>
      <c r="C79" s="340" t="s">
        <v>1359</v>
      </c>
      <c r="D79" s="308">
        <f t="array" ref="D79">IF(H79=0,0,_xlfn.IFNA(INDEX(NewRecipeTable[ShortCode],MATCH(Middles!$C79&amp;"|"&amp;$B79,NewRecipeTable[Recipe Name]&amp;"|"&amp;NewRecipeTable[Item No.],0)),))</f>
        <v>0</v>
      </c>
      <c r="E79" s="1035" t="str">
        <f t="array" ref="E79">_xlfn.IFNA(INDEX(NewRecipeTable[Active By-Product],MATCH(Middles!$C79&amp;"|"&amp;$B79,NewRecipeTable[Recipe Name]&amp;"|"&amp;NewRecipeTable[Item No.],0)),)</f>
        <v>G1224</v>
      </c>
      <c r="F79" s="341">
        <f>SUMIF(Middles!$B$94:$B$105,E79,Middles!$G$94:$G$105)</f>
        <v>25</v>
      </c>
      <c r="G79" s="342">
        <f t="shared" si="44"/>
        <v>0</v>
      </c>
      <c r="H79" s="342">
        <f t="shared" ref="H79" si="45">+K79+M79+O79+Q79+S79+U79+W79+Y79+AA79+AC79+AE79+AG79+AI79+AK79</f>
        <v>0</v>
      </c>
      <c r="I79" s="988">
        <f>IFERROR(H79/$H$123,)</f>
        <v>0</v>
      </c>
      <c r="J79" s="323"/>
      <c r="K79" s="324"/>
      <c r="L79" s="325"/>
      <c r="M79" s="324"/>
      <c r="N79" s="325"/>
      <c r="O79" s="324"/>
      <c r="P79" s="323"/>
      <c r="Q79" s="324"/>
      <c r="R79" s="325"/>
      <c r="S79" s="324"/>
      <c r="T79" s="323"/>
      <c r="U79" s="324"/>
      <c r="V79" s="325"/>
      <c r="W79" s="324"/>
      <c r="X79" s="323"/>
      <c r="Y79" s="324"/>
      <c r="Z79" s="325"/>
      <c r="AA79" s="324"/>
      <c r="AB79" s="323"/>
      <c r="AC79" s="324"/>
      <c r="AD79" s="325"/>
      <c r="AE79" s="324"/>
      <c r="AF79" s="323"/>
      <c r="AG79" s="324"/>
      <c r="AH79" s="325"/>
      <c r="AI79" s="324"/>
      <c r="AJ79" s="323"/>
      <c r="AK79" s="324"/>
    </row>
    <row r="80" spans="1:37" ht="12.75" customHeight="1" x14ac:dyDescent="0.25">
      <c r="A80" s="269" t="e">
        <f>_xlfn.IFNA( INDEX(#REF!,MATCH(Middles!E80,#REF!,0)), " ")</f>
        <v>#REF!</v>
      </c>
      <c r="B80" s="291" t="s">
        <v>1329</v>
      </c>
      <c r="C80" s="291" t="s">
        <v>1330</v>
      </c>
      <c r="D80" s="292"/>
      <c r="E80" s="387"/>
      <c r="F80" s="294"/>
      <c r="G80" s="295">
        <f>J80+L80+N80+P80+R80+T80+V80+X80+Z80+AB80+AD80+AF80+AH80+AJ80+J81+L81+N81+P81+R81+T81+V81+X81+Z81+AB81+AD81+AF81+AH81+AJ81</f>
        <v>0</v>
      </c>
      <c r="H80" s="295">
        <f>K80+K81+M80+M81+O80+O81+Q80+Q81+S80+S81+U80+U81+W80+W81+Y80+Y81+AA80+AA81+AC80+AC81+AE80+AE81+AG80+AG81+AI80+AI81+AK80+AK81</f>
        <v>0</v>
      </c>
      <c r="I80" s="982">
        <f t="shared" ref="I80" si="46">IFERROR(H80/$H$123,)</f>
        <v>0</v>
      </c>
      <c r="J80" s="296">
        <f>[4]Middles!C51</f>
        <v>0</v>
      </c>
      <c r="K80" s="297">
        <f>[4]Middles!D51</f>
        <v>0</v>
      </c>
      <c r="L80" s="296"/>
      <c r="M80" s="297"/>
      <c r="N80" s="296"/>
      <c r="O80" s="297"/>
      <c r="P80" s="298"/>
      <c r="Q80" s="297"/>
      <c r="R80" s="296"/>
      <c r="S80" s="297"/>
      <c r="T80" s="298"/>
      <c r="U80" s="297"/>
      <c r="V80" s="296"/>
      <c r="W80" s="297"/>
      <c r="X80" s="298"/>
      <c r="Y80" s="297"/>
      <c r="Z80" s="296"/>
      <c r="AA80" s="297"/>
      <c r="AB80" s="298"/>
      <c r="AC80" s="297"/>
      <c r="AD80" s="296"/>
      <c r="AE80" s="297"/>
      <c r="AF80" s="298"/>
      <c r="AG80" s="297"/>
      <c r="AH80" s="296"/>
      <c r="AI80" s="297"/>
      <c r="AJ80" s="298"/>
      <c r="AK80" s="297"/>
    </row>
    <row r="81" spans="1:37" ht="12.75" customHeight="1" x14ac:dyDescent="0.25">
      <c r="A81" s="269" t="e">
        <f>_xlfn.IFNA( INDEX(#REF!,MATCH(Middles!E81,#REF!,0)), " ")</f>
        <v>#REF!</v>
      </c>
      <c r="B81" s="299"/>
      <c r="C81" s="306"/>
      <c r="D81" s="337"/>
      <c r="E81" s="1036"/>
      <c r="F81" s="338"/>
      <c r="G81" s="339"/>
      <c r="H81" s="339"/>
      <c r="I81" s="983"/>
      <c r="J81" s="303"/>
      <c r="K81" s="304"/>
      <c r="L81" s="303"/>
      <c r="M81" s="304"/>
      <c r="N81" s="303"/>
      <c r="O81" s="304"/>
      <c r="P81" s="305"/>
      <c r="Q81" s="304"/>
      <c r="R81" s="303"/>
      <c r="S81" s="304"/>
      <c r="T81" s="305"/>
      <c r="U81" s="304"/>
      <c r="V81" s="303"/>
      <c r="W81" s="304"/>
      <c r="X81" s="305"/>
      <c r="Y81" s="304"/>
      <c r="Z81" s="303"/>
      <c r="AA81" s="304"/>
      <c r="AB81" s="305"/>
      <c r="AC81" s="304"/>
      <c r="AD81" s="303"/>
      <c r="AE81" s="304"/>
      <c r="AF81" s="305"/>
      <c r="AG81" s="304"/>
      <c r="AH81" s="303"/>
      <c r="AI81" s="304"/>
      <c r="AJ81" s="305"/>
      <c r="AK81" s="304"/>
    </row>
    <row r="82" spans="1:37" ht="12.75" customHeight="1" x14ac:dyDescent="0.25">
      <c r="A82" s="269" t="e">
        <f>_xlfn.IFNA( INDEX(#REF!,MATCH(Middles!E82,#REF!,0)), " ")</f>
        <v>#REF!</v>
      </c>
      <c r="B82" s="306" t="s">
        <v>138</v>
      </c>
      <c r="C82" s="314" t="s">
        <v>1328</v>
      </c>
      <c r="D82" s="308">
        <f t="array" ref="D82">IF(H82=0,0,_xlfn.IFNA(INDEX(NewRecipeTable[ShortCode],MATCH(Middles!$C82&amp;"|"&amp;$B82,NewRecipeTable[Recipe Name]&amp;"|"&amp;NewRecipeTable[Item No.],0)),))</f>
        <v>0</v>
      </c>
      <c r="E82" s="1035">
        <f t="array" ref="E82">_xlfn.IFNA(INDEX(NewRecipeTable[Active By-Product],MATCH(Middles!$C82&amp;"|"&amp;$B82,NewRecipeTable[Recipe Name]&amp;"|"&amp;NewRecipeTable[Item No.],0)),)</f>
        <v>0</v>
      </c>
      <c r="F82" s="309">
        <f>SUMIF(Middles!$B$94:$B$105,E82,Middles!$G$94:$G$105)</f>
        <v>0</v>
      </c>
      <c r="G82" s="310">
        <f t="shared" ref="G82:G84" si="47">+J82+L82+N82+P82+R82+T82+V82+X82+Z82+AB82+AD82+AF82+AH82+AJ82</f>
        <v>0</v>
      </c>
      <c r="H82" s="302">
        <f t="shared" ref="H82:H87" si="48">+K82+M82+O82+Q82+S82+U82+W82+Y82+AA82+AC82+AE82+AG82+AI82+AK82</f>
        <v>0</v>
      </c>
      <c r="I82" s="983">
        <f t="shared" ref="I82:I88" si="49">IFERROR(H82/$H$123,)</f>
        <v>0</v>
      </c>
      <c r="J82" s="311"/>
      <c r="K82" s="312"/>
      <c r="L82" s="313"/>
      <c r="M82" s="312"/>
      <c r="N82" s="313"/>
      <c r="O82" s="312"/>
      <c r="P82" s="311"/>
      <c r="Q82" s="312"/>
      <c r="R82" s="313"/>
      <c r="S82" s="312"/>
      <c r="T82" s="311"/>
      <c r="U82" s="312"/>
      <c r="V82" s="313"/>
      <c r="W82" s="312"/>
      <c r="X82" s="311"/>
      <c r="Y82" s="312"/>
      <c r="Z82" s="313"/>
      <c r="AA82" s="312"/>
      <c r="AB82" s="311"/>
      <c r="AC82" s="312"/>
      <c r="AD82" s="313"/>
      <c r="AE82" s="312"/>
      <c r="AF82" s="311"/>
      <c r="AG82" s="312"/>
      <c r="AH82" s="313"/>
      <c r="AI82" s="312"/>
      <c r="AJ82" s="311"/>
      <c r="AK82" s="312"/>
    </row>
    <row r="83" spans="1:37" ht="12.75" customHeight="1" x14ac:dyDescent="0.25">
      <c r="A83" s="269" t="e">
        <f>_xlfn.IFNA( INDEX(#REF!,MATCH(Middles!E83,#REF!,0)), " ")</f>
        <v>#REF!</v>
      </c>
      <c r="B83" s="306" t="s">
        <v>138</v>
      </c>
      <c r="C83" s="314" t="s">
        <v>1332</v>
      </c>
      <c r="D83" s="308">
        <f t="array" ref="D83">IF(H83=0,0,_xlfn.IFNA(INDEX(NewRecipeTable[ShortCode],MATCH(Middles!$C83&amp;"|"&amp;$B83,NewRecipeTable[Recipe Name]&amp;"|"&amp;NewRecipeTable[Item No.],0)),))</f>
        <v>0</v>
      </c>
      <c r="E83" s="1035">
        <f t="array" ref="E83">_xlfn.IFNA(INDEX(NewRecipeTable[Active By-Product],MATCH(Middles!$C83&amp;"|"&amp;$B83,NewRecipeTable[Recipe Name]&amp;"|"&amp;NewRecipeTable[Item No.],0)),)</f>
        <v>0</v>
      </c>
      <c r="F83" s="309">
        <f>SUMIF(Middles!$B$94:$B$105,E83,Middles!$G$94:$G$105)</f>
        <v>0</v>
      </c>
      <c r="G83" s="310">
        <f t="shared" si="47"/>
        <v>0</v>
      </c>
      <c r="H83" s="302">
        <f t="shared" si="48"/>
        <v>0</v>
      </c>
      <c r="I83" s="983">
        <f t="shared" si="49"/>
        <v>0</v>
      </c>
      <c r="J83" s="311"/>
      <c r="K83" s="312"/>
      <c r="L83" s="313"/>
      <c r="M83" s="312"/>
      <c r="N83" s="313"/>
      <c r="O83" s="312"/>
      <c r="P83" s="311"/>
      <c r="Q83" s="312"/>
      <c r="R83" s="313"/>
      <c r="S83" s="312"/>
      <c r="T83" s="311"/>
      <c r="U83" s="312"/>
      <c r="V83" s="313"/>
      <c r="W83" s="312"/>
      <c r="X83" s="311"/>
      <c r="Y83" s="312"/>
      <c r="Z83" s="313"/>
      <c r="AA83" s="312"/>
      <c r="AB83" s="311"/>
      <c r="AC83" s="312"/>
      <c r="AD83" s="313"/>
      <c r="AE83" s="312"/>
      <c r="AF83" s="311"/>
      <c r="AG83" s="312"/>
      <c r="AH83" s="313"/>
      <c r="AI83" s="312"/>
      <c r="AJ83" s="311"/>
      <c r="AK83" s="312"/>
    </row>
    <row r="84" spans="1:37" ht="12.75" customHeight="1" x14ac:dyDescent="0.25">
      <c r="A84" s="269" t="e">
        <f>_xlfn.IFNA( INDEX(#REF!,MATCH(Middles!E84,#REF!,0)), " ")</f>
        <v>#REF!</v>
      </c>
      <c r="B84" s="306" t="s">
        <v>138</v>
      </c>
      <c r="C84" s="314" t="s">
        <v>1334</v>
      </c>
      <c r="D84" s="308">
        <f t="array" ref="D84">IF(H84=0,0,_xlfn.IFNA(INDEX(NewRecipeTable[ShortCode],MATCH(Middles!$C84&amp;"|"&amp;$B84,NewRecipeTable[Recipe Name]&amp;"|"&amp;NewRecipeTable[Item No.],0)),))</f>
        <v>0</v>
      </c>
      <c r="E84" s="1035">
        <f t="array" ref="E84">_xlfn.IFNA(INDEX(NewRecipeTable[Active By-Product],MATCH(Middles!$C84&amp;"|"&amp;$B84,NewRecipeTable[Recipe Name]&amp;"|"&amp;NewRecipeTable[Item No.],0)),)</f>
        <v>0</v>
      </c>
      <c r="F84" s="309">
        <f>SUMIF(Middles!$B$94:$B$105,E84,Middles!$G$94:$G$105)</f>
        <v>0</v>
      </c>
      <c r="G84" s="310">
        <f t="shared" si="47"/>
        <v>0</v>
      </c>
      <c r="H84" s="302">
        <f t="shared" si="48"/>
        <v>0</v>
      </c>
      <c r="I84" s="983">
        <f t="shared" si="49"/>
        <v>0</v>
      </c>
      <c r="J84" s="311"/>
      <c r="K84" s="312"/>
      <c r="L84" s="313"/>
      <c r="M84" s="312"/>
      <c r="N84" s="313"/>
      <c r="O84" s="312"/>
      <c r="P84" s="311"/>
      <c r="Q84" s="312"/>
      <c r="R84" s="313"/>
      <c r="S84" s="312"/>
      <c r="T84" s="311"/>
      <c r="U84" s="312"/>
      <c r="V84" s="313"/>
      <c r="W84" s="312"/>
      <c r="X84" s="311"/>
      <c r="Y84" s="312"/>
      <c r="Z84" s="313"/>
      <c r="AA84" s="312"/>
      <c r="AB84" s="311"/>
      <c r="AC84" s="312"/>
      <c r="AD84" s="313"/>
      <c r="AE84" s="312"/>
      <c r="AF84" s="311"/>
      <c r="AG84" s="312"/>
      <c r="AH84" s="313"/>
      <c r="AI84" s="312"/>
      <c r="AJ84" s="311"/>
      <c r="AK84" s="312"/>
    </row>
    <row r="85" spans="1:37" ht="12.75" customHeight="1" x14ac:dyDescent="0.25">
      <c r="A85" s="269" t="e">
        <f>_xlfn.IFNA( INDEX(#REF!,MATCH(Middles!E85,#REF!,0)), " ")</f>
        <v>#REF!</v>
      </c>
      <c r="B85" s="306" t="s">
        <v>138</v>
      </c>
      <c r="C85" s="314" t="s">
        <v>1336</v>
      </c>
      <c r="D85" s="308">
        <f t="array" ref="D85">IF(H85=0,0,_xlfn.IFNA(INDEX(NewRecipeTable[ShortCode],MATCH(Middles!$C85&amp;"|"&amp;$B85,NewRecipeTable[Recipe Name]&amp;"|"&amp;NewRecipeTable[Item No.],0)),))</f>
        <v>0</v>
      </c>
      <c r="E85" s="1035">
        <f t="array" ref="E85">_xlfn.IFNA(INDEX(NewRecipeTable[Active By-Product],MATCH(Middles!$C85&amp;"|"&amp;$B85,NewRecipeTable[Recipe Name]&amp;"|"&amp;NewRecipeTable[Item No.],0)),)</f>
        <v>0</v>
      </c>
      <c r="F85" s="309">
        <f>SUMIF(Middles!$B$94:$B$105,E85,Middles!$G$94:$G$105)</f>
        <v>0</v>
      </c>
      <c r="G85" s="310">
        <f t="shared" ref="G85:G88" si="50">+J85+L85+N85+P85+R85+T85+V85+X85+Z85+AB85+AD85+AF85+AH85+AJ85</f>
        <v>0</v>
      </c>
      <c r="H85" s="302">
        <f t="shared" si="48"/>
        <v>0</v>
      </c>
      <c r="I85" s="983">
        <f t="shared" si="49"/>
        <v>0</v>
      </c>
      <c r="J85" s="311"/>
      <c r="K85" s="312"/>
      <c r="L85" s="313"/>
      <c r="M85" s="312"/>
      <c r="N85" s="313"/>
      <c r="O85" s="312"/>
      <c r="P85" s="311"/>
      <c r="Q85" s="312"/>
      <c r="R85" s="313"/>
      <c r="S85" s="312"/>
      <c r="T85" s="311"/>
      <c r="U85" s="312"/>
      <c r="V85" s="313"/>
      <c r="W85" s="312"/>
      <c r="X85" s="311"/>
      <c r="Y85" s="312"/>
      <c r="Z85" s="313"/>
      <c r="AA85" s="312"/>
      <c r="AB85" s="311"/>
      <c r="AC85" s="312"/>
      <c r="AD85" s="313"/>
      <c r="AE85" s="312"/>
      <c r="AF85" s="311"/>
      <c r="AG85" s="312"/>
      <c r="AH85" s="313"/>
      <c r="AI85" s="312"/>
      <c r="AJ85" s="311"/>
      <c r="AK85" s="312"/>
    </row>
    <row r="86" spans="1:37" ht="12.75" customHeight="1" x14ac:dyDescent="0.25">
      <c r="A86" s="269" t="e">
        <f>_xlfn.IFNA( INDEX(#REF!,MATCH(Middles!E86,#REF!,0)), " ")</f>
        <v>#REF!</v>
      </c>
      <c r="B86" s="306" t="s">
        <v>138</v>
      </c>
      <c r="C86" s="314" t="s">
        <v>1338</v>
      </c>
      <c r="D86" s="308">
        <f t="array" ref="D86">IF(H86=0,0,_xlfn.IFNA(INDEX(NewRecipeTable[ShortCode],MATCH(Middles!$C86&amp;"|"&amp;$B86,NewRecipeTable[Recipe Name]&amp;"|"&amp;NewRecipeTable[Item No.],0)),))</f>
        <v>0</v>
      </c>
      <c r="E86" s="1035">
        <f t="array" ref="E86">_xlfn.IFNA(INDEX(NewRecipeTable[Active By-Product],MATCH(Middles!$C86&amp;"|"&amp;$B86,NewRecipeTable[Recipe Name]&amp;"|"&amp;NewRecipeTable[Item No.],0)),)</f>
        <v>0</v>
      </c>
      <c r="F86" s="309">
        <f>SUMIF(Middles!$B$94:$B$105,E86,Middles!$G$94:$G$105)</f>
        <v>0</v>
      </c>
      <c r="G86" s="310">
        <f t="shared" si="50"/>
        <v>0</v>
      </c>
      <c r="H86" s="302">
        <f t="shared" si="48"/>
        <v>0</v>
      </c>
      <c r="I86" s="983">
        <f t="shared" si="49"/>
        <v>0</v>
      </c>
      <c r="J86" s="311"/>
      <c r="K86" s="312"/>
      <c r="L86" s="313"/>
      <c r="M86" s="312"/>
      <c r="N86" s="313"/>
      <c r="O86" s="312"/>
      <c r="P86" s="311"/>
      <c r="Q86" s="312"/>
      <c r="R86" s="313"/>
      <c r="S86" s="312"/>
      <c r="T86" s="311"/>
      <c r="U86" s="312"/>
      <c r="V86" s="313"/>
      <c r="W86" s="312"/>
      <c r="X86" s="311"/>
      <c r="Y86" s="312"/>
      <c r="Z86" s="313"/>
      <c r="AA86" s="312"/>
      <c r="AB86" s="311"/>
      <c r="AC86" s="312"/>
      <c r="AD86" s="313"/>
      <c r="AE86" s="312"/>
      <c r="AF86" s="311"/>
      <c r="AG86" s="312"/>
      <c r="AH86" s="313"/>
      <c r="AI86" s="312"/>
      <c r="AJ86" s="311"/>
      <c r="AK86" s="312"/>
    </row>
    <row r="87" spans="1:37" ht="12.75" customHeight="1" x14ac:dyDescent="0.25">
      <c r="A87" s="269" t="e">
        <f>_xlfn.IFNA( INDEX(#REF!,MATCH(Middles!E87,#REF!,0)), " ")</f>
        <v>#REF!</v>
      </c>
      <c r="B87" s="306" t="s">
        <v>138</v>
      </c>
      <c r="C87" s="314" t="s">
        <v>1354</v>
      </c>
      <c r="D87" s="308">
        <f t="array" ref="D87">IF(H87=0,0,_xlfn.IFNA(INDEX(NewRecipeTable[ShortCode],MATCH(Middles!$C87&amp;"|"&amp;$B87,NewRecipeTable[Recipe Name]&amp;"|"&amp;NewRecipeTable[Item No.],0)),))</f>
        <v>0</v>
      </c>
      <c r="E87" s="1035">
        <f t="array" ref="E87">_xlfn.IFNA(INDEX(NewRecipeTable[Active By-Product],MATCH(Middles!$C87&amp;"|"&amp;$B87,NewRecipeTable[Recipe Name]&amp;"|"&amp;NewRecipeTable[Item No.],0)),)</f>
        <v>0</v>
      </c>
      <c r="F87" s="309">
        <f>SUMIF(Middles!$B$94:$B$105,E87,Middles!$G$94:$G$105)</f>
        <v>0</v>
      </c>
      <c r="G87" s="310">
        <f t="shared" si="50"/>
        <v>0</v>
      </c>
      <c r="H87" s="302">
        <f t="shared" si="48"/>
        <v>0</v>
      </c>
      <c r="I87" s="983">
        <f t="shared" si="49"/>
        <v>0</v>
      </c>
      <c r="J87" s="311"/>
      <c r="K87" s="312"/>
      <c r="L87" s="313"/>
      <c r="M87" s="312"/>
      <c r="N87" s="313"/>
      <c r="O87" s="312"/>
      <c r="P87" s="311"/>
      <c r="Q87" s="312"/>
      <c r="R87" s="313"/>
      <c r="S87" s="312"/>
      <c r="T87" s="311"/>
      <c r="U87" s="312"/>
      <c r="V87" s="313"/>
      <c r="W87" s="312"/>
      <c r="X87" s="311"/>
      <c r="Y87" s="312"/>
      <c r="Z87" s="313"/>
      <c r="AA87" s="312"/>
      <c r="AB87" s="311"/>
      <c r="AC87" s="312"/>
      <c r="AD87" s="313"/>
      <c r="AE87" s="312"/>
      <c r="AF87" s="311"/>
      <c r="AG87" s="312"/>
      <c r="AH87" s="313"/>
      <c r="AI87" s="312"/>
      <c r="AJ87" s="311"/>
      <c r="AK87" s="312"/>
    </row>
    <row r="88" spans="1:37" ht="12.75" customHeight="1" thickBot="1" x14ac:dyDescent="0.3">
      <c r="A88" s="269" t="e">
        <f>_xlfn.IFNA( INDEX(#REF!,MATCH(Middles!E88,#REF!,0)), " ")</f>
        <v>#REF!</v>
      </c>
      <c r="B88" s="331" t="s">
        <v>138</v>
      </c>
      <c r="C88" s="340" t="s">
        <v>1378</v>
      </c>
      <c r="D88" s="308">
        <f t="array" ref="D88">IF(H88=0,0,_xlfn.IFNA(INDEX(NewRecipeTable[ShortCode],MATCH(Middles!$C88&amp;"|"&amp;$B88,NewRecipeTable[Recipe Name]&amp;"|"&amp;NewRecipeTable[Item No.],0)),))</f>
        <v>0</v>
      </c>
      <c r="E88" s="1035">
        <f t="array" ref="E88">_xlfn.IFNA(INDEX(NewRecipeTable[Active By-Product],MATCH(Middles!$C88&amp;"|"&amp;$B88,NewRecipeTable[Recipe Name]&amp;"|"&amp;NewRecipeTable[Item No.],0)),)</f>
        <v>0</v>
      </c>
      <c r="F88" s="341">
        <f>SUMIF(Middles!$B$94:$B$105,E88,Middles!$G$94:$G$105)</f>
        <v>0</v>
      </c>
      <c r="G88" s="342">
        <f t="shared" si="50"/>
        <v>0</v>
      </c>
      <c r="H88" s="342">
        <f t="shared" ref="H88" si="51">+K88+M88+O88+Q88+S88+U88+W88+Y88+AA88+AC88+AE88+AG88+AI88+AK88</f>
        <v>0</v>
      </c>
      <c r="I88" s="988">
        <f t="shared" si="49"/>
        <v>0</v>
      </c>
      <c r="J88" s="323"/>
      <c r="K88" s="324"/>
      <c r="L88" s="325"/>
      <c r="M88" s="324"/>
      <c r="N88" s="325"/>
      <c r="O88" s="324"/>
      <c r="P88" s="323"/>
      <c r="Q88" s="324"/>
      <c r="R88" s="325"/>
      <c r="S88" s="324"/>
      <c r="T88" s="323"/>
      <c r="U88" s="324"/>
      <c r="V88" s="325"/>
      <c r="W88" s="324"/>
      <c r="X88" s="323"/>
      <c r="Y88" s="324"/>
      <c r="Z88" s="325"/>
      <c r="AA88" s="324"/>
      <c r="AB88" s="323"/>
      <c r="AC88" s="324"/>
      <c r="AD88" s="325"/>
      <c r="AE88" s="324"/>
      <c r="AF88" s="323"/>
      <c r="AG88" s="324"/>
      <c r="AH88" s="325"/>
      <c r="AI88" s="324"/>
      <c r="AJ88" s="323"/>
      <c r="AK88" s="324"/>
    </row>
    <row r="89" spans="1:37" ht="14.25" customHeight="1" x14ac:dyDescent="0.25">
      <c r="B89" s="1288" t="s">
        <v>969</v>
      </c>
      <c r="C89" s="1289"/>
      <c r="D89" s="1289"/>
      <c r="E89" s="1290"/>
      <c r="F89" s="343"/>
      <c r="G89" s="344">
        <f>G13+G24+G38+G43+G48+G57+G63+G74</f>
        <v>1108</v>
      </c>
      <c r="H89" s="344">
        <f>H13+H24+H38+H43+H48+H57+H63+H74</f>
        <v>3153.3</v>
      </c>
      <c r="I89" s="345">
        <f>I13+I24+I38+I43+I48+I57+I63+I74</f>
        <v>0.29582062948543547</v>
      </c>
      <c r="J89" s="1268"/>
      <c r="K89" s="1269"/>
      <c r="L89" s="1269"/>
      <c r="M89" s="1269"/>
      <c r="N89" s="1269"/>
      <c r="O89" s="1269"/>
      <c r="P89" s="1269"/>
      <c r="Q89" s="1269"/>
      <c r="R89" s="1269"/>
      <c r="S89" s="1269"/>
      <c r="T89" s="1269"/>
      <c r="U89" s="1269"/>
      <c r="V89" s="1269"/>
      <c r="W89" s="1269"/>
      <c r="X89" s="1269"/>
      <c r="Y89" s="1269"/>
      <c r="Z89" s="1269"/>
      <c r="AA89" s="1269"/>
      <c r="AB89" s="1269"/>
      <c r="AC89" s="1269"/>
      <c r="AD89" s="1269"/>
      <c r="AE89" s="1269"/>
      <c r="AF89" s="1269"/>
      <c r="AG89" s="1269"/>
      <c r="AH89" s="1269"/>
      <c r="AI89" s="1269"/>
      <c r="AJ89" s="1269"/>
      <c r="AK89" s="1270"/>
    </row>
    <row r="90" spans="1:37" ht="14.25" customHeight="1" thickBot="1" x14ac:dyDescent="0.3">
      <c r="B90" s="1291" t="s">
        <v>970</v>
      </c>
      <c r="C90" s="1292"/>
      <c r="D90" s="1292"/>
      <c r="E90" s="1293"/>
      <c r="F90" s="346"/>
      <c r="G90" s="347">
        <f>SUM(,G15:G20,G26:G34,,G40:G42,G45:G47,G50:G56,G10:G12,G65:G70,G76:G79,G59:G62,G73,G82:G88,G23)</f>
        <v>889</v>
      </c>
      <c r="H90" s="347">
        <f>SUM(,H15:H20,H26:H34,,H40:H42,H45:H47,H50:H56,H10:H12,H65:H70,H76:H79,H59:H62,H73,H82:H88,H23)</f>
        <v>3044.7</v>
      </c>
      <c r="I90" s="348"/>
      <c r="J90" s="1271"/>
      <c r="K90" s="1272"/>
      <c r="L90" s="1272"/>
      <c r="M90" s="1272"/>
      <c r="N90" s="1272"/>
      <c r="O90" s="1272"/>
      <c r="P90" s="1272"/>
      <c r="Q90" s="1272"/>
      <c r="R90" s="1272"/>
      <c r="S90" s="1272"/>
      <c r="T90" s="1272"/>
      <c r="U90" s="1272"/>
      <c r="V90" s="1272"/>
      <c r="W90" s="1272"/>
      <c r="X90" s="1272"/>
      <c r="Y90" s="1272"/>
      <c r="Z90" s="1272"/>
      <c r="AA90" s="1272"/>
      <c r="AB90" s="1272"/>
      <c r="AC90" s="1272"/>
      <c r="AD90" s="1272"/>
      <c r="AE90" s="1272"/>
      <c r="AF90" s="1272"/>
      <c r="AG90" s="1272"/>
      <c r="AH90" s="1272"/>
      <c r="AI90" s="1272"/>
      <c r="AJ90" s="1272"/>
      <c r="AK90" s="1273"/>
    </row>
    <row r="91" spans="1:37" ht="14.25" customHeight="1" thickBot="1" x14ac:dyDescent="0.3">
      <c r="B91" s="1265" t="s">
        <v>971</v>
      </c>
      <c r="C91" s="1266"/>
      <c r="D91" s="1266"/>
      <c r="E91" s="1267"/>
      <c r="F91" s="349"/>
      <c r="G91" s="350">
        <f>G89-G90</f>
        <v>219</v>
      </c>
      <c r="H91" s="350">
        <f>H89-H90</f>
        <v>108.60000000000036</v>
      </c>
      <c r="I91" s="351"/>
      <c r="J91" s="1271"/>
      <c r="K91" s="1272"/>
      <c r="L91" s="1272"/>
      <c r="M91" s="1272"/>
      <c r="N91" s="1272"/>
      <c r="O91" s="1272"/>
      <c r="P91" s="1272"/>
      <c r="Q91" s="1272"/>
      <c r="R91" s="1272"/>
      <c r="S91" s="1272"/>
      <c r="T91" s="1272"/>
      <c r="U91" s="1272"/>
      <c r="V91" s="1272"/>
      <c r="W91" s="1272"/>
      <c r="X91" s="1272"/>
      <c r="Y91" s="1272"/>
      <c r="Z91" s="1272"/>
      <c r="AA91" s="1272"/>
      <c r="AB91" s="1272"/>
      <c r="AC91" s="1272"/>
      <c r="AD91" s="1272"/>
      <c r="AE91" s="1272"/>
      <c r="AF91" s="1272"/>
      <c r="AG91" s="1272"/>
      <c r="AH91" s="1272"/>
      <c r="AI91" s="1272"/>
      <c r="AJ91" s="1272"/>
      <c r="AK91" s="1273"/>
    </row>
    <row r="92" spans="1:37" ht="3.75" customHeight="1" thickBot="1" x14ac:dyDescent="0.3">
      <c r="B92" s="352"/>
      <c r="C92" s="353"/>
      <c r="D92" s="353"/>
      <c r="E92" s="353"/>
      <c r="F92" s="354"/>
      <c r="G92" s="355"/>
      <c r="H92" s="355"/>
      <c r="I92" s="356"/>
      <c r="J92" s="1271"/>
      <c r="K92" s="1272"/>
      <c r="L92" s="1272"/>
      <c r="M92" s="1272"/>
      <c r="N92" s="1272"/>
      <c r="O92" s="1272"/>
      <c r="P92" s="1272"/>
      <c r="Q92" s="1272"/>
      <c r="R92" s="1272"/>
      <c r="S92" s="1272"/>
      <c r="T92" s="1272"/>
      <c r="U92" s="1272"/>
      <c r="V92" s="1272"/>
      <c r="W92" s="1272"/>
      <c r="X92" s="1272"/>
      <c r="Y92" s="1272"/>
      <c r="Z92" s="1272"/>
      <c r="AA92" s="1272"/>
      <c r="AB92" s="1272"/>
      <c r="AC92" s="1272"/>
      <c r="AD92" s="1272"/>
      <c r="AE92" s="1272"/>
      <c r="AF92" s="1272"/>
      <c r="AG92" s="1272"/>
      <c r="AH92" s="1272"/>
      <c r="AI92" s="1272"/>
      <c r="AJ92" s="1272"/>
      <c r="AK92" s="1273"/>
    </row>
    <row r="93" spans="1:37" ht="16.5" customHeight="1" thickBot="1" x14ac:dyDescent="0.3">
      <c r="B93" s="1259" t="s">
        <v>204</v>
      </c>
      <c r="C93" s="1260"/>
      <c r="D93" s="1260"/>
      <c r="E93" s="1260"/>
      <c r="F93" s="1260"/>
      <c r="G93" s="1260"/>
      <c r="H93" s="1260"/>
      <c r="I93" s="1261"/>
      <c r="J93" s="357"/>
      <c r="K93" s="358"/>
      <c r="L93" s="359"/>
      <c r="M93" s="358"/>
      <c r="N93" s="359"/>
      <c r="O93" s="358"/>
      <c r="P93" s="357"/>
      <c r="Q93" s="358"/>
      <c r="R93" s="359"/>
      <c r="S93" s="358"/>
      <c r="T93" s="357"/>
      <c r="U93" s="358"/>
      <c r="V93" s="359"/>
      <c r="W93" s="358"/>
      <c r="X93" s="357"/>
      <c r="Y93" s="358"/>
      <c r="Z93" s="359"/>
      <c r="AA93" s="358"/>
      <c r="AB93" s="357"/>
      <c r="AC93" s="358"/>
      <c r="AD93" s="359"/>
      <c r="AE93" s="358"/>
      <c r="AF93" s="357"/>
      <c r="AG93" s="358"/>
      <c r="AH93" s="359"/>
      <c r="AI93" s="358"/>
      <c r="AJ93" s="357"/>
      <c r="AK93" s="358"/>
    </row>
    <row r="94" spans="1:37" ht="12.75" customHeight="1" x14ac:dyDescent="0.25">
      <c r="B94" s="360" t="s">
        <v>161</v>
      </c>
      <c r="C94" s="361" t="s">
        <v>205</v>
      </c>
      <c r="D94" s="336"/>
      <c r="E94" s="1037"/>
      <c r="F94" s="294"/>
      <c r="G94" s="362">
        <f>J94+L94+N94+P94+R94+T94+V94+X94+Z94+AB94+AD94+AF94+AH94+AJ94+J95+L95+N95+P95+R95+T95+V95+X95+Z95+AB95+AD95+AF95+AH95+AJ95</f>
        <v>0</v>
      </c>
      <c r="H94" s="362">
        <f>K94+K95+M94+M95+O94+O95+Q94+Q95+S94+S95+U94+U95+W94+W95+Y94+Y95+AA94+AA95+AC94+AC95+AE94+AE95+AG94+AG95+AI94+AI95+AK94+AK95</f>
        <v>0</v>
      </c>
      <c r="I94" s="992">
        <f>IFERROR(H94/$H$123,)</f>
        <v>0</v>
      </c>
      <c r="J94" s="317"/>
      <c r="K94" s="318"/>
      <c r="L94" s="319"/>
      <c r="M94" s="318"/>
      <c r="N94" s="319"/>
      <c r="O94" s="318"/>
      <c r="P94" s="317"/>
      <c r="Q94" s="318"/>
      <c r="R94" s="319"/>
      <c r="S94" s="318"/>
      <c r="T94" s="317"/>
      <c r="U94" s="318"/>
      <c r="V94" s="319"/>
      <c r="W94" s="318"/>
      <c r="X94" s="317"/>
      <c r="Y94" s="318"/>
      <c r="Z94" s="317"/>
      <c r="AA94" s="318"/>
      <c r="AB94" s="317"/>
      <c r="AC94" s="318"/>
      <c r="AD94" s="317"/>
      <c r="AE94" s="318"/>
      <c r="AF94" s="317"/>
      <c r="AG94" s="318"/>
      <c r="AH94" s="317"/>
      <c r="AI94" s="318"/>
      <c r="AJ94" s="317"/>
      <c r="AK94" s="318"/>
    </row>
    <row r="95" spans="1:37" ht="12.75" customHeight="1" thickBot="1" x14ac:dyDescent="0.3">
      <c r="B95" s="363"/>
      <c r="C95" s="364"/>
      <c r="D95" s="365"/>
      <c r="E95" s="397"/>
      <c r="F95" s="367"/>
      <c r="G95" s="961"/>
      <c r="H95" s="961"/>
      <c r="I95" s="993"/>
      <c r="J95" s="370"/>
      <c r="K95" s="371"/>
      <c r="L95" s="372"/>
      <c r="M95" s="371"/>
      <c r="N95" s="372"/>
      <c r="O95" s="371"/>
      <c r="P95" s="370"/>
      <c r="Q95" s="371"/>
      <c r="R95" s="372"/>
      <c r="S95" s="371"/>
      <c r="T95" s="370"/>
      <c r="U95" s="371"/>
      <c r="V95" s="372"/>
      <c r="W95" s="371"/>
      <c r="X95" s="370"/>
      <c r="Y95" s="371"/>
      <c r="Z95" s="370"/>
      <c r="AA95" s="371"/>
      <c r="AB95" s="370"/>
      <c r="AC95" s="371"/>
      <c r="AD95" s="370"/>
      <c r="AE95" s="371"/>
      <c r="AF95" s="370"/>
      <c r="AG95" s="371"/>
      <c r="AH95" s="370"/>
      <c r="AI95" s="371"/>
      <c r="AJ95" s="370"/>
      <c r="AK95" s="371"/>
    </row>
    <row r="96" spans="1:37" ht="12.75" customHeight="1" x14ac:dyDescent="0.25">
      <c r="B96" s="360" t="s">
        <v>149</v>
      </c>
      <c r="C96" s="361" t="s">
        <v>206</v>
      </c>
      <c r="D96" s="336"/>
      <c r="E96" s="1037"/>
      <c r="F96" s="294"/>
      <c r="G96" s="362">
        <f>J96+L96+N96+P96+R96+T96+V96+X96+Z96+AB96+AD96+AF96+AH96+AJ96+J97+L97+N97+P97+R97+T97+V97+X97+Z97+AB97+AD97+AF97+AH97+AJ97</f>
        <v>0</v>
      </c>
      <c r="H96" s="362">
        <f>K96+K97+M96+M97+O96+O97+Q96+Q97+S96+S97+U96+U97+W96+W97+Y96+Y97+AA96+AA97+AC96+AC97+AE96+AE97+AG96+AG97+AI96+AI97+AK96+AK97</f>
        <v>0</v>
      </c>
      <c r="I96" s="992">
        <f>IFERROR(H96/$H$123,)</f>
        <v>0</v>
      </c>
      <c r="J96" s="317">
        <f>[4]Middles!C59</f>
        <v>0</v>
      </c>
      <c r="K96" s="318">
        <f>[4]Middles!D59</f>
        <v>0</v>
      </c>
      <c r="L96" s="319"/>
      <c r="M96" s="318"/>
      <c r="N96" s="319"/>
      <c r="O96" s="318"/>
      <c r="P96" s="317"/>
      <c r="Q96" s="318"/>
      <c r="R96" s="319"/>
      <c r="S96" s="318"/>
      <c r="T96" s="317"/>
      <c r="U96" s="318"/>
      <c r="V96" s="319"/>
      <c r="W96" s="318"/>
      <c r="X96" s="317"/>
      <c r="Y96" s="318"/>
      <c r="Z96" s="317"/>
      <c r="AA96" s="318"/>
      <c r="AB96" s="317"/>
      <c r="AC96" s="318"/>
      <c r="AD96" s="317"/>
      <c r="AE96" s="318"/>
      <c r="AF96" s="317"/>
      <c r="AG96" s="318"/>
      <c r="AH96" s="317"/>
      <c r="AI96" s="318"/>
      <c r="AJ96" s="317"/>
      <c r="AK96" s="318"/>
    </row>
    <row r="97" spans="2:37" ht="12.75" customHeight="1" thickBot="1" x14ac:dyDescent="0.3">
      <c r="B97" s="363"/>
      <c r="C97" s="369"/>
      <c r="D97" s="366"/>
      <c r="E97" s="397"/>
      <c r="F97" s="367"/>
      <c r="G97" s="961"/>
      <c r="H97" s="961"/>
      <c r="I97" s="993"/>
      <c r="J97" s="370"/>
      <c r="K97" s="371"/>
      <c r="L97" s="372"/>
      <c r="M97" s="371"/>
      <c r="N97" s="372"/>
      <c r="O97" s="371"/>
      <c r="P97" s="370"/>
      <c r="Q97" s="371"/>
      <c r="R97" s="372"/>
      <c r="S97" s="371"/>
      <c r="T97" s="370"/>
      <c r="U97" s="371"/>
      <c r="V97" s="372"/>
      <c r="W97" s="371"/>
      <c r="X97" s="370"/>
      <c r="Y97" s="371"/>
      <c r="Z97" s="370"/>
      <c r="AA97" s="371"/>
      <c r="AB97" s="370"/>
      <c r="AC97" s="371"/>
      <c r="AD97" s="370"/>
      <c r="AE97" s="371"/>
      <c r="AF97" s="370"/>
      <c r="AG97" s="371"/>
      <c r="AH97" s="370"/>
      <c r="AI97" s="371"/>
      <c r="AJ97" s="370"/>
      <c r="AK97" s="371"/>
    </row>
    <row r="98" spans="2:37" ht="12.75" customHeight="1" x14ac:dyDescent="0.25">
      <c r="B98" s="360" t="s">
        <v>147</v>
      </c>
      <c r="C98" s="373" t="s">
        <v>207</v>
      </c>
      <c r="D98" s="374"/>
      <c r="E98" s="376"/>
      <c r="F98" s="375"/>
      <c r="G98" s="362">
        <f>J98+L98+N98+P98+R98+T98+V98+X98+Z98+AB98+AD98+AF98+AH98+AJ98+J99+L99+N99+P99+R99+T99+V99+X99+Z99+AB99+AD99+AF99+AH99+AJ99</f>
        <v>131</v>
      </c>
      <c r="H98" s="362">
        <f>K98+K99+M98+M99+O98+O99+Q98+Q99+S98+S99+U98+U99+W98+W99+Y98+Y99+AA98+AA99+AC98+AC99+AE98+AE99+AG98+AG99+AI98+AI99+AK98+AK99</f>
        <v>389.2</v>
      </c>
      <c r="I98" s="992">
        <f>IFERROR(H98/$H$123,)</f>
        <v>3.6512031521178288E-2</v>
      </c>
      <c r="J98" s="317">
        <f>[4]Middles!C61</f>
        <v>131</v>
      </c>
      <c r="K98" s="318">
        <f>[4]Middles!D61</f>
        <v>389.2</v>
      </c>
      <c r="L98" s="319"/>
      <c r="M98" s="318"/>
      <c r="N98" s="319"/>
      <c r="O98" s="318"/>
      <c r="P98" s="317"/>
      <c r="Q98" s="318"/>
      <c r="R98" s="319"/>
      <c r="S98" s="318"/>
      <c r="T98" s="317"/>
      <c r="U98" s="318"/>
      <c r="V98" s="319"/>
      <c r="W98" s="318"/>
      <c r="X98" s="317"/>
      <c r="Y98" s="318"/>
      <c r="Z98" s="317"/>
      <c r="AA98" s="318"/>
      <c r="AB98" s="317"/>
      <c r="AC98" s="318"/>
      <c r="AD98" s="317"/>
      <c r="AE98" s="318"/>
      <c r="AF98" s="317"/>
      <c r="AG98" s="318"/>
      <c r="AH98" s="317"/>
      <c r="AI98" s="318"/>
      <c r="AJ98" s="317"/>
      <c r="AK98" s="318"/>
    </row>
    <row r="99" spans="2:37" ht="12.75" customHeight="1" thickBot="1" x14ac:dyDescent="0.3">
      <c r="B99" s="363"/>
      <c r="C99" s="376"/>
      <c r="D99" s="374"/>
      <c r="E99" s="376"/>
      <c r="F99" s="375"/>
      <c r="G99" s="961"/>
      <c r="H99" s="961"/>
      <c r="I99" s="993"/>
      <c r="J99" s="370"/>
      <c r="K99" s="371"/>
      <c r="L99" s="372"/>
      <c r="M99" s="371"/>
      <c r="N99" s="372"/>
      <c r="O99" s="371"/>
      <c r="P99" s="370"/>
      <c r="Q99" s="371"/>
      <c r="R99" s="372"/>
      <c r="S99" s="371"/>
      <c r="T99" s="370"/>
      <c r="U99" s="371"/>
      <c r="V99" s="372"/>
      <c r="W99" s="371"/>
      <c r="X99" s="370"/>
      <c r="Y99" s="371"/>
      <c r="Z99" s="370"/>
      <c r="AA99" s="371"/>
      <c r="AB99" s="370"/>
      <c r="AC99" s="371"/>
      <c r="AD99" s="370"/>
      <c r="AE99" s="371"/>
      <c r="AF99" s="370"/>
      <c r="AG99" s="371"/>
      <c r="AH99" s="370"/>
      <c r="AI99" s="371"/>
      <c r="AJ99" s="370"/>
      <c r="AK99" s="371"/>
    </row>
    <row r="100" spans="2:37" ht="12.75" customHeight="1" x14ac:dyDescent="0.25">
      <c r="B100" s="360" t="s">
        <v>208</v>
      </c>
      <c r="C100" s="377" t="s">
        <v>210</v>
      </c>
      <c r="D100" s="326"/>
      <c r="E100" s="387"/>
      <c r="F100" s="293"/>
      <c r="G100" s="362">
        <f>J100+L100+N100+P100+R100+T100+V100+X100+Z100+AB100+AD100+AF100+AH100+AJ100+J101+L101+N101+P101+R101+T101+V101+X101+Z101+AB101+AD101+AF101+AH101+AJ101</f>
        <v>0</v>
      </c>
      <c r="H100" s="362">
        <f>K100+K101+M100+M101+O100+O101+Q100+Q101+S100+S101+U100+U101+W100+W101+Y100+Y101+AA100+AA101+AC100+AC101+AE100+AE101+AG100+AG101+AI100+AI101+AK100+AK101</f>
        <v>0</v>
      </c>
      <c r="I100" s="992">
        <f>IFERROR(H100/$H$123,)</f>
        <v>0</v>
      </c>
      <c r="J100" s="317">
        <f>[4]Middles!C65</f>
        <v>0</v>
      </c>
      <c r="K100" s="318">
        <f>[4]Middles!D65</f>
        <v>0</v>
      </c>
      <c r="L100" s="319"/>
      <c r="M100" s="318"/>
      <c r="N100" s="319"/>
      <c r="O100" s="318"/>
      <c r="P100" s="317"/>
      <c r="Q100" s="318"/>
      <c r="R100" s="319"/>
      <c r="S100" s="318"/>
      <c r="T100" s="317"/>
      <c r="U100" s="318"/>
      <c r="V100" s="319"/>
      <c r="W100" s="318"/>
      <c r="X100" s="317"/>
      <c r="Y100" s="318"/>
      <c r="Z100" s="317"/>
      <c r="AA100" s="318"/>
      <c r="AB100" s="317"/>
      <c r="AC100" s="318"/>
      <c r="AD100" s="317"/>
      <c r="AE100" s="318"/>
      <c r="AF100" s="317"/>
      <c r="AG100" s="318"/>
      <c r="AH100" s="317"/>
      <c r="AI100" s="318"/>
      <c r="AJ100" s="317"/>
      <c r="AK100" s="318"/>
    </row>
    <row r="101" spans="2:37" ht="12.75" customHeight="1" thickBot="1" x14ac:dyDescent="0.3">
      <c r="B101" s="363"/>
      <c r="C101" s="331"/>
      <c r="D101" s="378"/>
      <c r="E101" s="368"/>
      <c r="F101" s="379"/>
      <c r="G101" s="961"/>
      <c r="H101" s="961"/>
      <c r="I101" s="993"/>
      <c r="J101" s="370"/>
      <c r="K101" s="371"/>
      <c r="L101" s="372"/>
      <c r="M101" s="371"/>
      <c r="N101" s="372"/>
      <c r="O101" s="371"/>
      <c r="P101" s="370"/>
      <c r="Q101" s="371"/>
      <c r="R101" s="372"/>
      <c r="S101" s="371"/>
      <c r="T101" s="370"/>
      <c r="U101" s="371"/>
      <c r="V101" s="372"/>
      <c r="W101" s="371"/>
      <c r="X101" s="370"/>
      <c r="Y101" s="371"/>
      <c r="Z101" s="370"/>
      <c r="AA101" s="371"/>
      <c r="AB101" s="370"/>
      <c r="AC101" s="371"/>
      <c r="AD101" s="370"/>
      <c r="AE101" s="371"/>
      <c r="AF101" s="370"/>
      <c r="AG101" s="371"/>
      <c r="AH101" s="370"/>
      <c r="AI101" s="371"/>
      <c r="AJ101" s="370"/>
      <c r="AK101" s="371"/>
    </row>
    <row r="102" spans="2:37" ht="12.75" customHeight="1" x14ac:dyDescent="0.25">
      <c r="B102" s="360" t="s">
        <v>151</v>
      </c>
      <c r="C102" s="361" t="s">
        <v>209</v>
      </c>
      <c r="D102" s="336"/>
      <c r="E102" s="1037"/>
      <c r="F102" s="294"/>
      <c r="G102" s="362">
        <f>J102+L102+N102+P102+R102+T102+V102+X102+Z102+AB102+AD102+AF102+AH102+AJ102+J103+L103+N103+P103+R103+T103+V103+X103+Z103+AB103+AD103+AF103+AH103+AJ103</f>
        <v>25</v>
      </c>
      <c r="H102" s="362">
        <f>K102+K103+M102+M103+O102+O103+Q102+Q103+S102+S103+U102+U103+W102+W103+Y102+Y103+AA102+AA103+AC102+AC103+AE102+AE103+AG102+AG103+AI102+AI103+AK102+AK103</f>
        <v>54.2</v>
      </c>
      <c r="I102" s="992">
        <f>IFERROR(H102/$H$123,)</f>
        <v>5.0846662601435342E-3</v>
      </c>
      <c r="J102" s="317">
        <f>[4]Middles!C63</f>
        <v>25</v>
      </c>
      <c r="K102" s="318">
        <f>[4]Middles!D63</f>
        <v>54.2</v>
      </c>
      <c r="L102" s="319"/>
      <c r="M102" s="318"/>
      <c r="N102" s="319"/>
      <c r="O102" s="318"/>
      <c r="P102" s="317"/>
      <c r="Q102" s="318"/>
      <c r="R102" s="319"/>
      <c r="S102" s="318"/>
      <c r="T102" s="317"/>
      <c r="U102" s="318"/>
      <c r="V102" s="319"/>
      <c r="W102" s="318"/>
      <c r="X102" s="317"/>
      <c r="Y102" s="318"/>
      <c r="Z102" s="317"/>
      <c r="AA102" s="318"/>
      <c r="AB102" s="317"/>
      <c r="AC102" s="318"/>
      <c r="AD102" s="317"/>
      <c r="AE102" s="318"/>
      <c r="AF102" s="317"/>
      <c r="AG102" s="318"/>
      <c r="AH102" s="317"/>
      <c r="AI102" s="318"/>
      <c r="AJ102" s="317"/>
      <c r="AK102" s="318"/>
    </row>
    <row r="103" spans="2:37" ht="12.75" customHeight="1" thickBot="1" x14ac:dyDescent="0.3">
      <c r="B103" s="363"/>
      <c r="C103" s="369"/>
      <c r="D103" s="366"/>
      <c r="E103" s="397"/>
      <c r="F103" s="367"/>
      <c r="G103" s="961"/>
      <c r="H103" s="961"/>
      <c r="I103" s="993"/>
      <c r="J103" s="370"/>
      <c r="K103" s="371"/>
      <c r="L103" s="372"/>
      <c r="M103" s="371"/>
      <c r="N103" s="372"/>
      <c r="O103" s="371"/>
      <c r="P103" s="370"/>
      <c r="Q103" s="371"/>
      <c r="R103" s="372"/>
      <c r="S103" s="371"/>
      <c r="T103" s="370"/>
      <c r="U103" s="371"/>
      <c r="V103" s="372"/>
      <c r="W103" s="371"/>
      <c r="X103" s="370"/>
      <c r="Y103" s="371"/>
      <c r="Z103" s="370"/>
      <c r="AA103" s="371"/>
      <c r="AB103" s="370"/>
      <c r="AC103" s="371"/>
      <c r="AD103" s="370"/>
      <c r="AE103" s="371"/>
      <c r="AF103" s="370"/>
      <c r="AG103" s="371"/>
      <c r="AH103" s="370"/>
      <c r="AI103" s="371"/>
      <c r="AJ103" s="370"/>
      <c r="AK103" s="371"/>
    </row>
    <row r="104" spans="2:37" ht="12.75" customHeight="1" x14ac:dyDescent="0.25">
      <c r="B104" s="360" t="s">
        <v>144</v>
      </c>
      <c r="C104" s="361" t="s">
        <v>211</v>
      </c>
      <c r="D104" s="336"/>
      <c r="E104" s="1037"/>
      <c r="F104" s="294"/>
      <c r="G104" s="362">
        <f>J104+L104+N104+P104+R104+T104+V104+X104+Z104+AB104+AD104+AF104+AH104+AJ104+J105+L105+N105+P105+R105+T105+V105+X105+Z105+AB105+AD105+AF105+AH105+AJ105</f>
        <v>878</v>
      </c>
      <c r="H104" s="362">
        <f>K104+K105+M104+M105+O104+O105+Q104+Q105+S104+S105+U104+U105+W104+W105+Y104+Y105+AA104+AA105+AC104+AC105+AE104+AE105+AG104+AG105+AI104+AI105+AK104+AK105</f>
        <v>1955.2</v>
      </c>
      <c r="I104" s="992">
        <f>IFERROR(H104/$H$123,)</f>
        <v>0.18342323748768705</v>
      </c>
      <c r="J104" s="317">
        <f>[4]Middles!C67</f>
        <v>878</v>
      </c>
      <c r="K104" s="318">
        <f>[4]Middles!D67</f>
        <v>1955.2</v>
      </c>
      <c r="L104" s="319"/>
      <c r="M104" s="318"/>
      <c r="N104" s="319"/>
      <c r="O104" s="318"/>
      <c r="P104" s="317"/>
      <c r="Q104" s="318"/>
      <c r="R104" s="319"/>
      <c r="S104" s="318"/>
      <c r="T104" s="317"/>
      <c r="U104" s="318"/>
      <c r="V104" s="319"/>
      <c r="W104" s="318"/>
      <c r="X104" s="317"/>
      <c r="Y104" s="318"/>
      <c r="Z104" s="317"/>
      <c r="AA104" s="318"/>
      <c r="AB104" s="317"/>
      <c r="AC104" s="318"/>
      <c r="AD104" s="317"/>
      <c r="AE104" s="318"/>
      <c r="AF104" s="317"/>
      <c r="AG104" s="318"/>
      <c r="AH104" s="317"/>
      <c r="AI104" s="318"/>
      <c r="AJ104" s="317"/>
      <c r="AK104" s="318"/>
    </row>
    <row r="105" spans="2:37" ht="12.75" customHeight="1" thickBot="1" x14ac:dyDescent="0.3">
      <c r="B105" s="363"/>
      <c r="C105" s="369"/>
      <c r="D105" s="366"/>
      <c r="E105" s="397"/>
      <c r="F105" s="367"/>
      <c r="G105" s="961"/>
      <c r="H105" s="961"/>
      <c r="I105" s="993"/>
      <c r="J105" s="370"/>
      <c r="K105" s="371"/>
      <c r="L105" s="372"/>
      <c r="M105" s="371"/>
      <c r="N105" s="372"/>
      <c r="O105" s="371"/>
      <c r="P105" s="370"/>
      <c r="Q105" s="371"/>
      <c r="R105" s="372"/>
      <c r="S105" s="371"/>
      <c r="T105" s="370"/>
      <c r="U105" s="371"/>
      <c r="V105" s="372"/>
      <c r="W105" s="371"/>
      <c r="X105" s="370"/>
      <c r="Y105" s="371"/>
      <c r="Z105" s="370"/>
      <c r="AA105" s="371"/>
      <c r="AB105" s="370"/>
      <c r="AC105" s="371"/>
      <c r="AD105" s="370"/>
      <c r="AE105" s="371"/>
      <c r="AF105" s="370"/>
      <c r="AG105" s="371"/>
      <c r="AH105" s="370"/>
      <c r="AI105" s="371"/>
      <c r="AJ105" s="370"/>
      <c r="AK105" s="371"/>
    </row>
    <row r="106" spans="2:37" ht="12.75" customHeight="1" thickBot="1" x14ac:dyDescent="0.3">
      <c r="B106" s="380"/>
      <c r="C106" s="381"/>
      <c r="D106" s="382"/>
      <c r="E106" s="381"/>
      <c r="F106" s="383"/>
      <c r="G106" s="384"/>
      <c r="H106" s="384"/>
      <c r="I106" s="994"/>
      <c r="J106" s="385" t="s">
        <v>173</v>
      </c>
      <c r="K106" s="385" t="s">
        <v>173</v>
      </c>
      <c r="L106" s="385" t="s">
        <v>173</v>
      </c>
      <c r="M106" s="385" t="s">
        <v>173</v>
      </c>
      <c r="N106" s="385" t="s">
        <v>173</v>
      </c>
      <c r="O106" s="385" t="s">
        <v>173</v>
      </c>
      <c r="P106" s="385" t="s">
        <v>173</v>
      </c>
      <c r="Q106" s="385" t="s">
        <v>173</v>
      </c>
      <c r="R106" s="385" t="s">
        <v>173</v>
      </c>
      <c r="S106" s="385" t="s">
        <v>173</v>
      </c>
      <c r="T106" s="385" t="s">
        <v>173</v>
      </c>
      <c r="U106" s="385" t="s">
        <v>173</v>
      </c>
      <c r="V106" s="385" t="s">
        <v>173</v>
      </c>
      <c r="W106" s="385" t="s">
        <v>173</v>
      </c>
      <c r="X106" s="385" t="s">
        <v>173</v>
      </c>
      <c r="Y106" s="385" t="s">
        <v>173</v>
      </c>
      <c r="Z106" s="385" t="s">
        <v>173</v>
      </c>
      <c r="AA106" s="385" t="s">
        <v>173</v>
      </c>
      <c r="AB106" s="385" t="s">
        <v>173</v>
      </c>
      <c r="AC106" s="385" t="s">
        <v>173</v>
      </c>
      <c r="AD106" s="385" t="s">
        <v>173</v>
      </c>
      <c r="AE106" s="385" t="s">
        <v>173</v>
      </c>
      <c r="AF106" s="385" t="s">
        <v>173</v>
      </c>
      <c r="AG106" s="385" t="s">
        <v>173</v>
      </c>
      <c r="AH106" s="385" t="s">
        <v>173</v>
      </c>
      <c r="AI106" s="385" t="s">
        <v>173</v>
      </c>
      <c r="AJ106" s="385" t="s">
        <v>173</v>
      </c>
      <c r="AK106" s="386" t="s">
        <v>173</v>
      </c>
    </row>
    <row r="107" spans="2:37" ht="12.75" customHeight="1" x14ac:dyDescent="0.25">
      <c r="B107" s="360" t="s">
        <v>142</v>
      </c>
      <c r="C107" s="377" t="s">
        <v>212</v>
      </c>
      <c r="D107" s="326"/>
      <c r="E107" s="387"/>
      <c r="F107" s="293"/>
      <c r="G107" s="387"/>
      <c r="H107" s="362">
        <f>SUM(J107:AK108)</f>
        <v>958.9</v>
      </c>
      <c r="I107" s="1254">
        <f>IFERROR(H107/$H$123,)</f>
        <v>8.9957315071063373E-2</v>
      </c>
      <c r="J107" s="388">
        <f>[4]Middles!$D$70</f>
        <v>958.9</v>
      </c>
      <c r="K107" s="389"/>
      <c r="L107" s="389"/>
      <c r="M107" s="389"/>
      <c r="N107" s="389"/>
      <c r="O107" s="389"/>
      <c r="P107" s="389"/>
      <c r="Q107" s="389"/>
      <c r="R107" s="389"/>
      <c r="S107" s="389"/>
      <c r="T107" s="389"/>
      <c r="U107" s="389"/>
      <c r="V107" s="389"/>
      <c r="W107" s="389"/>
      <c r="X107" s="389"/>
      <c r="Y107" s="389"/>
      <c r="Z107" s="389"/>
      <c r="AA107" s="389"/>
      <c r="AB107" s="389"/>
      <c r="AC107" s="389"/>
      <c r="AD107" s="389"/>
      <c r="AE107" s="389"/>
      <c r="AF107" s="389"/>
      <c r="AG107" s="389"/>
      <c r="AH107" s="389"/>
      <c r="AI107" s="389"/>
      <c r="AJ107" s="389"/>
      <c r="AK107" s="390"/>
    </row>
    <row r="108" spans="2:37" ht="12.75" customHeight="1" thickBot="1" x14ac:dyDescent="0.3">
      <c r="B108" s="363"/>
      <c r="C108" s="368"/>
      <c r="D108" s="378"/>
      <c r="E108" s="368"/>
      <c r="F108" s="379"/>
      <c r="G108" s="368"/>
      <c r="H108" s="961"/>
      <c r="I108" s="1255"/>
      <c r="J108" s="391"/>
      <c r="K108" s="392"/>
      <c r="L108" s="392"/>
      <c r="M108" s="392"/>
      <c r="N108" s="392"/>
      <c r="O108" s="392"/>
      <c r="P108" s="392"/>
      <c r="Q108" s="392"/>
      <c r="R108" s="392"/>
      <c r="S108" s="392"/>
      <c r="T108" s="392"/>
      <c r="U108" s="392"/>
      <c r="V108" s="392"/>
      <c r="W108" s="392"/>
      <c r="X108" s="392"/>
      <c r="Y108" s="392"/>
      <c r="Z108" s="392"/>
      <c r="AA108" s="392"/>
      <c r="AB108" s="392"/>
      <c r="AC108" s="392"/>
      <c r="AD108" s="392"/>
      <c r="AE108" s="392"/>
      <c r="AF108" s="392"/>
      <c r="AG108" s="392"/>
      <c r="AH108" s="392"/>
      <c r="AI108" s="392"/>
      <c r="AJ108" s="392"/>
      <c r="AK108" s="393"/>
    </row>
    <row r="109" spans="2:37" ht="12.75" customHeight="1" x14ac:dyDescent="0.25">
      <c r="B109" s="360" t="s">
        <v>143</v>
      </c>
      <c r="C109" s="361" t="s">
        <v>213</v>
      </c>
      <c r="D109" s="336"/>
      <c r="E109" s="1037"/>
      <c r="F109" s="294"/>
      <c r="G109" s="387"/>
      <c r="H109" s="362">
        <f>SUM(J109:AK110)</f>
        <v>430.3</v>
      </c>
      <c r="I109" s="1254">
        <f>IFERROR(H109/$H$123,)</f>
        <v>4.0367747080069426E-2</v>
      </c>
      <c r="J109" s="394">
        <f>[4]Middles!$D$72</f>
        <v>430.3</v>
      </c>
      <c r="K109" s="395"/>
      <c r="L109" s="395"/>
      <c r="M109" s="395"/>
      <c r="N109" s="395"/>
      <c r="O109" s="395"/>
      <c r="P109" s="395"/>
      <c r="Q109" s="395"/>
      <c r="R109" s="395"/>
      <c r="S109" s="395"/>
      <c r="T109" s="395"/>
      <c r="U109" s="395"/>
      <c r="V109" s="395"/>
      <c r="W109" s="395"/>
      <c r="X109" s="395"/>
      <c r="Y109" s="395"/>
      <c r="Z109" s="395"/>
      <c r="AA109" s="395"/>
      <c r="AB109" s="395"/>
      <c r="AC109" s="395"/>
      <c r="AD109" s="395"/>
      <c r="AE109" s="395"/>
      <c r="AF109" s="395"/>
      <c r="AG109" s="395"/>
      <c r="AH109" s="395"/>
      <c r="AI109" s="395"/>
      <c r="AJ109" s="395"/>
      <c r="AK109" s="396"/>
    </row>
    <row r="110" spans="2:37" ht="12.75" customHeight="1" thickBot="1" x14ac:dyDescent="0.3">
      <c r="B110" s="363"/>
      <c r="C110" s="397"/>
      <c r="D110" s="366"/>
      <c r="E110" s="397"/>
      <c r="F110" s="367"/>
      <c r="G110" s="368"/>
      <c r="H110" s="961"/>
      <c r="I110" s="1255"/>
      <c r="J110" s="398"/>
      <c r="K110" s="392"/>
      <c r="L110" s="392"/>
      <c r="M110" s="392"/>
      <c r="N110" s="392"/>
      <c r="O110" s="392"/>
      <c r="P110" s="392"/>
      <c r="Q110" s="392"/>
      <c r="R110" s="392"/>
      <c r="S110" s="392"/>
      <c r="T110" s="392"/>
      <c r="U110" s="392"/>
      <c r="V110" s="392"/>
      <c r="W110" s="392"/>
      <c r="X110" s="392"/>
      <c r="Y110" s="392"/>
      <c r="Z110" s="392"/>
      <c r="AA110" s="392"/>
      <c r="AB110" s="392"/>
      <c r="AC110" s="392"/>
      <c r="AD110" s="392"/>
      <c r="AE110" s="392"/>
      <c r="AF110" s="392"/>
      <c r="AG110" s="392"/>
      <c r="AH110" s="392"/>
      <c r="AI110" s="392"/>
      <c r="AJ110" s="392"/>
      <c r="AK110" s="393"/>
    </row>
    <row r="111" spans="2:37" ht="12.75" customHeight="1" x14ac:dyDescent="0.25">
      <c r="B111" s="360" t="s">
        <v>3</v>
      </c>
      <c r="C111" s="361" t="s">
        <v>183</v>
      </c>
      <c r="D111" s="336"/>
      <c r="E111" s="1037"/>
      <c r="F111" s="294"/>
      <c r="G111" s="387"/>
      <c r="H111" s="362">
        <f>SUM(J111:AK112)</f>
        <v>154.5</v>
      </c>
      <c r="I111" s="1254">
        <f>IFERROR(H111/$H$123,)</f>
        <v>1.4494113232327971E-2</v>
      </c>
      <c r="J111" s="394">
        <f>[4]Middles!$D$74</f>
        <v>154.5</v>
      </c>
      <c r="K111" s="395"/>
      <c r="L111" s="395"/>
      <c r="M111" s="395"/>
      <c r="N111" s="395"/>
      <c r="O111" s="395"/>
      <c r="P111" s="395"/>
      <c r="Q111" s="395"/>
      <c r="R111" s="395"/>
      <c r="S111" s="395"/>
      <c r="T111" s="395"/>
      <c r="U111" s="395"/>
      <c r="V111" s="395"/>
      <c r="W111" s="395"/>
      <c r="X111" s="395"/>
      <c r="Y111" s="395"/>
      <c r="Z111" s="395"/>
      <c r="AA111" s="395"/>
      <c r="AB111" s="395"/>
      <c r="AC111" s="395"/>
      <c r="AD111" s="395"/>
      <c r="AE111" s="395"/>
      <c r="AF111" s="395"/>
      <c r="AG111" s="395"/>
      <c r="AH111" s="395"/>
      <c r="AI111" s="395"/>
      <c r="AJ111" s="395"/>
      <c r="AK111" s="396"/>
    </row>
    <row r="112" spans="2:37" ht="12.75" customHeight="1" thickBot="1" x14ac:dyDescent="0.3">
      <c r="B112" s="363"/>
      <c r="C112" s="369"/>
      <c r="D112" s="366"/>
      <c r="E112" s="397"/>
      <c r="F112" s="367"/>
      <c r="G112" s="368"/>
      <c r="H112" s="961"/>
      <c r="I112" s="1255"/>
      <c r="J112" s="398"/>
      <c r="K112" s="392"/>
      <c r="L112" s="392"/>
      <c r="M112" s="392"/>
      <c r="N112" s="392"/>
      <c r="O112" s="392"/>
      <c r="P112" s="392"/>
      <c r="Q112" s="392"/>
      <c r="R112" s="392"/>
      <c r="S112" s="392"/>
      <c r="T112" s="392"/>
      <c r="U112" s="392"/>
      <c r="V112" s="392"/>
      <c r="W112" s="392"/>
      <c r="X112" s="392"/>
      <c r="Y112" s="392"/>
      <c r="Z112" s="392"/>
      <c r="AA112" s="392"/>
      <c r="AB112" s="392"/>
      <c r="AC112" s="392"/>
      <c r="AD112" s="392"/>
      <c r="AE112" s="392"/>
      <c r="AF112" s="392"/>
      <c r="AG112" s="392"/>
      <c r="AH112" s="392"/>
      <c r="AI112" s="392"/>
      <c r="AJ112" s="392"/>
      <c r="AK112" s="393"/>
    </row>
    <row r="113" spans="1:37" ht="12.75" customHeight="1" x14ac:dyDescent="0.25">
      <c r="B113" s="360" t="s">
        <v>4</v>
      </c>
      <c r="C113" s="361" t="s">
        <v>214</v>
      </c>
      <c r="D113" s="336"/>
      <c r="E113" s="1037"/>
      <c r="F113" s="294"/>
      <c r="G113" s="387"/>
      <c r="H113" s="362">
        <f>SUM(J113:AK114)</f>
        <v>871.8</v>
      </c>
      <c r="I113" s="1254">
        <f>IFERROR(H113/$H$123,)</f>
        <v>8.1786200103194331E-2</v>
      </c>
      <c r="J113" s="394">
        <f>[4]Middles!$D$76</f>
        <v>871.8</v>
      </c>
      <c r="K113" s="395"/>
      <c r="L113" s="395"/>
      <c r="M113" s="395"/>
      <c r="N113" s="395"/>
      <c r="O113" s="395"/>
      <c r="P113" s="395"/>
      <c r="Q113" s="395"/>
      <c r="R113" s="395"/>
      <c r="S113" s="395"/>
      <c r="T113" s="395"/>
      <c r="U113" s="395"/>
      <c r="V113" s="395"/>
      <c r="W113" s="395"/>
      <c r="X113" s="395"/>
      <c r="Y113" s="395"/>
      <c r="Z113" s="395"/>
      <c r="AA113" s="395"/>
      <c r="AB113" s="395"/>
      <c r="AC113" s="395"/>
      <c r="AD113" s="395"/>
      <c r="AE113" s="395"/>
      <c r="AF113" s="395"/>
      <c r="AG113" s="395"/>
      <c r="AH113" s="395"/>
      <c r="AI113" s="395"/>
      <c r="AJ113" s="395"/>
      <c r="AK113" s="396"/>
    </row>
    <row r="114" spans="1:37" ht="12.75" customHeight="1" thickBot="1" x14ac:dyDescent="0.3">
      <c r="B114" s="363"/>
      <c r="C114" s="369"/>
      <c r="D114" s="366"/>
      <c r="E114" s="397"/>
      <c r="F114" s="367"/>
      <c r="G114" s="368"/>
      <c r="H114" s="961"/>
      <c r="I114" s="1255"/>
      <c r="J114" s="398"/>
      <c r="K114" s="392"/>
      <c r="L114" s="392"/>
      <c r="M114" s="392"/>
      <c r="N114" s="392"/>
      <c r="O114" s="392"/>
      <c r="P114" s="392"/>
      <c r="Q114" s="392"/>
      <c r="R114" s="392"/>
      <c r="S114" s="392"/>
      <c r="T114" s="392"/>
      <c r="U114" s="392"/>
      <c r="V114" s="392"/>
      <c r="W114" s="392"/>
      <c r="X114" s="392"/>
      <c r="Y114" s="392"/>
      <c r="Z114" s="392"/>
      <c r="AA114" s="392"/>
      <c r="AB114" s="392"/>
      <c r="AC114" s="392"/>
      <c r="AD114" s="392"/>
      <c r="AE114" s="392"/>
      <c r="AF114" s="392"/>
      <c r="AG114" s="392"/>
      <c r="AH114" s="392"/>
      <c r="AI114" s="392"/>
      <c r="AJ114" s="392"/>
      <c r="AK114" s="393"/>
    </row>
    <row r="115" spans="1:37" ht="12.75" hidden="1" customHeight="1" x14ac:dyDescent="0.25">
      <c r="B115" s="360" t="s">
        <v>5</v>
      </c>
      <c r="C115" s="361" t="s">
        <v>215</v>
      </c>
      <c r="D115" s="336"/>
      <c r="E115" s="1037"/>
      <c r="F115" s="294"/>
      <c r="G115" s="387"/>
      <c r="H115" s="978">
        <f>SUM(J115:AK116)</f>
        <v>0</v>
      </c>
      <c r="I115" s="1254">
        <f>IFERROR(H115/$H$123,)</f>
        <v>0</v>
      </c>
      <c r="J115" s="399"/>
      <c r="K115" s="395"/>
      <c r="L115" s="395"/>
      <c r="M115" s="395"/>
      <c r="N115" s="395"/>
      <c r="O115" s="395"/>
      <c r="P115" s="395"/>
      <c r="Q115" s="395"/>
      <c r="R115" s="395"/>
      <c r="S115" s="395"/>
      <c r="T115" s="395"/>
      <c r="U115" s="395"/>
      <c r="V115" s="395"/>
      <c r="W115" s="395"/>
      <c r="X115" s="395"/>
      <c r="Y115" s="395"/>
      <c r="Z115" s="395"/>
      <c r="AA115" s="395"/>
      <c r="AB115" s="395"/>
      <c r="AC115" s="395"/>
      <c r="AD115" s="395"/>
      <c r="AE115" s="395"/>
      <c r="AF115" s="395"/>
      <c r="AG115" s="395"/>
      <c r="AH115" s="395"/>
      <c r="AI115" s="395"/>
      <c r="AJ115" s="395"/>
      <c r="AK115" s="396"/>
    </row>
    <row r="116" spans="1:37" ht="12.75" hidden="1" customHeight="1" thickBot="1" x14ac:dyDescent="0.3">
      <c r="B116" s="363"/>
      <c r="C116" s="397"/>
      <c r="D116" s="366"/>
      <c r="E116" s="397"/>
      <c r="F116" s="367"/>
      <c r="G116" s="368"/>
      <c r="H116" s="961"/>
      <c r="I116" s="1255"/>
      <c r="J116" s="398"/>
      <c r="K116" s="392"/>
      <c r="L116" s="392"/>
      <c r="M116" s="392"/>
      <c r="N116" s="392"/>
      <c r="O116" s="392"/>
      <c r="P116" s="392"/>
      <c r="Q116" s="392"/>
      <c r="R116" s="392"/>
      <c r="S116" s="392"/>
      <c r="T116" s="392"/>
      <c r="U116" s="392"/>
      <c r="V116" s="392"/>
      <c r="W116" s="392"/>
      <c r="X116" s="392"/>
      <c r="Y116" s="392"/>
      <c r="Z116" s="392"/>
      <c r="AA116" s="392"/>
      <c r="AB116" s="392"/>
      <c r="AC116" s="392"/>
      <c r="AD116" s="392"/>
      <c r="AE116" s="392"/>
      <c r="AF116" s="392"/>
      <c r="AG116" s="392"/>
      <c r="AH116" s="392"/>
      <c r="AI116" s="392"/>
      <c r="AJ116" s="392"/>
      <c r="AK116" s="393"/>
    </row>
    <row r="117" spans="1:37" ht="12.75" customHeight="1" x14ac:dyDescent="0.25">
      <c r="B117" s="360" t="s">
        <v>260</v>
      </c>
      <c r="C117" s="361" t="s">
        <v>261</v>
      </c>
      <c r="D117" s="336"/>
      <c r="E117" s="1037"/>
      <c r="F117" s="294"/>
      <c r="G117" s="387"/>
      <c r="H117" s="362">
        <f>SUM(J117:AK118)</f>
        <v>554.79999999999995</v>
      </c>
      <c r="I117" s="1254">
        <f>IFERROR(H117/$H$123,)</f>
        <v>5.2047469393498753E-2</v>
      </c>
      <c r="J117" s="399">
        <f>[4]Middles!$D$78</f>
        <v>554.79999999999995</v>
      </c>
      <c r="K117" s="395"/>
      <c r="L117" s="395"/>
      <c r="M117" s="395"/>
      <c r="N117" s="395"/>
      <c r="O117" s="395"/>
      <c r="P117" s="395"/>
      <c r="Q117" s="395"/>
      <c r="R117" s="395"/>
      <c r="S117" s="395"/>
      <c r="T117" s="395"/>
      <c r="U117" s="395"/>
      <c r="V117" s="395"/>
      <c r="W117" s="395"/>
      <c r="X117" s="395"/>
      <c r="Y117" s="395"/>
      <c r="Z117" s="395"/>
      <c r="AA117" s="395"/>
      <c r="AB117" s="395"/>
      <c r="AC117" s="395"/>
      <c r="AD117" s="395"/>
      <c r="AE117" s="395"/>
      <c r="AF117" s="395"/>
      <c r="AG117" s="395"/>
      <c r="AH117" s="395"/>
      <c r="AI117" s="395"/>
      <c r="AJ117" s="395"/>
      <c r="AK117" s="396"/>
    </row>
    <row r="118" spans="1:37" ht="12.75" customHeight="1" thickBot="1" x14ac:dyDescent="0.3">
      <c r="B118" s="363"/>
      <c r="C118" s="397"/>
      <c r="D118" s="366"/>
      <c r="E118" s="397"/>
      <c r="F118" s="367"/>
      <c r="G118" s="368"/>
      <c r="H118" s="961"/>
      <c r="I118" s="1255"/>
      <c r="J118" s="398"/>
      <c r="K118" s="392"/>
      <c r="L118" s="392"/>
      <c r="M118" s="392"/>
      <c r="N118" s="392"/>
      <c r="O118" s="392"/>
      <c r="P118" s="392"/>
      <c r="Q118" s="392"/>
      <c r="R118" s="392"/>
      <c r="S118" s="392"/>
      <c r="T118" s="392"/>
      <c r="U118" s="392"/>
      <c r="V118" s="392"/>
      <c r="W118" s="392"/>
      <c r="X118" s="392"/>
      <c r="Y118" s="392"/>
      <c r="Z118" s="392"/>
      <c r="AA118" s="392"/>
      <c r="AB118" s="392"/>
      <c r="AC118" s="392"/>
      <c r="AD118" s="392"/>
      <c r="AE118" s="392"/>
      <c r="AF118" s="392"/>
      <c r="AG118" s="392"/>
      <c r="AH118" s="392"/>
      <c r="AI118" s="392"/>
      <c r="AJ118" s="392"/>
      <c r="AK118" s="393"/>
    </row>
    <row r="119" spans="1:37" ht="12.75" customHeight="1" x14ac:dyDescent="0.25">
      <c r="B119" s="360" t="s">
        <v>6</v>
      </c>
      <c r="C119" s="361" t="s">
        <v>186</v>
      </c>
      <c r="D119" s="336"/>
      <c r="E119" s="1037"/>
      <c r="F119" s="294"/>
      <c r="G119" s="387"/>
      <c r="H119" s="362">
        <f>SUM(J119:AK120)</f>
        <v>2137.3000000000002</v>
      </c>
      <c r="I119" s="1254">
        <f>IFERROR(H119/$H$123,)</f>
        <v>0.20050659036540178</v>
      </c>
      <c r="J119" s="394">
        <f>[4]Middles!$D$80</f>
        <v>2137.3000000000002</v>
      </c>
      <c r="K119" s="395"/>
      <c r="L119" s="395"/>
      <c r="M119" s="395"/>
      <c r="N119" s="395"/>
      <c r="O119" s="395"/>
      <c r="P119" s="395"/>
      <c r="Q119" s="395"/>
      <c r="R119" s="395"/>
      <c r="S119" s="395"/>
      <c r="T119" s="395"/>
      <c r="U119" s="395"/>
      <c r="V119" s="395"/>
      <c r="W119" s="395"/>
      <c r="X119" s="395"/>
      <c r="Y119" s="395"/>
      <c r="Z119" s="395"/>
      <c r="AA119" s="395"/>
      <c r="AB119" s="395"/>
      <c r="AC119" s="395"/>
      <c r="AD119" s="395"/>
      <c r="AE119" s="395"/>
      <c r="AF119" s="395"/>
      <c r="AG119" s="395"/>
      <c r="AH119" s="395"/>
      <c r="AI119" s="395"/>
      <c r="AJ119" s="395"/>
      <c r="AK119" s="396"/>
    </row>
    <row r="120" spans="1:37" ht="12.75" customHeight="1" thickBot="1" x14ac:dyDescent="0.3">
      <c r="A120" s="269" t="e">
        <f>_xlfn.IFNA( INDEX(#REF!,MATCH(Middles!E122,#REF!,0)), " ")</f>
        <v>#REF!</v>
      </c>
      <c r="B120" s="363"/>
      <c r="C120" s="400"/>
      <c r="D120" s="401"/>
      <c r="E120" s="400"/>
      <c r="F120" s="402"/>
      <c r="G120" s="368"/>
      <c r="H120" s="961"/>
      <c r="I120" s="1255"/>
      <c r="J120" s="398"/>
      <c r="K120" s="392"/>
      <c r="L120" s="392"/>
      <c r="M120" s="392"/>
      <c r="N120" s="392"/>
      <c r="O120" s="392"/>
      <c r="P120" s="392"/>
      <c r="Q120" s="392"/>
      <c r="R120" s="392"/>
      <c r="S120" s="392"/>
      <c r="T120" s="392"/>
      <c r="U120" s="392"/>
      <c r="V120" s="392"/>
      <c r="W120" s="392"/>
      <c r="X120" s="392"/>
      <c r="Y120" s="392"/>
      <c r="Z120" s="392"/>
      <c r="AA120" s="392"/>
      <c r="AB120" s="392"/>
      <c r="AC120" s="392"/>
      <c r="AD120" s="392"/>
      <c r="AE120" s="392"/>
      <c r="AF120" s="392"/>
      <c r="AG120" s="392"/>
      <c r="AH120" s="392"/>
      <c r="AI120" s="392"/>
      <c r="AJ120" s="392"/>
      <c r="AK120" s="393"/>
    </row>
    <row r="121" spans="1:37" ht="12.75" customHeight="1" thickBot="1" x14ac:dyDescent="0.3">
      <c r="A121" s="1030" t="e">
        <f>_xlfn.IFNA( INDEX(#REF!,MATCH(Middles!E123,#REF!,0)), " ")</f>
        <v>#REF!</v>
      </c>
      <c r="B121" s="971"/>
      <c r="C121" s="972" t="s">
        <v>174</v>
      </c>
      <c r="D121" s="973"/>
      <c r="E121" s="1038"/>
      <c r="F121" s="974"/>
      <c r="G121" s="975">
        <v>0</v>
      </c>
      <c r="H121" s="975">
        <f>SUM(H94:H120)</f>
        <v>7506.2000000000007</v>
      </c>
      <c r="I121" s="976">
        <f>SUM(I94:I120)</f>
        <v>0.70417937051456447</v>
      </c>
      <c r="J121" s="977"/>
      <c r="K121" s="977"/>
      <c r="L121" s="977"/>
      <c r="M121" s="977"/>
      <c r="N121" s="977"/>
      <c r="O121" s="977"/>
      <c r="P121" s="977"/>
      <c r="Q121" s="977"/>
      <c r="R121" s="977"/>
      <c r="S121" s="977"/>
      <c r="T121" s="977"/>
      <c r="U121" s="977"/>
      <c r="V121" s="977"/>
      <c r="W121" s="977"/>
      <c r="X121" s="977"/>
      <c r="Y121" s="977"/>
      <c r="Z121" s="977"/>
      <c r="AA121" s="977"/>
      <c r="AB121" s="977"/>
      <c r="AC121" s="977"/>
      <c r="AD121" s="977"/>
      <c r="AE121" s="977"/>
      <c r="AF121" s="977"/>
      <c r="AG121" s="977"/>
      <c r="AH121" s="977"/>
      <c r="AI121" s="977"/>
      <c r="AJ121" s="977"/>
      <c r="AK121" s="977"/>
    </row>
    <row r="122" spans="1:37" ht="3.75" customHeight="1" thickBot="1" x14ac:dyDescent="0.3">
      <c r="A122" s="269" t="e">
        <f>_xlfn.IFNA( INDEX(#REF!,MATCH(Middles!E124,#REF!,0)), " ")</f>
        <v>#REF!</v>
      </c>
      <c r="B122" s="405"/>
      <c r="C122" s="406"/>
      <c r="D122" s="407"/>
      <c r="E122" s="1039"/>
      <c r="F122" s="408"/>
      <c r="G122" s="407"/>
      <c r="H122" s="407"/>
      <c r="I122" s="409"/>
      <c r="J122" s="404"/>
      <c r="K122" s="404"/>
      <c r="L122" s="404"/>
      <c r="M122" s="404"/>
      <c r="N122" s="404"/>
      <c r="O122" s="404"/>
      <c r="P122" s="404"/>
      <c r="Q122" s="404"/>
      <c r="R122" s="404"/>
      <c r="S122" s="404"/>
      <c r="T122" s="404"/>
      <c r="U122" s="404"/>
      <c r="V122" s="404"/>
      <c r="W122" s="404"/>
      <c r="X122" s="404"/>
      <c r="Y122" s="404"/>
      <c r="Z122" s="404"/>
      <c r="AA122" s="404"/>
      <c r="AB122" s="404"/>
      <c r="AC122" s="404"/>
      <c r="AD122" s="404"/>
      <c r="AE122" s="404"/>
      <c r="AF122" s="404"/>
      <c r="AG122" s="404"/>
      <c r="AH122" s="404"/>
      <c r="AI122" s="404"/>
      <c r="AJ122" s="404"/>
      <c r="AK122" s="404"/>
    </row>
    <row r="123" spans="1:37" ht="15.75" customHeight="1" thickBot="1" x14ac:dyDescent="0.3">
      <c r="A123" s="269" t="e">
        <f>_xlfn.IFNA( INDEX(#REF!,MATCH(Middles!E125,#REF!,0)), " ")</f>
        <v>#REF!</v>
      </c>
      <c r="B123" s="410"/>
      <c r="C123" s="411" t="s">
        <v>176</v>
      </c>
      <c r="D123" s="412"/>
      <c r="E123" s="1040"/>
      <c r="F123" s="413"/>
      <c r="G123" s="918">
        <f>+G89</f>
        <v>1108</v>
      </c>
      <c r="H123" s="414">
        <f>+H89+H121</f>
        <v>10659.5</v>
      </c>
      <c r="I123" s="415">
        <f>+I89+I121</f>
        <v>1</v>
      </c>
      <c r="J123" s="404"/>
      <c r="K123" s="404"/>
      <c r="L123" s="404"/>
      <c r="M123" s="404"/>
      <c r="N123" s="404"/>
      <c r="O123" s="404"/>
      <c r="P123" s="404"/>
      <c r="Q123" s="404"/>
      <c r="R123" s="404"/>
      <c r="S123" s="404"/>
      <c r="T123" s="404"/>
      <c r="U123" s="404"/>
      <c r="V123" s="404"/>
      <c r="W123" s="404"/>
      <c r="X123" s="404"/>
      <c r="Y123" s="404"/>
      <c r="Z123" s="404"/>
      <c r="AA123" s="404"/>
      <c r="AB123" s="404"/>
      <c r="AC123" s="404"/>
      <c r="AD123" s="404"/>
      <c r="AE123" s="404"/>
      <c r="AF123" s="404"/>
      <c r="AG123" s="404"/>
      <c r="AH123" s="404"/>
      <c r="AI123" s="404"/>
      <c r="AJ123" s="404"/>
      <c r="AK123" s="404"/>
    </row>
    <row r="124" spans="1:37" ht="15.75" customHeight="1" thickBot="1" x14ac:dyDescent="0.3">
      <c r="B124" s="416"/>
      <c r="C124" s="417" t="s">
        <v>54</v>
      </c>
      <c r="D124" s="418"/>
      <c r="E124" s="1041"/>
      <c r="F124" s="419"/>
      <c r="G124" s="919">
        <f>G123-G5</f>
        <v>0</v>
      </c>
      <c r="H124" s="420">
        <f>H123-H5</f>
        <v>12</v>
      </c>
      <c r="I124" s="421">
        <f>IFERROR(H124/H5,)</f>
        <v>1.1270251232683728E-3</v>
      </c>
      <c r="J124" s="422"/>
      <c r="K124" s="422"/>
      <c r="L124" s="422"/>
      <c r="M124" s="422"/>
      <c r="N124" s="422"/>
      <c r="O124" s="422"/>
      <c r="P124" s="422"/>
      <c r="Q124" s="422"/>
      <c r="R124" s="422"/>
      <c r="S124" s="422"/>
      <c r="T124" s="422"/>
      <c r="U124" s="422"/>
      <c r="V124" s="422"/>
      <c r="W124" s="422"/>
      <c r="X124" s="422"/>
      <c r="Y124" s="422"/>
      <c r="Z124" s="422"/>
      <c r="AA124" s="422"/>
      <c r="AB124" s="422"/>
      <c r="AC124" s="422"/>
      <c r="AD124" s="422"/>
      <c r="AE124" s="422"/>
      <c r="AF124" s="422"/>
      <c r="AG124" s="422"/>
      <c r="AH124" s="422"/>
      <c r="AI124" s="422"/>
      <c r="AJ124" s="422"/>
      <c r="AK124" s="422"/>
    </row>
    <row r="125" spans="1:37" ht="12.75" customHeight="1" x14ac:dyDescent="0.25">
      <c r="B125" s="423"/>
      <c r="C125" s="424"/>
      <c r="D125" s="425"/>
      <c r="E125" s="427"/>
      <c r="F125" s="426"/>
      <c r="G125" s="427"/>
      <c r="H125" s="427"/>
      <c r="I125" s="424"/>
      <c r="J125" s="404"/>
      <c r="K125" s="404"/>
      <c r="L125" s="404"/>
      <c r="M125" s="404"/>
      <c r="N125" s="404"/>
      <c r="O125" s="404"/>
      <c r="P125" s="404"/>
      <c r="Q125" s="404"/>
      <c r="R125" s="404"/>
      <c r="S125" s="404"/>
      <c r="T125" s="404"/>
      <c r="U125" s="404"/>
      <c r="V125" s="404"/>
      <c r="W125" s="404"/>
      <c r="X125" s="404"/>
      <c r="Y125" s="404"/>
      <c r="Z125" s="404"/>
      <c r="AA125" s="404"/>
      <c r="AB125" s="404"/>
      <c r="AC125" s="404"/>
      <c r="AD125" s="404"/>
      <c r="AE125" s="404"/>
      <c r="AF125" s="404"/>
      <c r="AG125" s="404"/>
      <c r="AH125" s="404"/>
      <c r="AI125" s="404"/>
      <c r="AJ125" s="404"/>
      <c r="AK125" s="404"/>
    </row>
    <row r="126" spans="1:37" ht="12.75" customHeight="1" x14ac:dyDescent="0.25">
      <c r="B126" s="423"/>
      <c r="C126" s="424"/>
      <c r="D126" s="425"/>
      <c r="E126" s="427"/>
      <c r="F126" s="426"/>
      <c r="G126" s="427"/>
      <c r="H126" s="427"/>
      <c r="I126" s="424"/>
      <c r="J126" s="404"/>
      <c r="K126" s="404"/>
      <c r="L126" s="404"/>
      <c r="M126" s="404"/>
      <c r="N126" s="404"/>
      <c r="O126" s="404"/>
      <c r="P126" s="404"/>
      <c r="Q126" s="404"/>
      <c r="R126" s="404"/>
      <c r="S126" s="404"/>
      <c r="T126" s="404"/>
      <c r="U126" s="404"/>
      <c r="V126" s="404"/>
      <c r="W126" s="404"/>
      <c r="X126" s="404"/>
      <c r="Y126" s="404"/>
      <c r="Z126" s="404"/>
      <c r="AA126" s="404"/>
      <c r="AB126" s="404"/>
      <c r="AC126" s="404"/>
      <c r="AD126" s="404"/>
      <c r="AE126" s="404"/>
      <c r="AF126" s="404"/>
      <c r="AG126" s="404"/>
      <c r="AH126" s="404"/>
      <c r="AI126" s="404"/>
      <c r="AJ126" s="404"/>
      <c r="AK126" s="404"/>
    </row>
    <row r="127" spans="1:37" ht="12.75" customHeight="1" x14ac:dyDescent="0.25">
      <c r="B127" s="423"/>
      <c r="C127" s="424"/>
      <c r="D127" s="425"/>
      <c r="E127" s="427"/>
      <c r="F127" s="426"/>
      <c r="G127" s="427"/>
      <c r="H127" s="427"/>
      <c r="I127" s="424"/>
      <c r="J127" s="404"/>
      <c r="K127" s="404"/>
      <c r="L127" s="404"/>
      <c r="M127" s="404"/>
      <c r="N127" s="404"/>
      <c r="O127" s="404"/>
      <c r="P127" s="404"/>
      <c r="Q127" s="404"/>
      <c r="R127" s="404"/>
      <c r="S127" s="404"/>
      <c r="T127" s="404"/>
      <c r="U127" s="404"/>
      <c r="V127" s="404"/>
      <c r="W127" s="404"/>
      <c r="X127" s="404"/>
      <c r="Y127" s="404"/>
      <c r="Z127" s="404"/>
      <c r="AA127" s="404"/>
      <c r="AB127" s="404"/>
      <c r="AC127" s="404"/>
      <c r="AD127" s="404"/>
      <c r="AE127" s="404"/>
      <c r="AF127" s="404"/>
      <c r="AG127" s="404"/>
      <c r="AH127" s="404"/>
      <c r="AI127" s="404"/>
      <c r="AJ127" s="404"/>
      <c r="AK127" s="404"/>
    </row>
    <row r="128" spans="1:37" ht="12.75" customHeight="1" thickBot="1" x14ac:dyDescent="0.3">
      <c r="B128" s="423"/>
      <c r="C128" s="424"/>
      <c r="D128" s="425"/>
      <c r="E128" s="427"/>
      <c r="F128" s="426"/>
      <c r="G128" s="427"/>
      <c r="H128" s="427"/>
      <c r="I128" s="424"/>
      <c r="J128" s="404"/>
      <c r="K128" s="404"/>
      <c r="L128" s="404"/>
      <c r="M128" s="404"/>
      <c r="N128" s="404"/>
      <c r="O128" s="404"/>
      <c r="P128" s="404"/>
      <c r="Q128" s="404"/>
      <c r="R128" s="404"/>
      <c r="S128" s="404"/>
      <c r="T128" s="404"/>
      <c r="U128" s="404"/>
      <c r="V128" s="404"/>
      <c r="W128" s="404"/>
      <c r="X128" s="404"/>
      <c r="Y128" s="404"/>
      <c r="Z128" s="404"/>
      <c r="AA128" s="404"/>
      <c r="AB128" s="404"/>
      <c r="AC128" s="404"/>
      <c r="AD128" s="404"/>
      <c r="AE128" s="404"/>
      <c r="AF128" s="404"/>
      <c r="AG128" s="404"/>
      <c r="AH128" s="404"/>
      <c r="AI128" s="404"/>
      <c r="AJ128" s="404"/>
      <c r="AK128" s="404"/>
    </row>
    <row r="129" spans="2:37" ht="12.75" customHeight="1" thickTop="1" x14ac:dyDescent="0.25">
      <c r="B129" s="428" t="s">
        <v>434</v>
      </c>
      <c r="C129" s="1256" t="s">
        <v>435</v>
      </c>
      <c r="D129" s="1257"/>
      <c r="E129" s="1257"/>
      <c r="F129" s="1257"/>
      <c r="G129" s="1258"/>
      <c r="H129" s="429" t="s">
        <v>436</v>
      </c>
      <c r="I129" s="430"/>
      <c r="J129" s="431"/>
      <c r="K129" s="431"/>
      <c r="L129" s="431"/>
      <c r="M129" s="431"/>
      <c r="N129" s="431"/>
      <c r="O129" s="431"/>
      <c r="P129" s="431"/>
      <c r="Q129" s="431"/>
      <c r="R129" s="431"/>
      <c r="S129" s="431"/>
      <c r="T129" s="431"/>
      <c r="U129" s="431"/>
      <c r="V129" s="431"/>
      <c r="W129" s="431"/>
      <c r="X129" s="431"/>
      <c r="Y129" s="431"/>
      <c r="Z129" s="431"/>
      <c r="AA129" s="431"/>
      <c r="AB129" s="431"/>
      <c r="AC129" s="431"/>
      <c r="AD129" s="431"/>
      <c r="AE129" s="431"/>
      <c r="AF129" s="431"/>
      <c r="AG129" s="431"/>
      <c r="AH129" s="431"/>
      <c r="AI129" s="431"/>
      <c r="AJ129" s="431"/>
      <c r="AK129" s="432"/>
    </row>
    <row r="130" spans="2:37" ht="12.75" customHeight="1" x14ac:dyDescent="0.25">
      <c r="B130" s="433" t="s">
        <v>242</v>
      </c>
      <c r="C130" s="434" t="s">
        <v>437</v>
      </c>
      <c r="D130" s="435"/>
      <c r="E130" s="1042"/>
      <c r="F130" s="435"/>
      <c r="G130" s="436">
        <f>SUM(H130:AK130)</f>
        <v>2221.5</v>
      </c>
      <c r="H130" s="436">
        <f>'[4]Deboning Leg'!C39</f>
        <v>2221.5</v>
      </c>
      <c r="I130" s="437"/>
      <c r="J130" s="438"/>
      <c r="K130" s="438"/>
      <c r="L130" s="438"/>
      <c r="M130" s="438"/>
      <c r="N130" s="438"/>
      <c r="O130" s="438"/>
      <c r="P130" s="438"/>
      <c r="Q130" s="438"/>
      <c r="R130" s="438"/>
      <c r="S130" s="438"/>
      <c r="T130" s="438"/>
      <c r="U130" s="438"/>
      <c r="V130" s="438"/>
      <c r="W130" s="438"/>
      <c r="X130" s="438"/>
      <c r="Y130" s="439"/>
      <c r="Z130" s="439"/>
      <c r="AA130" s="439"/>
      <c r="AB130" s="439"/>
      <c r="AC130" s="439"/>
      <c r="AD130" s="439"/>
      <c r="AE130" s="439"/>
      <c r="AF130" s="439"/>
      <c r="AG130" s="439"/>
      <c r="AH130" s="439"/>
      <c r="AI130" s="439"/>
      <c r="AJ130" s="439"/>
      <c r="AK130" s="440"/>
    </row>
    <row r="131" spans="2:37" ht="12.75" customHeight="1" x14ac:dyDescent="0.25">
      <c r="B131" s="433" t="s">
        <v>315</v>
      </c>
      <c r="C131" s="434" t="s">
        <v>438</v>
      </c>
      <c r="D131" s="435"/>
      <c r="E131" s="1042"/>
      <c r="F131" s="435"/>
      <c r="G131" s="436">
        <f>SUM(H131:AK131)</f>
        <v>1704.1</v>
      </c>
      <c r="H131" s="436">
        <f>'[4]Deboning Leg'!C40</f>
        <v>1704.1</v>
      </c>
      <c r="I131" s="437"/>
      <c r="J131" s="438"/>
      <c r="K131" s="438"/>
      <c r="L131" s="438"/>
      <c r="M131" s="438"/>
      <c r="N131" s="438"/>
      <c r="O131" s="438"/>
      <c r="P131" s="438"/>
      <c r="Q131" s="438"/>
      <c r="R131" s="438"/>
      <c r="S131" s="438"/>
      <c r="T131" s="438"/>
      <c r="U131" s="438"/>
      <c r="V131" s="438"/>
      <c r="W131" s="438"/>
      <c r="X131" s="438"/>
      <c r="Y131" s="439"/>
      <c r="Z131" s="439"/>
      <c r="AA131" s="439"/>
      <c r="AB131" s="439"/>
      <c r="AC131" s="439"/>
      <c r="AD131" s="439"/>
      <c r="AE131" s="439"/>
      <c r="AF131" s="439"/>
      <c r="AG131" s="439"/>
      <c r="AH131" s="439"/>
      <c r="AI131" s="439"/>
      <c r="AJ131" s="439"/>
      <c r="AK131" s="440"/>
    </row>
    <row r="132" spans="2:37" ht="12.75" customHeight="1" x14ac:dyDescent="0.25">
      <c r="B132" s="433" t="s">
        <v>243</v>
      </c>
      <c r="C132" s="434" t="s">
        <v>389</v>
      </c>
      <c r="D132" s="435"/>
      <c r="E132" s="1042"/>
      <c r="F132" s="435"/>
      <c r="G132" s="436">
        <f>SUM(H132:AK132)</f>
        <v>0</v>
      </c>
      <c r="H132" s="436">
        <f>'[4]Deboning Leg'!C41</f>
        <v>0</v>
      </c>
      <c r="I132" s="437"/>
      <c r="J132" s="438"/>
      <c r="K132" s="438"/>
      <c r="L132" s="438"/>
      <c r="M132" s="438"/>
      <c r="N132" s="438"/>
      <c r="O132" s="438"/>
      <c r="P132" s="438"/>
      <c r="Q132" s="438"/>
      <c r="R132" s="438"/>
      <c r="S132" s="438"/>
      <c r="T132" s="438"/>
      <c r="U132" s="438"/>
      <c r="V132" s="438"/>
      <c r="W132" s="438"/>
      <c r="X132" s="438"/>
      <c r="Y132" s="439"/>
      <c r="Z132" s="439"/>
      <c r="AA132" s="439"/>
      <c r="AB132" s="439"/>
      <c r="AC132" s="439"/>
      <c r="AD132" s="439"/>
      <c r="AE132" s="439"/>
      <c r="AF132" s="439"/>
      <c r="AG132" s="439"/>
      <c r="AH132" s="439"/>
      <c r="AI132" s="439"/>
      <c r="AJ132" s="439"/>
      <c r="AK132" s="440"/>
    </row>
    <row r="133" spans="2:37" ht="12.75" customHeight="1" x14ac:dyDescent="0.25">
      <c r="B133" s="433" t="s">
        <v>240</v>
      </c>
      <c r="C133" s="434" t="s">
        <v>380</v>
      </c>
      <c r="D133" s="435"/>
      <c r="E133" s="1042"/>
      <c r="F133" s="435"/>
      <c r="G133" s="436">
        <f>SUM(H133:AK133)</f>
        <v>1475.9</v>
      </c>
      <c r="H133" s="436">
        <f>'[4]Deboning Leg'!C42</f>
        <v>1475.9</v>
      </c>
      <c r="I133" s="437"/>
      <c r="J133" s="438"/>
      <c r="K133" s="438"/>
      <c r="L133" s="438"/>
      <c r="M133" s="438"/>
      <c r="N133" s="438"/>
      <c r="O133" s="438"/>
      <c r="P133" s="438"/>
      <c r="Q133" s="438"/>
      <c r="R133" s="438"/>
      <c r="S133" s="438"/>
      <c r="T133" s="438"/>
      <c r="U133" s="438"/>
      <c r="V133" s="438"/>
      <c r="W133" s="438"/>
      <c r="X133" s="438"/>
      <c r="Y133" s="439"/>
      <c r="Z133" s="439"/>
      <c r="AA133" s="439"/>
      <c r="AB133" s="439"/>
      <c r="AC133" s="439"/>
      <c r="AD133" s="439"/>
      <c r="AE133" s="439"/>
      <c r="AF133" s="439"/>
      <c r="AG133" s="439"/>
      <c r="AH133" s="439"/>
      <c r="AI133" s="439"/>
      <c r="AJ133" s="439"/>
      <c r="AK133" s="440"/>
    </row>
    <row r="134" spans="2:37" ht="12.75" customHeight="1" thickBot="1" x14ac:dyDescent="0.3">
      <c r="B134" s="433" t="s">
        <v>175</v>
      </c>
      <c r="C134" s="434" t="s">
        <v>439</v>
      </c>
      <c r="D134" s="435"/>
      <c r="E134" s="1042"/>
      <c r="F134" s="435"/>
      <c r="G134" s="436">
        <f>SUM(H134:AK134)</f>
        <v>86.7</v>
      </c>
      <c r="H134" s="436">
        <f>'[4]Deboning Leg'!C43</f>
        <v>86.7</v>
      </c>
      <c r="I134" s="441"/>
      <c r="J134" s="442"/>
      <c r="K134" s="442"/>
      <c r="L134" s="442"/>
      <c r="M134" s="442"/>
      <c r="N134" s="442"/>
      <c r="O134" s="442"/>
      <c r="P134" s="442"/>
      <c r="Q134" s="442"/>
      <c r="R134" s="442"/>
      <c r="S134" s="442"/>
      <c r="T134" s="442"/>
      <c r="U134" s="442"/>
      <c r="V134" s="442"/>
      <c r="W134" s="442"/>
      <c r="X134" s="442"/>
      <c r="Y134" s="443"/>
      <c r="Z134" s="443"/>
      <c r="AA134" s="443"/>
      <c r="AB134" s="443"/>
      <c r="AC134" s="443"/>
      <c r="AD134" s="443"/>
      <c r="AE134" s="443"/>
      <c r="AF134" s="443"/>
      <c r="AG134" s="443"/>
      <c r="AH134" s="443"/>
      <c r="AI134" s="443"/>
      <c r="AJ134" s="443"/>
      <c r="AK134" s="444"/>
    </row>
    <row r="135" spans="2:37" ht="12.75" customHeight="1" thickTop="1" x14ac:dyDescent="0.25">
      <c r="B135" s="433"/>
      <c r="C135" s="445" t="s">
        <v>440</v>
      </c>
      <c r="D135" s="446"/>
      <c r="E135" s="1042"/>
      <c r="F135" s="435"/>
      <c r="G135" s="447">
        <v>0</v>
      </c>
      <c r="H135" s="447"/>
      <c r="I135" s="448"/>
      <c r="J135" s="449"/>
      <c r="K135" s="449"/>
      <c r="L135" s="449"/>
      <c r="M135" s="449"/>
      <c r="N135" s="449"/>
      <c r="O135" s="449"/>
      <c r="P135" s="449"/>
      <c r="Q135" s="449"/>
      <c r="R135" s="449"/>
      <c r="S135" s="449"/>
      <c r="T135" s="449"/>
      <c r="U135" s="449"/>
      <c r="V135" s="449"/>
      <c r="W135" s="449"/>
      <c r="X135" s="449"/>
      <c r="Y135" s="450"/>
      <c r="Z135" s="450"/>
      <c r="AA135" s="450"/>
      <c r="AB135" s="450"/>
      <c r="AC135" s="450"/>
      <c r="AD135" s="450"/>
      <c r="AE135" s="450"/>
      <c r="AF135" s="450"/>
      <c r="AG135" s="450"/>
      <c r="AH135" s="450"/>
      <c r="AI135" s="450"/>
      <c r="AJ135" s="450"/>
      <c r="AK135" s="450"/>
    </row>
    <row r="136" spans="2:37" ht="12.75" customHeight="1" x14ac:dyDescent="0.25">
      <c r="B136" s="433"/>
      <c r="C136" s="7" t="s">
        <v>441</v>
      </c>
      <c r="D136" s="65"/>
      <c r="E136" s="1043"/>
      <c r="F136" s="65"/>
      <c r="G136" s="436">
        <f>SUM(G130:G134)</f>
        <v>5488.2</v>
      </c>
      <c r="H136" s="436"/>
      <c r="I136" s="448"/>
      <c r="J136" s="449"/>
      <c r="K136" s="449"/>
      <c r="L136" s="449"/>
      <c r="M136" s="449"/>
      <c r="N136" s="449"/>
      <c r="O136" s="449"/>
      <c r="P136" s="449"/>
      <c r="Q136" s="449"/>
      <c r="R136" s="449"/>
      <c r="S136" s="449"/>
      <c r="T136" s="449"/>
      <c r="U136" s="449"/>
      <c r="V136" s="449"/>
      <c r="W136" s="449"/>
      <c r="X136" s="449"/>
      <c r="Y136" s="450"/>
      <c r="Z136" s="450"/>
      <c r="AA136" s="450"/>
      <c r="AB136" s="450"/>
      <c r="AC136" s="450"/>
      <c r="AD136" s="450"/>
      <c r="AE136" s="450"/>
      <c r="AF136" s="450"/>
      <c r="AG136" s="450"/>
      <c r="AH136" s="450"/>
      <c r="AI136" s="450"/>
      <c r="AJ136" s="450"/>
      <c r="AK136" s="450"/>
    </row>
    <row r="137" spans="2:37" ht="12.75" customHeight="1" x14ac:dyDescent="0.25">
      <c r="B137" s="433" t="s">
        <v>6</v>
      </c>
      <c r="C137" s="451" t="s">
        <v>442</v>
      </c>
      <c r="D137" s="452"/>
      <c r="E137" s="1044"/>
      <c r="F137" s="453"/>
      <c r="G137" s="454">
        <f>'Pork Leg Deboning'!F51+Middles!H119+shoulders!G43</f>
        <v>5488.2</v>
      </c>
      <c r="H137" s="454"/>
      <c r="I137" s="448"/>
      <c r="J137" s="449"/>
      <c r="K137" s="449"/>
      <c r="L137" s="449"/>
      <c r="M137" s="449"/>
      <c r="N137" s="449"/>
      <c r="O137" s="449"/>
      <c r="P137" s="449"/>
      <c r="Q137" s="449"/>
      <c r="R137" s="449"/>
      <c r="S137" s="449"/>
      <c r="T137" s="449"/>
      <c r="U137" s="449"/>
      <c r="V137" s="449"/>
      <c r="W137" s="449"/>
      <c r="X137" s="449"/>
      <c r="Y137" s="450"/>
      <c r="Z137" s="450"/>
      <c r="AA137" s="450"/>
      <c r="AB137" s="450"/>
      <c r="AC137" s="450"/>
      <c r="AD137" s="450"/>
      <c r="AE137" s="450"/>
      <c r="AF137" s="450"/>
      <c r="AG137" s="450"/>
      <c r="AH137" s="450"/>
      <c r="AI137" s="450"/>
      <c r="AJ137" s="450"/>
      <c r="AK137" s="450"/>
    </row>
    <row r="138" spans="2:37" ht="12.75" customHeight="1" thickBot="1" x14ac:dyDescent="0.3">
      <c r="B138" s="455"/>
      <c r="C138" s="456" t="s">
        <v>54</v>
      </c>
      <c r="D138" s="457"/>
      <c r="E138" s="1045"/>
      <c r="F138" s="458"/>
      <c r="G138" s="459">
        <f>G136-G137</f>
        <v>0</v>
      </c>
      <c r="H138" s="459"/>
      <c r="I138" s="460"/>
      <c r="J138" s="461"/>
      <c r="K138" s="461"/>
      <c r="L138" s="461"/>
      <c r="M138" s="462"/>
      <c r="N138" s="463"/>
      <c r="O138" s="463"/>
      <c r="P138" s="463"/>
      <c r="Q138" s="463"/>
      <c r="R138" s="463"/>
      <c r="S138" s="463"/>
      <c r="T138" s="463"/>
      <c r="U138" s="463"/>
      <c r="V138" s="461"/>
      <c r="W138" s="464"/>
      <c r="X138" s="461"/>
      <c r="Y138" s="461"/>
      <c r="Z138" s="461"/>
      <c r="AA138" s="461"/>
      <c r="AB138" s="461"/>
      <c r="AC138" s="461"/>
      <c r="AD138" s="461"/>
      <c r="AE138" s="461"/>
      <c r="AF138" s="461"/>
      <c r="AG138" s="461"/>
      <c r="AH138" s="461"/>
      <c r="AI138" s="461"/>
      <c r="AJ138" s="461"/>
      <c r="AK138" s="461"/>
    </row>
    <row r="139" spans="2:37" ht="12.75" customHeight="1" thickTop="1" x14ac:dyDescent="0.25">
      <c r="B139" s="465"/>
      <c r="C139" s="465"/>
      <c r="D139" s="466"/>
      <c r="E139" s="1046"/>
      <c r="F139" s="467"/>
      <c r="G139" s="468"/>
      <c r="H139" s="468"/>
      <c r="I139" s="469"/>
      <c r="J139" s="450"/>
      <c r="K139" s="450"/>
      <c r="L139" s="450"/>
      <c r="M139" s="470"/>
      <c r="N139" s="471"/>
      <c r="O139" s="471"/>
      <c r="P139" s="471"/>
      <c r="Q139" s="471"/>
      <c r="R139" s="471"/>
      <c r="S139" s="471"/>
      <c r="T139" s="471"/>
      <c r="U139" s="471"/>
      <c r="V139" s="450"/>
      <c r="W139" s="472"/>
      <c r="X139" s="450"/>
      <c r="Y139" s="450"/>
      <c r="Z139" s="450"/>
      <c r="AA139" s="450"/>
      <c r="AB139" s="450"/>
      <c r="AC139" s="450"/>
      <c r="AD139" s="450"/>
      <c r="AE139" s="450"/>
      <c r="AF139" s="450"/>
      <c r="AG139" s="450"/>
      <c r="AH139" s="450"/>
      <c r="AI139" s="450"/>
      <c r="AJ139" s="450"/>
      <c r="AK139" s="450"/>
    </row>
    <row r="140" spans="2:37" ht="12.75" customHeight="1" thickBot="1" x14ac:dyDescent="0.3">
      <c r="B140" s="473"/>
      <c r="C140" s="473"/>
      <c r="D140" s="474"/>
      <c r="E140" s="240"/>
      <c r="F140" s="475"/>
      <c r="G140" s="476"/>
      <c r="H140" s="476"/>
      <c r="I140" s="465"/>
      <c r="J140" s="450"/>
      <c r="K140" s="450"/>
      <c r="L140" s="450"/>
      <c r="M140" s="470"/>
      <c r="N140" s="450"/>
      <c r="O140" s="450"/>
      <c r="P140" s="450"/>
      <c r="Q140" s="450"/>
      <c r="R140" s="450"/>
      <c r="S140" s="450"/>
      <c r="T140" s="450"/>
      <c r="U140" s="450"/>
      <c r="V140" s="450"/>
      <c r="W140" s="450"/>
      <c r="X140" s="450"/>
      <c r="Y140" s="450"/>
      <c r="Z140" s="450"/>
      <c r="AA140" s="450"/>
      <c r="AB140" s="450"/>
      <c r="AC140" s="450"/>
      <c r="AD140" s="450"/>
      <c r="AE140" s="450"/>
      <c r="AF140" s="450"/>
      <c r="AG140" s="450"/>
      <c r="AH140" s="450"/>
      <c r="AI140" s="450"/>
      <c r="AJ140" s="450"/>
      <c r="AK140" s="450"/>
    </row>
    <row r="141" spans="2:37" ht="12.75" customHeight="1" thickBot="1" x14ac:dyDescent="0.3">
      <c r="B141" s="477" t="s">
        <v>443</v>
      </c>
      <c r="C141" s="478" t="s">
        <v>444</v>
      </c>
      <c r="D141" s="479"/>
      <c r="E141" s="1047"/>
      <c r="F141" s="479"/>
      <c r="G141" s="476"/>
      <c r="H141" s="476"/>
      <c r="I141" s="465"/>
      <c r="J141" s="450"/>
      <c r="K141" s="450"/>
      <c r="L141" s="450"/>
      <c r="M141" s="470"/>
      <c r="N141" s="450"/>
      <c r="O141" s="450"/>
      <c r="P141" s="450"/>
      <c r="Q141" s="450"/>
      <c r="R141" s="450"/>
      <c r="S141" s="450"/>
      <c r="T141" s="450"/>
      <c r="U141" s="450"/>
      <c r="V141" s="450"/>
      <c r="W141" s="450"/>
      <c r="X141" s="450"/>
      <c r="Y141" s="450"/>
      <c r="Z141" s="450"/>
      <c r="AA141" s="450"/>
      <c r="AB141" s="450"/>
      <c r="AC141" s="450"/>
      <c r="AD141" s="450"/>
      <c r="AE141" s="450"/>
      <c r="AF141" s="450"/>
      <c r="AG141" s="450"/>
      <c r="AH141" s="450"/>
      <c r="AI141" s="450"/>
      <c r="AJ141" s="450"/>
      <c r="AK141" s="450"/>
    </row>
    <row r="142" spans="2:37" ht="12.75" customHeight="1" thickTop="1" x14ac:dyDescent="0.25">
      <c r="B142" s="480" t="s">
        <v>240</v>
      </c>
      <c r="C142" s="481" t="s">
        <v>380</v>
      </c>
      <c r="D142" s="482"/>
      <c r="E142" s="1048"/>
      <c r="F142" s="483"/>
      <c r="G142" s="484">
        <f>G133</f>
        <v>1475.9</v>
      </c>
      <c r="H142" s="484"/>
      <c r="I142" s="465"/>
      <c r="J142" s="450"/>
      <c r="K142" s="450"/>
      <c r="L142" s="450"/>
      <c r="M142" s="450"/>
      <c r="N142" s="450"/>
      <c r="O142" s="450"/>
      <c r="P142" s="450"/>
      <c r="Q142" s="450"/>
      <c r="R142" s="450"/>
      <c r="S142" s="450"/>
      <c r="T142" s="450"/>
      <c r="U142" s="450"/>
      <c r="V142" s="450"/>
      <c r="W142" s="450"/>
      <c r="X142" s="450"/>
      <c r="Y142" s="450"/>
      <c r="Z142" s="450"/>
      <c r="AA142" s="450"/>
      <c r="AB142" s="450"/>
      <c r="AC142" s="450"/>
      <c r="AD142" s="450"/>
      <c r="AE142" s="450"/>
      <c r="AF142" s="450"/>
      <c r="AG142" s="450"/>
      <c r="AH142" s="450"/>
      <c r="AI142" s="450"/>
      <c r="AJ142" s="450"/>
      <c r="AK142" s="450"/>
    </row>
    <row r="143" spans="2:37" ht="12.75" customHeight="1" x14ac:dyDescent="0.25">
      <c r="B143" s="485" t="s">
        <v>314</v>
      </c>
      <c r="C143" s="486" t="s">
        <v>445</v>
      </c>
      <c r="D143" s="487"/>
      <c r="E143" s="1049"/>
      <c r="F143" s="488"/>
      <c r="G143" s="440">
        <f>G144-G142+(G142/10)</f>
        <v>-1328.3100000000002</v>
      </c>
      <c r="H143" s="440"/>
      <c r="I143" s="465"/>
      <c r="J143" s="450"/>
      <c r="K143" s="450"/>
      <c r="L143" s="450"/>
      <c r="M143" s="450"/>
      <c r="N143" s="450"/>
      <c r="O143" s="450"/>
      <c r="P143" s="450"/>
      <c r="Q143" s="450"/>
      <c r="R143" s="450"/>
      <c r="S143" s="450"/>
      <c r="T143" s="450"/>
      <c r="U143" s="450"/>
      <c r="V143" s="450"/>
      <c r="W143" s="450"/>
      <c r="X143" s="450"/>
      <c r="Y143" s="450"/>
      <c r="Z143" s="450"/>
      <c r="AA143" s="450"/>
      <c r="AB143" s="450"/>
      <c r="AC143" s="450"/>
      <c r="AD143" s="450"/>
      <c r="AE143" s="450"/>
      <c r="AF143" s="450"/>
      <c r="AG143" s="450"/>
      <c r="AH143" s="450"/>
      <c r="AI143" s="450"/>
      <c r="AJ143" s="450"/>
      <c r="AK143" s="450"/>
    </row>
    <row r="144" spans="2:37" ht="12.75" customHeight="1" thickBot="1" x14ac:dyDescent="0.3">
      <c r="B144" s="489" t="s">
        <v>316</v>
      </c>
      <c r="C144" s="490" t="s">
        <v>446</v>
      </c>
      <c r="D144" s="491"/>
      <c r="E144" s="1050"/>
      <c r="F144" s="492"/>
      <c r="G144" s="493"/>
      <c r="H144" s="493"/>
      <c r="I144" s="465"/>
      <c r="J144" s="450"/>
      <c r="K144" s="450"/>
      <c r="L144" s="450"/>
      <c r="M144" s="450"/>
      <c r="N144" s="450"/>
      <c r="O144" s="450"/>
      <c r="P144" s="450"/>
      <c r="Q144" s="450"/>
      <c r="R144" s="450"/>
      <c r="S144" s="450"/>
      <c r="T144" s="450"/>
      <c r="U144" s="450"/>
      <c r="V144" s="450"/>
      <c r="W144" s="450"/>
      <c r="X144" s="450"/>
      <c r="Y144" s="450"/>
      <c r="Z144" s="450"/>
      <c r="AA144" s="450"/>
      <c r="AB144" s="450"/>
      <c r="AC144" s="450"/>
      <c r="AD144" s="450"/>
      <c r="AE144" s="450"/>
      <c r="AF144" s="450"/>
      <c r="AG144" s="450"/>
      <c r="AH144" s="450"/>
      <c r="AI144" s="450"/>
      <c r="AJ144" s="450"/>
      <c r="AK144" s="450"/>
    </row>
    <row r="145" spans="2:37" ht="12.75" customHeight="1" thickTop="1" thickBot="1" x14ac:dyDescent="0.3">
      <c r="B145" s="476"/>
      <c r="C145" s="476"/>
      <c r="D145" s="494"/>
      <c r="E145" s="1051"/>
      <c r="F145" s="495"/>
      <c r="G145" s="476"/>
      <c r="H145" s="476"/>
      <c r="I145" s="465"/>
      <c r="J145" s="450"/>
      <c r="K145" s="450"/>
      <c r="L145" s="450"/>
      <c r="M145" s="450"/>
      <c r="N145" s="450"/>
      <c r="O145" s="450"/>
      <c r="P145" s="450"/>
      <c r="Q145" s="450"/>
      <c r="R145" s="450"/>
      <c r="S145" s="450"/>
      <c r="T145" s="450"/>
      <c r="U145" s="450"/>
      <c r="V145" s="450"/>
      <c r="W145" s="450"/>
      <c r="X145" s="450"/>
      <c r="Y145" s="450"/>
      <c r="Z145" s="450"/>
      <c r="AA145" s="450"/>
      <c r="AB145" s="450"/>
      <c r="AC145" s="450"/>
      <c r="AD145" s="450"/>
      <c r="AE145" s="450"/>
      <c r="AF145" s="450"/>
      <c r="AG145" s="450"/>
      <c r="AH145" s="450"/>
      <c r="AI145" s="450"/>
      <c r="AJ145" s="450"/>
      <c r="AK145" s="450"/>
    </row>
    <row r="146" spans="2:37" ht="12.75" customHeight="1" thickBot="1" x14ac:dyDescent="0.3">
      <c r="B146" s="477" t="s">
        <v>447</v>
      </c>
      <c r="C146" s="478" t="s">
        <v>448</v>
      </c>
      <c r="D146" s="479"/>
      <c r="E146" s="1047"/>
      <c r="F146" s="479"/>
      <c r="G146" s="476"/>
      <c r="H146" s="476"/>
      <c r="I146" s="465"/>
      <c r="J146" s="450"/>
      <c r="K146" s="450"/>
      <c r="L146" s="450"/>
      <c r="M146" s="450"/>
      <c r="N146" s="450"/>
      <c r="O146" s="450"/>
      <c r="P146" s="450"/>
      <c r="Q146" s="450"/>
      <c r="R146" s="450"/>
      <c r="S146" s="450"/>
      <c r="T146" s="450"/>
      <c r="U146" s="450"/>
      <c r="V146" s="450"/>
      <c r="W146" s="450"/>
      <c r="X146" s="450"/>
      <c r="Y146" s="450"/>
      <c r="Z146" s="450"/>
      <c r="AA146" s="450"/>
      <c r="AB146" s="450"/>
      <c r="AC146" s="450"/>
      <c r="AD146" s="450"/>
      <c r="AE146" s="450"/>
      <c r="AF146" s="450"/>
      <c r="AG146" s="450"/>
      <c r="AH146" s="450"/>
      <c r="AI146" s="450"/>
      <c r="AJ146" s="450"/>
      <c r="AK146" s="450"/>
    </row>
    <row r="147" spans="2:37" ht="12.75" customHeight="1" thickTop="1" x14ac:dyDescent="0.25">
      <c r="B147" s="480" t="s">
        <v>315</v>
      </c>
      <c r="C147" s="481" t="s">
        <v>449</v>
      </c>
      <c r="D147" s="482"/>
      <c r="E147" s="1048"/>
      <c r="F147" s="483"/>
      <c r="G147" s="484">
        <f>+G131</f>
        <v>1704.1</v>
      </c>
      <c r="H147" s="484"/>
      <c r="I147" s="465"/>
      <c r="J147" s="450"/>
      <c r="K147" s="450"/>
      <c r="L147" s="450"/>
      <c r="M147" s="450"/>
      <c r="N147" s="450"/>
      <c r="O147" s="450"/>
      <c r="P147" s="450"/>
      <c r="Q147" s="450"/>
      <c r="R147" s="450"/>
      <c r="S147" s="450"/>
      <c r="T147" s="450"/>
      <c r="U147" s="450"/>
      <c r="V147" s="450"/>
      <c r="W147" s="450"/>
      <c r="X147" s="450"/>
      <c r="Y147" s="450"/>
      <c r="Z147" s="450"/>
      <c r="AA147" s="450"/>
      <c r="AB147" s="450"/>
      <c r="AC147" s="450"/>
      <c r="AD147" s="450"/>
      <c r="AE147" s="450"/>
      <c r="AF147" s="450"/>
      <c r="AG147" s="450"/>
      <c r="AH147" s="450"/>
      <c r="AI147" s="450"/>
      <c r="AJ147" s="450"/>
      <c r="AK147" s="450"/>
    </row>
    <row r="148" spans="2:37" ht="12.75" customHeight="1" x14ac:dyDescent="0.25">
      <c r="B148" s="485" t="s">
        <v>314</v>
      </c>
      <c r="C148" s="486" t="s">
        <v>450</v>
      </c>
      <c r="D148" s="487"/>
      <c r="E148" s="1049"/>
      <c r="F148" s="488"/>
      <c r="G148" s="440">
        <f>SUM(G149-G147)+(G147/10)</f>
        <v>-1533.6899999999998</v>
      </c>
      <c r="H148" s="440"/>
      <c r="I148" s="465"/>
      <c r="J148" s="450"/>
      <c r="K148" s="450"/>
      <c r="L148" s="450"/>
      <c r="M148" s="450"/>
      <c r="N148" s="450"/>
      <c r="O148" s="450"/>
      <c r="P148" s="450"/>
      <c r="Q148" s="450"/>
      <c r="R148" s="450"/>
      <c r="S148" s="450"/>
      <c r="T148" s="450"/>
      <c r="U148" s="450"/>
      <c r="V148" s="450"/>
      <c r="W148" s="450"/>
      <c r="X148" s="450"/>
      <c r="Y148" s="450"/>
      <c r="Z148" s="450"/>
      <c r="AA148" s="450"/>
      <c r="AB148" s="450"/>
      <c r="AC148" s="450"/>
      <c r="AD148" s="450"/>
      <c r="AE148" s="450"/>
      <c r="AF148" s="450"/>
      <c r="AG148" s="450"/>
      <c r="AH148" s="450"/>
      <c r="AI148" s="450"/>
      <c r="AJ148" s="450"/>
      <c r="AK148" s="450"/>
    </row>
    <row r="149" spans="2:37" ht="12.75" customHeight="1" thickBot="1" x14ac:dyDescent="0.3">
      <c r="B149" s="489" t="s">
        <v>313</v>
      </c>
      <c r="C149" s="490" t="s">
        <v>451</v>
      </c>
      <c r="D149" s="491"/>
      <c r="E149" s="1050"/>
      <c r="F149" s="492"/>
      <c r="G149" s="493"/>
      <c r="H149" s="493"/>
      <c r="I149" s="465"/>
      <c r="J149" s="450"/>
      <c r="K149" s="450"/>
      <c r="L149" s="450"/>
      <c r="M149" s="450"/>
      <c r="N149" s="450"/>
      <c r="O149" s="450"/>
      <c r="P149" s="450"/>
      <c r="Q149" s="450"/>
      <c r="R149" s="450"/>
      <c r="S149" s="450"/>
      <c r="T149" s="450"/>
      <c r="U149" s="450"/>
      <c r="V149" s="450"/>
      <c r="W149" s="450"/>
      <c r="X149" s="450"/>
      <c r="Y149" s="450"/>
      <c r="Z149" s="450"/>
      <c r="AA149" s="450"/>
      <c r="AB149" s="450"/>
      <c r="AC149" s="450"/>
      <c r="AD149" s="450"/>
      <c r="AE149" s="450"/>
      <c r="AF149" s="450"/>
      <c r="AG149" s="450"/>
      <c r="AH149" s="450"/>
      <c r="AI149" s="450"/>
      <c r="AJ149" s="450"/>
      <c r="AK149" s="450"/>
    </row>
    <row r="150" spans="2:37" ht="12.75" customHeight="1" thickTop="1" x14ac:dyDescent="0.25"/>
  </sheetData>
  <protectedRanges>
    <protectedRange sqref="C15:C20 C45:C47 C10:C12 C23 C26:C34 C37 C40:C42 C50:C56 C59:C62 C65:C70 C73 C76:C79 C82:C88" name="SelectMIddleRecipe" securityDescriptor="O:WDG:WDD:(A;;CC;;;S-1-5-21-2181712467-3974011150-3365091815-13180)(A;;CC;;;S-1-5-21-2181712467-3974011150-3365091815-14483)"/>
  </protectedRanges>
  <mergeCells count="18">
    <mergeCell ref="J89:AK92"/>
    <mergeCell ref="J3:AK6"/>
    <mergeCell ref="B6:I6"/>
    <mergeCell ref="B7:C7"/>
    <mergeCell ref="B89:E89"/>
    <mergeCell ref="B90:E90"/>
    <mergeCell ref="D2:I2"/>
    <mergeCell ref="I115:I116"/>
    <mergeCell ref="B3:I3"/>
    <mergeCell ref="B91:E91"/>
    <mergeCell ref="I117:I118"/>
    <mergeCell ref="I119:I120"/>
    <mergeCell ref="C129:G129"/>
    <mergeCell ref="B93:I93"/>
    <mergeCell ref="I109:I110"/>
    <mergeCell ref="I111:I112"/>
    <mergeCell ref="I113:I114"/>
    <mergeCell ref="I107:I108"/>
  </mergeCells>
  <dataValidations disablePrompts="1" count="1">
    <dataValidation allowBlank="1" showInputMessage="1" showErrorMessage="1" prompt="Main By Product is Pieces" sqref="D4" xr:uid="{00000000-0002-0000-0400-000000000000}"/>
  </dataValidations>
  <printOptions horizontalCentered="1" verticalCentered="1"/>
  <pageMargins left="0.25" right="0.25" top="0.75" bottom="0.75" header="0.3" footer="0.3"/>
  <pageSetup paperSize="9" scale="68" fitToWidth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Shoulders">
    <tabColor theme="0"/>
    <pageSetUpPr fitToPage="1"/>
  </sheetPr>
  <dimension ref="A1:AW113"/>
  <sheetViews>
    <sheetView showGridLines="0" zoomScaleNormal="100" workbookViewId="0">
      <selection activeCell="G19" sqref="G19"/>
    </sheetView>
  </sheetViews>
  <sheetFormatPr defaultColWidth="7.42578125" defaultRowHeight="12.75" customHeight="1" outlineLevelCol="1" x14ac:dyDescent="0.25"/>
  <cols>
    <col min="1" max="1" width="3.140625" customWidth="1"/>
    <col min="2" max="2" width="7.140625" bestFit="1" customWidth="1"/>
    <col min="3" max="3" width="30.140625" customWidth="1"/>
    <col min="4" max="4" width="10" customWidth="1" outlineLevel="1"/>
    <col min="5" max="5" width="11.85546875" customWidth="1" outlineLevel="1"/>
    <col min="6" max="8" width="11.7109375" customWidth="1"/>
    <col min="9" max="9" width="6.28515625" customWidth="1"/>
    <col min="10" max="10" width="8.7109375" customWidth="1"/>
    <col min="11" max="36" width="6.28515625" customWidth="1"/>
    <col min="40" max="40" width="7.7109375" customWidth="1" outlineLevel="1"/>
    <col min="41" max="41" width="18.28515625" customWidth="1" outlineLevel="1"/>
    <col min="42" max="42" width="9" customWidth="1" outlineLevel="1"/>
    <col min="43" max="43" width="10" customWidth="1" outlineLevel="1"/>
    <col min="44" max="47" width="12.7109375" customWidth="1" outlineLevel="1"/>
    <col min="48" max="48" width="12" customWidth="1" outlineLevel="1"/>
    <col min="49" max="49" width="7.42578125" customWidth="1" outlineLevel="1"/>
  </cols>
  <sheetData>
    <row r="1" spans="1:48" ht="12.75" customHeight="1" thickBot="1" x14ac:dyDescent="0.3">
      <c r="B1" s="2"/>
      <c r="H1" s="35"/>
      <c r="AN1" s="2"/>
      <c r="AO1" s="1308" t="s">
        <v>987</v>
      </c>
      <c r="AP1" s="1308"/>
      <c r="AQ1" s="1308"/>
      <c r="AR1" s="1308"/>
      <c r="AS1" s="1308"/>
      <c r="AT1" s="1308"/>
      <c r="AU1" s="1308"/>
      <c r="AV1" s="1308"/>
    </row>
    <row r="2" spans="1:48" ht="12.75" customHeight="1" thickBot="1" x14ac:dyDescent="0.3">
      <c r="A2" s="473"/>
      <c r="B2" s="500" t="s">
        <v>0</v>
      </c>
      <c r="C2" s="501" t="str">
        <f>IF('Pork Breaking'!C2&gt;0, 'Pork Breaking'!C2," ")</f>
        <v>Date</v>
      </c>
      <c r="D2" s="502"/>
      <c r="E2" s="502"/>
      <c r="F2" s="601"/>
      <c r="G2" s="601"/>
      <c r="H2" s="169"/>
      <c r="I2" s="601"/>
      <c r="J2" s="473"/>
      <c r="K2" s="496"/>
      <c r="L2" s="602"/>
      <c r="M2" s="473"/>
      <c r="N2" s="473"/>
      <c r="O2" s="473"/>
      <c r="P2" s="473"/>
      <c r="Q2" s="473"/>
      <c r="R2" s="473"/>
      <c r="S2" s="473"/>
      <c r="T2" s="473"/>
      <c r="U2" s="473"/>
      <c r="V2" s="473"/>
      <c r="W2" s="473"/>
      <c r="X2" s="473"/>
      <c r="Y2" s="473"/>
      <c r="Z2" s="473"/>
      <c r="AA2" s="473"/>
      <c r="AB2" s="473"/>
      <c r="AC2" s="473"/>
      <c r="AD2" s="473"/>
      <c r="AE2" s="473"/>
      <c r="AF2" s="473"/>
      <c r="AG2" s="473"/>
      <c r="AH2" s="473"/>
      <c r="AI2" s="473"/>
      <c r="AJ2" s="473"/>
      <c r="AN2" s="2"/>
      <c r="AO2" s="1309"/>
      <c r="AP2" s="1309"/>
      <c r="AQ2" s="1309"/>
      <c r="AR2" s="1309"/>
      <c r="AS2" s="1309"/>
      <c r="AT2" s="1309"/>
      <c r="AU2" s="1309"/>
      <c r="AV2" s="1309"/>
    </row>
    <row r="3" spans="1:48" ht="12.75" customHeight="1" thickBot="1" x14ac:dyDescent="0.3">
      <c r="A3" s="603"/>
      <c r="B3" s="1294" t="s">
        <v>10</v>
      </c>
      <c r="C3" s="1295"/>
      <c r="D3" s="1295"/>
      <c r="E3" s="1295"/>
      <c r="F3" s="1295"/>
      <c r="G3" s="1295"/>
      <c r="H3" s="1295"/>
      <c r="I3" s="1296" t="s">
        <v>170</v>
      </c>
      <c r="J3" s="1297"/>
      <c r="K3" s="1297"/>
      <c r="L3" s="1297"/>
      <c r="M3" s="1297"/>
      <c r="N3" s="1297"/>
      <c r="O3" s="1297"/>
      <c r="P3" s="1297"/>
      <c r="Q3" s="1297"/>
      <c r="R3" s="1297"/>
      <c r="S3" s="1297"/>
      <c r="T3" s="1297"/>
      <c r="U3" s="1297"/>
      <c r="V3" s="1297"/>
      <c r="W3" s="1297"/>
      <c r="X3" s="1297"/>
      <c r="Y3" s="1297"/>
      <c r="Z3" s="1297"/>
      <c r="AA3" s="1297"/>
      <c r="AB3" s="1297"/>
      <c r="AC3" s="1297"/>
      <c r="AD3" s="1297"/>
      <c r="AE3" s="1297"/>
      <c r="AF3" s="1297"/>
      <c r="AG3" s="1297"/>
      <c r="AH3" s="1297"/>
      <c r="AI3" s="1297"/>
      <c r="AJ3" s="1298"/>
      <c r="AN3" s="2"/>
      <c r="AO3" s="2"/>
      <c r="AP3" s="2"/>
      <c r="AQ3" s="898"/>
      <c r="AR3" s="898"/>
      <c r="AS3" s="898"/>
      <c r="AT3" s="898"/>
      <c r="AU3" s="898"/>
    </row>
    <row r="4" spans="1:48" ht="12.75" customHeight="1" x14ac:dyDescent="0.25">
      <c r="A4" s="473"/>
      <c r="B4" s="3" t="s">
        <v>8</v>
      </c>
      <c r="C4" s="4" t="s">
        <v>168</v>
      </c>
      <c r="D4" s="4"/>
      <c r="E4" s="4"/>
      <c r="F4" s="4" t="s">
        <v>11</v>
      </c>
      <c r="G4" s="5" t="s">
        <v>43</v>
      </c>
      <c r="H4" s="38" t="s">
        <v>169</v>
      </c>
      <c r="I4" s="1299"/>
      <c r="J4" s="1300"/>
      <c r="K4" s="1300"/>
      <c r="L4" s="1300"/>
      <c r="M4" s="1300"/>
      <c r="N4" s="1300"/>
      <c r="O4" s="1300"/>
      <c r="P4" s="1300"/>
      <c r="Q4" s="1300"/>
      <c r="R4" s="1300"/>
      <c r="S4" s="1300"/>
      <c r="T4" s="1300"/>
      <c r="U4" s="1300"/>
      <c r="V4" s="1300"/>
      <c r="W4" s="1300"/>
      <c r="X4" s="1300"/>
      <c r="Y4" s="1300"/>
      <c r="Z4" s="1300"/>
      <c r="AA4" s="1300"/>
      <c r="AB4" s="1300"/>
      <c r="AC4" s="1300"/>
      <c r="AD4" s="1300"/>
      <c r="AE4" s="1300"/>
      <c r="AF4" s="1300"/>
      <c r="AG4" s="1300"/>
      <c r="AH4" s="1300"/>
      <c r="AI4" s="1300"/>
      <c r="AJ4" s="1301"/>
      <c r="AN4" s="905"/>
      <c r="AO4" s="906" t="s">
        <v>974</v>
      </c>
      <c r="AP4" s="906" t="s">
        <v>975</v>
      </c>
      <c r="AQ4" s="907" t="s">
        <v>976</v>
      </c>
      <c r="AR4" s="908" t="s">
        <v>972</v>
      </c>
      <c r="AS4" s="909" t="s">
        <v>973</v>
      </c>
      <c r="AT4" s="908" t="s">
        <v>972</v>
      </c>
      <c r="AU4" s="908" t="s">
        <v>108</v>
      </c>
      <c r="AV4" s="908" t="s">
        <v>11</v>
      </c>
    </row>
    <row r="5" spans="1:48" ht="18" customHeight="1" thickBot="1" x14ac:dyDescent="0.3">
      <c r="A5" s="604"/>
      <c r="B5" s="152" t="s">
        <v>45</v>
      </c>
      <c r="C5" s="153" t="s">
        <v>543</v>
      </c>
      <c r="D5" s="154"/>
      <c r="E5" s="154"/>
      <c r="F5" s="264">
        <f>'Pork Breaking'!D30</f>
        <v>1108</v>
      </c>
      <c r="G5" s="265">
        <f>'Pork Breaking'!E30</f>
        <v>11176.1</v>
      </c>
      <c r="H5" s="266">
        <v>100</v>
      </c>
      <c r="I5" s="1299"/>
      <c r="J5" s="1300"/>
      <c r="K5" s="1300"/>
      <c r="L5" s="1300"/>
      <c r="M5" s="1300"/>
      <c r="N5" s="1300"/>
      <c r="O5" s="1300"/>
      <c r="P5" s="1300"/>
      <c r="Q5" s="1300"/>
      <c r="R5" s="1300"/>
      <c r="S5" s="1300"/>
      <c r="T5" s="1300"/>
      <c r="U5" s="1300"/>
      <c r="V5" s="1300"/>
      <c r="W5" s="1300"/>
      <c r="X5" s="1300"/>
      <c r="Y5" s="1300"/>
      <c r="Z5" s="1300"/>
      <c r="AA5" s="1300"/>
      <c r="AB5" s="1300"/>
      <c r="AC5" s="1300"/>
      <c r="AD5" s="1300"/>
      <c r="AE5" s="1300"/>
      <c r="AF5" s="1300"/>
      <c r="AG5" s="1300"/>
      <c r="AH5" s="1300"/>
      <c r="AI5" s="1300"/>
      <c r="AJ5" s="1301"/>
      <c r="AN5" s="2"/>
      <c r="AO5" s="901">
        <f>'New Deboning Shoulder'!D2</f>
        <v>10.086732851985559</v>
      </c>
      <c r="AP5" s="901"/>
      <c r="AQ5" s="900"/>
      <c r="AR5" s="902">
        <f>G41</f>
        <v>14.7</v>
      </c>
      <c r="AS5" s="903">
        <f>G49/0.3</f>
        <v>736.66666666666674</v>
      </c>
      <c r="AT5" s="902">
        <f>SUM(AR5:AS5)</f>
        <v>751.36666666666679</v>
      </c>
      <c r="AU5" s="902"/>
      <c r="AV5" s="904"/>
    </row>
    <row r="6" spans="1:48" ht="21.75" thickBot="1" x14ac:dyDescent="0.4">
      <c r="A6" s="473"/>
      <c r="B6" s="1305" t="s">
        <v>171</v>
      </c>
      <c r="C6" s="1306"/>
      <c r="D6" s="1306"/>
      <c r="E6" s="1306"/>
      <c r="F6" s="1306"/>
      <c r="G6" s="1306"/>
      <c r="H6" s="1306"/>
      <c r="I6" s="1302"/>
      <c r="J6" s="1303"/>
      <c r="K6" s="1303"/>
      <c r="L6" s="1303"/>
      <c r="M6" s="1303"/>
      <c r="N6" s="1303"/>
      <c r="O6" s="1303"/>
      <c r="P6" s="1303"/>
      <c r="Q6" s="1303"/>
      <c r="R6" s="1303"/>
      <c r="S6" s="1303"/>
      <c r="T6" s="1303"/>
      <c r="U6" s="1303"/>
      <c r="V6" s="1303"/>
      <c r="W6" s="1303"/>
      <c r="X6" s="1303"/>
      <c r="Y6" s="1303"/>
      <c r="Z6" s="1303"/>
      <c r="AA6" s="1303"/>
      <c r="AB6" s="1303"/>
      <c r="AC6" s="1303"/>
      <c r="AD6" s="1303"/>
      <c r="AE6" s="1303"/>
      <c r="AF6" s="1303"/>
      <c r="AG6" s="1303"/>
      <c r="AH6" s="1303"/>
      <c r="AI6" s="1303"/>
      <c r="AJ6" s="1304"/>
      <c r="AN6" s="2"/>
      <c r="AO6" s="2"/>
      <c r="AP6" s="2"/>
      <c r="AQ6" s="898"/>
      <c r="AR6" s="898"/>
      <c r="AS6" s="898"/>
      <c r="AT6" s="898"/>
      <c r="AU6" s="898"/>
    </row>
    <row r="7" spans="1:48" ht="12.75" customHeight="1" thickBot="1" x14ac:dyDescent="0.3">
      <c r="A7" s="510"/>
      <c r="B7" s="605"/>
      <c r="C7" s="606"/>
      <c r="D7" s="607" t="s">
        <v>57</v>
      </c>
      <c r="E7" s="607" t="s">
        <v>616</v>
      </c>
      <c r="F7" s="552" t="s">
        <v>177</v>
      </c>
      <c r="G7" s="608" t="s">
        <v>178</v>
      </c>
      <c r="H7" s="609" t="s">
        <v>169</v>
      </c>
      <c r="I7" s="610" t="s">
        <v>172</v>
      </c>
      <c r="J7" s="611" t="s">
        <v>173</v>
      </c>
      <c r="K7" s="610" t="s">
        <v>172</v>
      </c>
      <c r="L7" s="612" t="s">
        <v>173</v>
      </c>
      <c r="M7" s="613" t="s">
        <v>172</v>
      </c>
      <c r="N7" s="611" t="s">
        <v>173</v>
      </c>
      <c r="O7" s="610" t="s">
        <v>172</v>
      </c>
      <c r="P7" s="612" t="s">
        <v>173</v>
      </c>
      <c r="Q7" s="613" t="s">
        <v>172</v>
      </c>
      <c r="R7" s="611" t="s">
        <v>173</v>
      </c>
      <c r="S7" s="610" t="s">
        <v>172</v>
      </c>
      <c r="T7" s="612" t="s">
        <v>173</v>
      </c>
      <c r="U7" s="613" t="s">
        <v>172</v>
      </c>
      <c r="V7" s="611" t="s">
        <v>173</v>
      </c>
      <c r="W7" s="610" t="s">
        <v>172</v>
      </c>
      <c r="X7" s="612" t="s">
        <v>173</v>
      </c>
      <c r="Y7" s="613" t="s">
        <v>172</v>
      </c>
      <c r="Z7" s="611" t="s">
        <v>173</v>
      </c>
      <c r="AA7" s="610" t="s">
        <v>172</v>
      </c>
      <c r="AB7" s="612" t="s">
        <v>173</v>
      </c>
      <c r="AC7" s="613" t="s">
        <v>172</v>
      </c>
      <c r="AD7" s="611" t="s">
        <v>173</v>
      </c>
      <c r="AE7" s="610" t="s">
        <v>172</v>
      </c>
      <c r="AF7" s="612" t="s">
        <v>173</v>
      </c>
      <c r="AG7" s="613" t="s">
        <v>172</v>
      </c>
      <c r="AH7" s="611" t="s">
        <v>173</v>
      </c>
      <c r="AI7" s="610" t="s">
        <v>172</v>
      </c>
      <c r="AJ7" s="611" t="s">
        <v>173</v>
      </c>
      <c r="AN7" s="2"/>
      <c r="AO7" s="2"/>
      <c r="AP7" s="2"/>
      <c r="AQ7" s="898"/>
      <c r="AR7" s="898"/>
      <c r="AS7" s="898"/>
      <c r="AT7" s="898"/>
      <c r="AU7" s="898"/>
    </row>
    <row r="8" spans="1:48" ht="12.75" customHeight="1" x14ac:dyDescent="0.25">
      <c r="A8" s="473"/>
      <c r="B8" s="525" t="s">
        <v>12</v>
      </c>
      <c r="C8" s="614" t="s">
        <v>13</v>
      </c>
      <c r="D8" s="1081">
        <f t="array" ref="D8">IF(G8=0,0,_xlfn.IFNA(INDEX(NewRecipeTable[ShortCode],MATCH($B8&amp;"Yes",NewRecipeTable[Item No.]&amp;NewRecipeTable[Active Recipe],0)),))</f>
        <v>0</v>
      </c>
      <c r="E8" s="526" t="str">
        <f>IF(($G$41+$G$49)&gt;0,"G1246","None")</f>
        <v>G1246</v>
      </c>
      <c r="F8" s="615">
        <f>I8+K8+M8+O8+Q8+S8+U8+W8+Y8+AA8+AC8+AE8+AG8+AI8+I9+K9+M9+O9+Q9+S9+U9+W9+Y9+AA9+AC9+AE9+AG9+AI9</f>
        <v>0</v>
      </c>
      <c r="G8" s="615">
        <f>J8+J9+L8+L9+N8+N9+P8+P9+R8+R9+T8+T9+V8+V9+X8+X9+Z8+Z9+AB8+AB9+AD8+AD9+AF8+AF9+AH8+AH9+AJ8+AJ9</f>
        <v>0</v>
      </c>
      <c r="H8" s="979">
        <f>IFERROR(G8/$G$53,)</f>
        <v>0</v>
      </c>
      <c r="I8" s="527">
        <f>[4]shoulders!C7</f>
        <v>0</v>
      </c>
      <c r="J8" s="617">
        <f>[4]shoulders!D7</f>
        <v>0</v>
      </c>
      <c r="K8" s="527"/>
      <c r="L8" s="529"/>
      <c r="M8" s="530"/>
      <c r="N8" s="528"/>
      <c r="O8" s="527"/>
      <c r="P8" s="529"/>
      <c r="Q8" s="530"/>
      <c r="R8" s="528"/>
      <c r="S8" s="527"/>
      <c r="T8" s="529"/>
      <c r="U8" s="530"/>
      <c r="V8" s="528"/>
      <c r="W8" s="527"/>
      <c r="X8" s="529"/>
      <c r="Y8" s="530"/>
      <c r="Z8" s="528"/>
      <c r="AA8" s="527"/>
      <c r="AB8" s="529"/>
      <c r="AC8" s="530"/>
      <c r="AD8" s="528"/>
      <c r="AE8" s="527"/>
      <c r="AF8" s="529"/>
      <c r="AG8" s="530"/>
      <c r="AH8" s="528"/>
      <c r="AI8" s="527"/>
      <c r="AJ8" s="528"/>
      <c r="AN8" s="2"/>
      <c r="AO8" s="2"/>
      <c r="AP8" s="2"/>
      <c r="AQ8" s="898"/>
      <c r="AR8" s="898"/>
      <c r="AS8" s="898"/>
      <c r="AT8" s="898"/>
      <c r="AU8" s="898"/>
    </row>
    <row r="9" spans="1:48" ht="12.75" customHeight="1" thickBot="1" x14ac:dyDescent="0.3">
      <c r="A9" s="473"/>
      <c r="B9" s="536"/>
      <c r="C9" s="618"/>
      <c r="D9" s="1086">
        <f t="array" ref="D9">IF(G9=0,0,_xlfn.IFNA(INDEX(NewRecipeTable[ShortCode],MATCH($B9&amp;"Yes",NewRecipeTable[Item No.]&amp;NewRecipeTable[Active Recipe],0)),))</f>
        <v>0</v>
      </c>
      <c r="E9" s="1082"/>
      <c r="F9" s="619"/>
      <c r="G9" s="619"/>
      <c r="H9" s="980"/>
      <c r="I9" s="543">
        <f>[4]shoulders!C8</f>
        <v>0</v>
      </c>
      <c r="J9" s="621">
        <f>[4]shoulders!D8</f>
        <v>0</v>
      </c>
      <c r="K9" s="543"/>
      <c r="L9" s="544"/>
      <c r="M9" s="542"/>
      <c r="N9" s="545"/>
      <c r="O9" s="543"/>
      <c r="P9" s="544"/>
      <c r="Q9" s="542"/>
      <c r="R9" s="545"/>
      <c r="S9" s="543"/>
      <c r="T9" s="544"/>
      <c r="U9" s="542"/>
      <c r="V9" s="545"/>
      <c r="W9" s="543"/>
      <c r="X9" s="544"/>
      <c r="Y9" s="542"/>
      <c r="Z9" s="545"/>
      <c r="AA9" s="543"/>
      <c r="AB9" s="544"/>
      <c r="AC9" s="542"/>
      <c r="AD9" s="545"/>
      <c r="AE9" s="543"/>
      <c r="AF9" s="544"/>
      <c r="AG9" s="542"/>
      <c r="AH9" s="545"/>
      <c r="AI9" s="543"/>
      <c r="AJ9" s="545"/>
      <c r="AN9" s="2"/>
      <c r="AO9" s="2"/>
      <c r="AP9" s="2"/>
      <c r="AQ9" s="898"/>
      <c r="AR9" s="898"/>
      <c r="AS9" s="898"/>
      <c r="AT9" s="898"/>
      <c r="AU9" s="898"/>
    </row>
    <row r="10" spans="1:48" ht="12.75" customHeight="1" x14ac:dyDescent="0.25">
      <c r="A10" s="473"/>
      <c r="B10" s="525" t="s">
        <v>15</v>
      </c>
      <c r="C10" s="614" t="s">
        <v>16</v>
      </c>
      <c r="D10" s="1081" t="str">
        <f t="array" ref="D10">IF(G10=0,0,_xlfn.IFNA(INDEX(NewRecipeTable[ShortCode],MATCH($B10&amp;"Yes",NewRecipeTable[Item No.]&amp;NewRecipeTable[Active Recipe],0)),))</f>
        <v>2D081160</v>
      </c>
      <c r="E10" s="526" t="str">
        <f>IF(($G$41+$G$49)&gt;0,"None","None")</f>
        <v>None</v>
      </c>
      <c r="F10" s="615">
        <f>I10+K10+M10+O10+Q10+S10+U10+W10+Y10+AA10+AC10+AE10+AG10+AI10+I11+K11+M11+O11+Q11+S11+U11+W11+Y11+AA11+AC11+AE11+AG11+AI11-F11</f>
        <v>40</v>
      </c>
      <c r="G10" s="615">
        <f>J10+J11+L10+L11+N10+N11+P10+P11+R10+R11+T10+T11+V10+V11+X10+X11+Z10+Z11+AB10+AB11+AD10+AD11+AF10+AF11+AH10+AH11+AJ10+AJ11-G11</f>
        <v>103.4</v>
      </c>
      <c r="H10" s="979">
        <f>IFERROR(G10/$G$53,)</f>
        <v>9.2413842413842425E-3</v>
      </c>
      <c r="I10" s="527">
        <f>[4]shoulders!C9</f>
        <v>40</v>
      </c>
      <c r="J10" s="617">
        <f>[4]shoulders!D9</f>
        <v>103.4</v>
      </c>
      <c r="K10" s="527"/>
      <c r="L10" s="529"/>
      <c r="M10" s="530"/>
      <c r="N10" s="528"/>
      <c r="O10" s="527"/>
      <c r="P10" s="529"/>
      <c r="Q10" s="530"/>
      <c r="R10" s="528"/>
      <c r="S10" s="527"/>
      <c r="T10" s="529"/>
      <c r="U10" s="530"/>
      <c r="V10" s="528"/>
      <c r="W10" s="527"/>
      <c r="X10" s="529"/>
      <c r="Y10" s="530"/>
      <c r="Z10" s="528"/>
      <c r="AA10" s="527"/>
      <c r="AB10" s="529"/>
      <c r="AC10" s="530"/>
      <c r="AD10" s="528"/>
      <c r="AE10" s="527"/>
      <c r="AF10" s="529"/>
      <c r="AG10" s="530"/>
      <c r="AH10" s="528"/>
      <c r="AI10" s="527"/>
      <c r="AJ10" s="528"/>
      <c r="AN10" s="2"/>
      <c r="AO10" s="2"/>
      <c r="AP10" s="2"/>
      <c r="AQ10" s="898"/>
      <c r="AR10" s="898"/>
      <c r="AS10" s="898"/>
      <c r="AT10" s="898"/>
      <c r="AU10" s="898"/>
    </row>
    <row r="11" spans="1:48" ht="12.75" customHeight="1" thickBot="1" x14ac:dyDescent="0.3">
      <c r="A11" s="473"/>
      <c r="B11" s="622" t="str">
        <f>B10</f>
        <v>G1160</v>
      </c>
      <c r="C11" s="623"/>
      <c r="D11" s="1087">
        <f t="array" ref="D11">IF(G11=0,0,_xlfn.IFNA(INDEX(NewRecipeTable[ShortCode],MATCH($B11&amp;"Yes",NewRecipeTable[Item No.]&amp;NewRecipeTable[Active Recipe],0)),))</f>
        <v>0</v>
      </c>
      <c r="E11" s="1083" t="str">
        <f t="array" ref="E11">IF(AND(SUM($G$41,$G$49)&gt;0,$G10&gt;0),"G1246","None")</f>
        <v>G1246</v>
      </c>
      <c r="F11" s="917"/>
      <c r="G11" s="917"/>
      <c r="H11" s="981"/>
      <c r="I11" s="532">
        <f>[4]shoulders!C10</f>
        <v>0</v>
      </c>
      <c r="J11" s="626">
        <f>[4]shoulders!D10</f>
        <v>0</v>
      </c>
      <c r="K11" s="532"/>
      <c r="L11" s="534"/>
      <c r="M11" s="535"/>
      <c r="N11" s="533"/>
      <c r="O11" s="532"/>
      <c r="P11" s="534"/>
      <c r="Q11" s="535"/>
      <c r="R11" s="533"/>
      <c r="S11" s="532"/>
      <c r="T11" s="534"/>
      <c r="U11" s="535"/>
      <c r="V11" s="533"/>
      <c r="W11" s="532"/>
      <c r="X11" s="534"/>
      <c r="Y11" s="535"/>
      <c r="Z11" s="533"/>
      <c r="AA11" s="532"/>
      <c r="AB11" s="534"/>
      <c r="AC11" s="535"/>
      <c r="AD11" s="533"/>
      <c r="AE11" s="532"/>
      <c r="AF11" s="534"/>
      <c r="AG11" s="535"/>
      <c r="AH11" s="533"/>
      <c r="AI11" s="532"/>
      <c r="AJ11" s="533"/>
      <c r="AN11" s="2"/>
      <c r="AO11" s="927" cm="1">
        <f t="array" ref="AO11">IFERROR(SUMPRODUCT(IF(G10=0,0,G10/$G$10:$G$19)),G10/SUMIF($E$10:$E$19,"&lt;&gt;G1246",$G$10:$G$19))</f>
        <v>4.033915056308357E-2</v>
      </c>
      <c r="AP11" s="896">
        <f>'New Deboning Shoulder'!AH9</f>
        <v>0</v>
      </c>
      <c r="AQ11" s="898">
        <v>26.122840690978887</v>
      </c>
      <c r="AR11" s="898">
        <f t="shared" ref="AR11:AR20" si="0">AP11/$AP$21*$AR$5</f>
        <v>0</v>
      </c>
      <c r="AS11" s="898">
        <f t="shared" ref="AS11:AS12" si="1">AP11/$AP$21*$AS$5</f>
        <v>0</v>
      </c>
      <c r="AT11" s="898">
        <f>AP11/$AP$21*$AT$5</f>
        <v>0</v>
      </c>
      <c r="AU11" s="898">
        <f>AS11+AT11</f>
        <v>0</v>
      </c>
      <c r="AV11">
        <f t="shared" ref="AV11:AV19" si="2">ROUND(AU11/4.7,)</f>
        <v>0</v>
      </c>
    </row>
    <row r="12" spans="1:48" ht="15.75" hidden="1" thickBot="1" x14ac:dyDescent="0.3">
      <c r="A12" s="473"/>
      <c r="B12" s="536" t="s">
        <v>15</v>
      </c>
      <c r="C12" s="627" t="s">
        <v>179</v>
      </c>
      <c r="D12" s="1088"/>
      <c r="E12" s="1084"/>
      <c r="F12" s="619">
        <f>+I12+K12+M12+O12+Q12+S12+U12+W12+Y12+AA12+AC12+AE12+AG12+AI12</f>
        <v>0</v>
      </c>
      <c r="G12" s="619">
        <f>+J12+L12+N12+P12+R12+T12+V12+X12+Z12+AB12+AD12+AF12+AH12+AJ12</f>
        <v>0</v>
      </c>
      <c r="H12" s="568">
        <f>IFERROR(G12/$G$53,)</f>
        <v>0</v>
      </c>
      <c r="I12" s="628">
        <f>[4]shoulders!C11</f>
        <v>0</v>
      </c>
      <c r="J12" s="629">
        <f>[4]shoulders!D11</f>
        <v>0</v>
      </c>
      <c r="K12" s="628"/>
      <c r="L12" s="630"/>
      <c r="M12" s="631"/>
      <c r="N12" s="632"/>
      <c r="O12" s="628"/>
      <c r="P12" s="630"/>
      <c r="Q12" s="631"/>
      <c r="R12" s="632"/>
      <c r="S12" s="628"/>
      <c r="T12" s="630"/>
      <c r="U12" s="631"/>
      <c r="V12" s="632"/>
      <c r="W12" s="628"/>
      <c r="X12" s="630"/>
      <c r="Y12" s="631"/>
      <c r="Z12" s="632"/>
      <c r="AA12" s="628"/>
      <c r="AB12" s="630"/>
      <c r="AC12" s="631"/>
      <c r="AD12" s="632"/>
      <c r="AE12" s="628"/>
      <c r="AF12" s="630"/>
      <c r="AG12" s="631"/>
      <c r="AH12" s="632"/>
      <c r="AI12" s="628"/>
      <c r="AJ12" s="632"/>
      <c r="AN12" s="2"/>
      <c r="AO12" s="927" cm="1">
        <f t="array" ref="AO12">IFERROR(SUMPRODUCT(IF(G11=0,0,G11/$G$10:$G$19)),G11/SUMIF($E$10:$E$19,"&lt;&gt;G1246",$G$10:$G$19))</f>
        <v>0</v>
      </c>
      <c r="AP12" s="896"/>
      <c r="AQ12" s="898"/>
      <c r="AR12" s="898">
        <f t="shared" si="0"/>
        <v>0</v>
      </c>
      <c r="AS12" s="898">
        <f t="shared" si="1"/>
        <v>0</v>
      </c>
      <c r="AT12" s="898">
        <f t="shared" ref="AT12:AT20" si="3">AP12/$AP$21*$AT$5</f>
        <v>0</v>
      </c>
      <c r="AU12" s="898">
        <f t="shared" ref="AU12:AU20" si="4">AS12+AT12</f>
        <v>0</v>
      </c>
      <c r="AV12">
        <f t="shared" si="2"/>
        <v>0</v>
      </c>
    </row>
    <row r="13" spans="1:48" ht="12.75" customHeight="1" x14ac:dyDescent="0.25">
      <c r="A13" s="473"/>
      <c r="B13" s="525" t="s">
        <v>19</v>
      </c>
      <c r="C13" s="614" t="s">
        <v>21</v>
      </c>
      <c r="D13" s="1081" t="str">
        <f t="array" ref="D13">IF(G13=0,0,_xlfn.IFNA(INDEX(NewRecipeTable[ShortCode],MATCH($B13&amp;"Yes",NewRecipeTable[Item No.]&amp;NewRecipeTable[Active Recipe],0)),))</f>
        <v>2D021161</v>
      </c>
      <c r="E13" s="526" t="str">
        <f>IF(($G$41+$G$49)&gt;0,"None","None")</f>
        <v>None</v>
      </c>
      <c r="F13" s="615">
        <f>I13+K13+M13+O13+Q13+S13+U13+W13+Y13+AA13+AC13+AE13+AG13+AI13+I14+K14+M14+O14+Q14+S14+U14+W14+Y14+AA14+AC14+AE14+AG14+AI14</f>
        <v>216</v>
      </c>
      <c r="G13" s="615">
        <f>J13+J14+L13+L14+N13+N14+P13+P14+R13+R14+T13+T14+V13+V14+X13+X14+Z13+Z14+AB13+AB14+AD13+AD14+AF13+AF14+AH13+AH14+AJ13+AJ14</f>
        <v>339.7</v>
      </c>
      <c r="H13" s="979">
        <f>IFERROR(G13/$G$53,)</f>
        <v>3.036071786071786E-2</v>
      </c>
      <c r="I13" s="527">
        <f>[4]shoulders!C12</f>
        <v>216</v>
      </c>
      <c r="J13" s="617">
        <f>[4]shoulders!D12</f>
        <v>339.7</v>
      </c>
      <c r="K13" s="530"/>
      <c r="L13" s="633"/>
      <c r="M13" s="530"/>
      <c r="N13" s="528"/>
      <c r="O13" s="530"/>
      <c r="P13" s="528"/>
      <c r="Q13" s="530"/>
      <c r="R13" s="528"/>
      <c r="S13" s="527"/>
      <c r="T13" s="529"/>
      <c r="U13" s="530"/>
      <c r="V13" s="528"/>
      <c r="W13" s="527"/>
      <c r="X13" s="529"/>
      <c r="Y13" s="530"/>
      <c r="Z13" s="528"/>
      <c r="AA13" s="527"/>
      <c r="AB13" s="529"/>
      <c r="AC13" s="530"/>
      <c r="AD13" s="528"/>
      <c r="AE13" s="527"/>
      <c r="AF13" s="529"/>
      <c r="AG13" s="530"/>
      <c r="AH13" s="528"/>
      <c r="AI13" s="527"/>
      <c r="AJ13" s="528"/>
      <c r="AN13" s="2"/>
      <c r="AO13" s="927" cm="1">
        <f t="array" ref="AO13">IFERROR(SUMPRODUCT(IF(G12=0,0,G12/$G$10:$G$19)),G12/SUMIF($E$10:$E$19,"&lt;&gt;G1246",$G$10:$G$19))</f>
        <v>0</v>
      </c>
      <c r="AP13" s="896"/>
      <c r="AQ13" s="898"/>
      <c r="AR13" s="898">
        <f t="shared" si="0"/>
        <v>0</v>
      </c>
      <c r="AS13" s="898">
        <f t="shared" ref="AS13:AS20" si="5">AP13/$AP$21*$AS$5</f>
        <v>0</v>
      </c>
      <c r="AT13" s="898">
        <f t="shared" si="3"/>
        <v>0</v>
      </c>
      <c r="AU13" s="898">
        <f t="shared" si="4"/>
        <v>0</v>
      </c>
      <c r="AV13">
        <f t="shared" si="2"/>
        <v>0</v>
      </c>
    </row>
    <row r="14" spans="1:48" ht="12.75" customHeight="1" thickBot="1" x14ac:dyDescent="0.3">
      <c r="A14" s="473"/>
      <c r="B14" s="622" t="str">
        <f>B13</f>
        <v>G1161</v>
      </c>
      <c r="C14" s="634"/>
      <c r="D14" s="1087">
        <f t="array" ref="D14">IF(G14=0,0,_xlfn.IFNA(INDEX(NewRecipeTable[ShortCode],MATCH($B14&amp;"Yes",NewRecipeTable[Item No.]&amp;NewRecipeTable[Active Recipe],0)),))</f>
        <v>0</v>
      </c>
      <c r="E14" s="1083" t="str">
        <f t="array" ref="E14">IF(AND(SUM($G$41,$G$49)&gt;0,$G13&gt;0),"G1246","None")</f>
        <v>G1246</v>
      </c>
      <c r="F14" s="624"/>
      <c r="G14" s="624"/>
      <c r="H14" s="981"/>
      <c r="I14" s="535">
        <f>[4]shoulders!C13</f>
        <v>0</v>
      </c>
      <c r="J14" s="626">
        <f>[4]shoulders!D13</f>
        <v>0</v>
      </c>
      <c r="K14" s="535"/>
      <c r="L14" s="534"/>
      <c r="M14" s="535"/>
      <c r="N14" s="533"/>
      <c r="O14" s="535"/>
      <c r="P14" s="533"/>
      <c r="Q14" s="535"/>
      <c r="R14" s="533"/>
      <c r="S14" s="532"/>
      <c r="T14" s="534"/>
      <c r="U14" s="535"/>
      <c r="V14" s="533"/>
      <c r="W14" s="532"/>
      <c r="X14" s="534"/>
      <c r="Y14" s="535"/>
      <c r="Z14" s="533"/>
      <c r="AA14" s="532"/>
      <c r="AB14" s="534"/>
      <c r="AC14" s="535"/>
      <c r="AD14" s="533"/>
      <c r="AE14" s="532"/>
      <c r="AF14" s="534"/>
      <c r="AG14" s="535"/>
      <c r="AH14" s="533"/>
      <c r="AI14" s="532"/>
      <c r="AJ14" s="533"/>
      <c r="AN14" s="2"/>
      <c r="AO14" s="927" cm="1">
        <f t="array" ref="AO14">IFERROR(SUMPRODUCT(IF(G13=0,0,G13/$G$10:$G$19)),G13/SUMIF($E$10:$E$19,"&lt;&gt;G1246",$G$10:$G$19))</f>
        <v>0.13252620354235481</v>
      </c>
      <c r="AP14" s="896">
        <f>'New Deboning Shoulder'!AH12</f>
        <v>0</v>
      </c>
      <c r="AQ14" s="898"/>
      <c r="AR14" s="898">
        <f t="shared" si="0"/>
        <v>0</v>
      </c>
      <c r="AS14" s="898">
        <f t="shared" si="5"/>
        <v>0</v>
      </c>
      <c r="AT14" s="898">
        <f t="shared" si="3"/>
        <v>0</v>
      </c>
      <c r="AU14" s="898">
        <f t="shared" si="4"/>
        <v>0</v>
      </c>
      <c r="AV14">
        <f t="shared" si="2"/>
        <v>0</v>
      </c>
    </row>
    <row r="15" spans="1:48" ht="15.75" hidden="1" thickBot="1" x14ac:dyDescent="0.3">
      <c r="A15" s="473"/>
      <c r="B15" s="364" t="s">
        <v>19</v>
      </c>
      <c r="C15" s="635" t="s">
        <v>20</v>
      </c>
      <c r="D15" s="1089"/>
      <c r="E15" s="1085"/>
      <c r="F15" s="624">
        <f>+I15+K15+M15+O15+Q15+S15+U15+W15+Y15+AA15+AC15+AE15+AG15+AI15</f>
        <v>0</v>
      </c>
      <c r="G15" s="624">
        <f>+J15+L15+N15+P15+R15+T15+V15+X15+Z15+AB15+AD15+AF15+AH15+AJ15</f>
        <v>0</v>
      </c>
      <c r="H15" s="574">
        <f>IFERROR(G15/$G$53,)</f>
        <v>0</v>
      </c>
      <c r="I15" s="636">
        <f>[4]shoulders!C14</f>
        <v>0</v>
      </c>
      <c r="J15" s="637">
        <f>[4]shoulders!D14</f>
        <v>0</v>
      </c>
      <c r="K15" s="636"/>
      <c r="L15" s="638"/>
      <c r="M15" s="639"/>
      <c r="N15" s="640"/>
      <c r="O15" s="636"/>
      <c r="P15" s="638"/>
      <c r="Q15" s="639"/>
      <c r="R15" s="640"/>
      <c r="S15" s="636"/>
      <c r="T15" s="638"/>
      <c r="U15" s="639"/>
      <c r="V15" s="640"/>
      <c r="W15" s="636"/>
      <c r="X15" s="638"/>
      <c r="Y15" s="639"/>
      <c r="Z15" s="640"/>
      <c r="AA15" s="636"/>
      <c r="AB15" s="638"/>
      <c r="AC15" s="639"/>
      <c r="AD15" s="640"/>
      <c r="AE15" s="636"/>
      <c r="AF15" s="638"/>
      <c r="AG15" s="639"/>
      <c r="AH15" s="640"/>
      <c r="AI15" s="636"/>
      <c r="AJ15" s="640"/>
      <c r="AN15" s="2"/>
      <c r="AO15" s="927" cm="1">
        <f t="array" ref="AO15">IFERROR(SUMPRODUCT(IF(G14=0,0,G14/$G$10:$G$19)),G14/SUMIF($E$10:$E$19,"&lt;&gt;G1246",$G$10:$G$19))</f>
        <v>0</v>
      </c>
      <c r="AP15" s="896"/>
      <c r="AQ15" s="898"/>
      <c r="AR15" s="898">
        <f t="shared" si="0"/>
        <v>0</v>
      </c>
      <c r="AS15" s="898">
        <f t="shared" si="5"/>
        <v>0</v>
      </c>
      <c r="AT15" s="898">
        <f t="shared" si="3"/>
        <v>0</v>
      </c>
      <c r="AU15" s="898">
        <f t="shared" si="4"/>
        <v>0</v>
      </c>
      <c r="AV15">
        <f t="shared" si="2"/>
        <v>0</v>
      </c>
    </row>
    <row r="16" spans="1:48" ht="14.25" customHeight="1" x14ac:dyDescent="0.25">
      <c r="A16" s="473"/>
      <c r="B16" s="536" t="s">
        <v>23</v>
      </c>
      <c r="C16" s="641" t="s">
        <v>180</v>
      </c>
      <c r="D16" s="1081" t="str">
        <f t="array" ref="D16">IF(G16=0,0,_xlfn.IFNA(INDEX(NewRecipeTable[ShortCode],MATCH($B16&amp;"Yes",NewRecipeTable[Item No.]&amp;NewRecipeTable[Active Recipe],0)),))</f>
        <v>2D051162</v>
      </c>
      <c r="E16" s="526" t="str">
        <f>IF(($G$41+$G$49)&gt;0,"None","None")</f>
        <v>None</v>
      </c>
      <c r="F16" s="642">
        <f>I16+K16+M16+O16+Q16+S16+U16+W16+Y16+AA16+AC16+AE16+AG16+AI16+I17+K17+M17+O17+Q17+S17+U17+W17+Y17+AA17+AC17+AE17+AG17+AI17</f>
        <v>478</v>
      </c>
      <c r="G16" s="642">
        <f>J16+J17+L16+L17+N16+N17+P16+P17+R16+R17+T16+T17+V16+V17+X16+X17+Z16+Z17+AB16+AB17+AD16+AD17+AF16+AF17+AH16+AH17+AJ16+AJ17</f>
        <v>2307.6</v>
      </c>
      <c r="H16" s="979">
        <f>IFERROR(G16/$G$53,)</f>
        <v>0.20624195624195624</v>
      </c>
      <c r="I16" s="527">
        <f>[4]shoulders!C15</f>
        <v>478</v>
      </c>
      <c r="J16" s="617">
        <f>[4]shoulders!D15</f>
        <v>2307.6</v>
      </c>
      <c r="K16" s="530"/>
      <c r="L16" s="643"/>
      <c r="M16" s="541"/>
      <c r="N16" s="539"/>
      <c r="O16" s="538"/>
      <c r="P16" s="540"/>
      <c r="Q16" s="541"/>
      <c r="R16" s="539"/>
      <c r="S16" s="538"/>
      <c r="T16" s="540"/>
      <c r="U16" s="541"/>
      <c r="V16" s="539"/>
      <c r="W16" s="538"/>
      <c r="X16" s="540"/>
      <c r="Y16" s="541"/>
      <c r="Z16" s="539"/>
      <c r="AA16" s="538"/>
      <c r="AB16" s="540"/>
      <c r="AC16" s="541"/>
      <c r="AD16" s="539"/>
      <c r="AE16" s="538"/>
      <c r="AF16" s="540"/>
      <c r="AG16" s="541"/>
      <c r="AH16" s="539"/>
      <c r="AI16" s="538"/>
      <c r="AJ16" s="539"/>
      <c r="AN16" s="2"/>
      <c r="AO16" s="927" cm="1">
        <f t="array" ref="AO16">IFERROR(SUMPRODUCT(IF(G15=0,0,G15/$G$10:$G$19)),G15/SUMIF($E$10:$E$19,"&lt;&gt;G1246",$G$10:$G$19))</f>
        <v>0</v>
      </c>
      <c r="AP16" s="896"/>
      <c r="AQ16" s="898"/>
      <c r="AR16" s="898">
        <f t="shared" si="0"/>
        <v>0</v>
      </c>
      <c r="AS16" s="898">
        <f t="shared" si="5"/>
        <v>0</v>
      </c>
      <c r="AT16" s="898">
        <f t="shared" si="3"/>
        <v>0</v>
      </c>
      <c r="AU16" s="898">
        <f t="shared" si="4"/>
        <v>0</v>
      </c>
      <c r="AV16">
        <f t="shared" si="2"/>
        <v>0</v>
      </c>
    </row>
    <row r="17" spans="1:48" ht="12.75" customHeight="1" thickBot="1" x14ac:dyDescent="0.3">
      <c r="A17" s="473"/>
      <c r="B17" s="622" t="str">
        <f>B16</f>
        <v>G1162</v>
      </c>
      <c r="C17" s="623"/>
      <c r="D17" s="1087">
        <f t="array" ref="D17">IF(G17=0,0,_xlfn.IFNA(INDEX(NewRecipeTable[ShortCode],MATCH($B17&amp;"Yes",NewRecipeTable[Item No.]&amp;NewRecipeTable[Active Recipe],0)),))</f>
        <v>0</v>
      </c>
      <c r="E17" s="1083" t="str">
        <f t="array" ref="E17">IF(AND(SUM($G$41,$G$49)&gt;0,$G16&gt;0),"G1246","None")</f>
        <v>G1246</v>
      </c>
      <c r="F17" s="624"/>
      <c r="G17" s="624"/>
      <c r="H17" s="981"/>
      <c r="I17" s="532">
        <f>[4]shoulders!C16</f>
        <v>0</v>
      </c>
      <c r="J17" s="626">
        <f>[4]shoulders!D16</f>
        <v>0</v>
      </c>
      <c r="K17" s="535"/>
      <c r="L17" s="534"/>
      <c r="M17" s="542"/>
      <c r="N17" s="545"/>
      <c r="O17" s="543"/>
      <c r="P17" s="544"/>
      <c r="Q17" s="542"/>
      <c r="R17" s="545"/>
      <c r="S17" s="543"/>
      <c r="T17" s="544"/>
      <c r="U17" s="542"/>
      <c r="V17" s="545"/>
      <c r="W17" s="543"/>
      <c r="X17" s="544"/>
      <c r="Y17" s="542"/>
      <c r="Z17" s="545"/>
      <c r="AA17" s="543"/>
      <c r="AB17" s="544"/>
      <c r="AC17" s="542"/>
      <c r="AD17" s="545"/>
      <c r="AE17" s="543"/>
      <c r="AF17" s="544"/>
      <c r="AG17" s="542"/>
      <c r="AH17" s="545"/>
      <c r="AI17" s="543"/>
      <c r="AJ17" s="545"/>
      <c r="AN17" s="2"/>
      <c r="AO17" s="927" cm="1">
        <f t="array" ref="AO17">IFERROR(SUMPRODUCT(IF(G16=0,0,G16/$G$10:$G$19)),G16/SUMIF($E$10:$E$19,"&lt;&gt;G1246",$G$10:$G$19))</f>
        <v>0.90025748393976446</v>
      </c>
      <c r="AP17" s="896">
        <f>'New Deboning Shoulder'!AH13</f>
        <v>0</v>
      </c>
      <c r="AQ17" s="898">
        <f>'New Deboning Shoulder'!AB12</f>
        <v>0</v>
      </c>
      <c r="AR17" s="898">
        <f t="shared" si="0"/>
        <v>0</v>
      </c>
      <c r="AS17" s="898">
        <f t="shared" si="5"/>
        <v>0</v>
      </c>
      <c r="AT17" s="898">
        <f t="shared" si="3"/>
        <v>0</v>
      </c>
      <c r="AU17" s="898">
        <f t="shared" si="4"/>
        <v>0</v>
      </c>
      <c r="AV17">
        <f t="shared" si="2"/>
        <v>0</v>
      </c>
    </row>
    <row r="18" spans="1:48" ht="12.75" customHeight="1" x14ac:dyDescent="0.25">
      <c r="A18" s="473"/>
      <c r="B18" s="536" t="s">
        <v>25</v>
      </c>
      <c r="C18" s="641" t="s">
        <v>26</v>
      </c>
      <c r="D18" s="1081" t="str">
        <f t="array" ref="D18">IF(G18=0,0,_xlfn.IFNA(INDEX(NewRecipeTable[ShortCode],MATCH($B18&amp;"Yes",NewRecipeTable[Item No.]&amp;NewRecipeTable[Active Recipe],0)),))</f>
        <v>2D071164</v>
      </c>
      <c r="E18" s="526" t="str">
        <f>IF(($G$41+$G$49)&gt;0,"None","G1246")</f>
        <v>None</v>
      </c>
      <c r="F18" s="615">
        <f>I18+K18+M18+O18+Q18+S18+U18+W18+Y18+AA18+AC18+AE18+AG18+AI18+I19+K19+M19+O19+Q19+S19+U19+W19+Y19+AA19+AC19+AE19+AG19+AI19-F19</f>
        <v>-74</v>
      </c>
      <c r="G18" s="615">
        <f>J18+J19+L18+L19+N18+N19+P18+P19+R18+R19+T18+T19+V18+V19+X18+X19+Z18+Z19+AB18+AB19+AD18+AD19+AF18+AF19+AH18+AH19+AJ18+AJ19-G19</f>
        <v>-187.43333333333362</v>
      </c>
      <c r="H18" s="979">
        <f>IFERROR(G18/$G$53,)</f>
        <v>-1.6751870918537613E-2</v>
      </c>
      <c r="I18" s="527">
        <f>[4]shoulders!C17</f>
        <v>243</v>
      </c>
      <c r="J18" s="617">
        <f>[4]shoulders!D17</f>
        <v>1300.5999999999999</v>
      </c>
      <c r="K18" s="527"/>
      <c r="L18" s="529"/>
      <c r="M18" s="530"/>
      <c r="N18" s="528"/>
      <c r="O18" s="527"/>
      <c r="P18" s="529"/>
      <c r="Q18" s="530"/>
      <c r="R18" s="528"/>
      <c r="S18" s="527"/>
      <c r="T18" s="529"/>
      <c r="U18" s="530"/>
      <c r="V18" s="528"/>
      <c r="W18" s="527"/>
      <c r="X18" s="529"/>
      <c r="Y18" s="530"/>
      <c r="Z18" s="528"/>
      <c r="AA18" s="527"/>
      <c r="AB18" s="529"/>
      <c r="AC18" s="530"/>
      <c r="AD18" s="528"/>
      <c r="AE18" s="527"/>
      <c r="AF18" s="529"/>
      <c r="AG18" s="530"/>
      <c r="AH18" s="528"/>
      <c r="AI18" s="527"/>
      <c r="AJ18" s="528"/>
      <c r="AN18" s="2"/>
      <c r="AO18" s="927" cm="1">
        <f t="array" ref="AO18">IFERROR(SUMPRODUCT(IF(G17=0,0,G17/$G$10:$G$19)),G17/SUMIF($E$10:$E$19,"&lt;&gt;G1246",$G$10:$G$19))</f>
        <v>0</v>
      </c>
      <c r="AP18" s="896"/>
      <c r="AQ18" s="898"/>
      <c r="AR18" s="898">
        <f t="shared" si="0"/>
        <v>0</v>
      </c>
      <c r="AS18" s="898">
        <f t="shared" si="5"/>
        <v>0</v>
      </c>
      <c r="AT18" s="898">
        <f t="shared" si="3"/>
        <v>0</v>
      </c>
      <c r="AU18" s="898">
        <f t="shared" si="4"/>
        <v>0</v>
      </c>
      <c r="AV18">
        <f t="shared" si="2"/>
        <v>0</v>
      </c>
    </row>
    <row r="19" spans="1:48" ht="12.75" customHeight="1" thickBot="1" x14ac:dyDescent="0.3">
      <c r="A19" s="473"/>
      <c r="B19" s="644" t="str">
        <f>B18</f>
        <v>G1164</v>
      </c>
      <c r="C19" s="641"/>
      <c r="D19" s="1087" t="str">
        <f t="array" ref="D19">IF(G19=0,0,_xlfn.IFNA(INDEX(NewRecipeTable[ShortCode],MATCH($B19&amp;"Yes",NewRecipeTable[Item No.]&amp;NewRecipeTable[Active Recipe],0)),))</f>
        <v>2D071164</v>
      </c>
      <c r="E19" s="1083" t="str">
        <f>IF(AND(SUM($G$41,$G$49)&gt;0,$G19&gt;0),"G1246","None")</f>
        <v>G1246</v>
      </c>
      <c r="F19" s="960">
        <v>317</v>
      </c>
      <c r="G19" s="917">
        <v>1488.0333333333335</v>
      </c>
      <c r="H19" s="980"/>
      <c r="I19" s="532">
        <f>[4]shoulders!C18</f>
        <v>0</v>
      </c>
      <c r="J19" s="626">
        <f>[4]shoulders!D18</f>
        <v>0</v>
      </c>
      <c r="K19" s="532"/>
      <c r="L19" s="534"/>
      <c r="M19" s="535"/>
      <c r="N19" s="533"/>
      <c r="O19" s="532"/>
      <c r="P19" s="534"/>
      <c r="Q19" s="535"/>
      <c r="R19" s="533"/>
      <c r="S19" s="532"/>
      <c r="T19" s="534"/>
      <c r="U19" s="535"/>
      <c r="V19" s="533"/>
      <c r="W19" s="532"/>
      <c r="X19" s="534"/>
      <c r="Y19" s="535"/>
      <c r="Z19" s="533"/>
      <c r="AA19" s="532"/>
      <c r="AB19" s="534"/>
      <c r="AC19" s="535"/>
      <c r="AD19" s="533"/>
      <c r="AE19" s="532"/>
      <c r="AF19" s="534"/>
      <c r="AG19" s="535"/>
      <c r="AH19" s="533"/>
      <c r="AI19" s="532"/>
      <c r="AJ19" s="533"/>
      <c r="AN19" s="2"/>
      <c r="AO19" s="927" cm="1">
        <f t="array" ref="AO19">IFERROR(SUMPRODUCT(IF(G18=0,0,G18/$G$10:$G$19)),G18/SUMIF($E$10:$E$19,"&lt;&gt;G1246",$G$10:$G$19))</f>
        <v>-7.3122838045202851E-2</v>
      </c>
      <c r="AP19" s="896">
        <v>12.4</v>
      </c>
      <c r="AQ19" s="898">
        <v>42.479856759176364</v>
      </c>
      <c r="AR19" s="898">
        <f t="shared" si="0"/>
        <v>14.7</v>
      </c>
      <c r="AS19" s="898">
        <f t="shared" si="5"/>
        <v>736.66666666666674</v>
      </c>
      <c r="AT19" s="898">
        <f t="shared" si="3"/>
        <v>751.36666666666679</v>
      </c>
      <c r="AU19" s="898">
        <f t="shared" si="4"/>
        <v>1488.0333333333335</v>
      </c>
      <c r="AV19">
        <f t="shared" si="2"/>
        <v>317</v>
      </c>
    </row>
    <row r="20" spans="1:48" ht="12.75" customHeight="1" x14ac:dyDescent="0.25">
      <c r="A20" s="473" t="s">
        <v>140</v>
      </c>
      <c r="B20" s="525" t="s">
        <v>29</v>
      </c>
      <c r="C20" s="614" t="s">
        <v>30</v>
      </c>
      <c r="D20" s="1081" t="str">
        <f t="array" ref="D20">IF(G20=0,0,_xlfn.IFNA(INDEX(NewRecipeTable[ShortCode],MATCH($B20&amp;"Yes",NewRecipeTable[Item No.]&amp;NewRecipeTable[Active Recipe],0)),))</f>
        <v>2D091165</v>
      </c>
      <c r="E20" s="526" t="str">
        <f>IF(($G$41+$G$49)&gt;0,"None","None")</f>
        <v>None</v>
      </c>
      <c r="F20" s="615">
        <f>I20+K20+M20+O20+Q20+S20+U20+W20+Y20+AA20+AC20+AE20+AG20+AI20+I21+K21+M21+O21+Q21+S21+U21+W21+Y21+AA21+AC21+AE21+AG21+AI21</f>
        <v>20</v>
      </c>
      <c r="G20" s="615">
        <f>J20+J21+L20+L21+N20+N21+P20+P21+R20+R21+T20+T21+V20+V21+X20+X21+Z20+Z21+AB20+AB21+AD20+AD21+AF20+AF21+AH20+AH21+AJ20+AJ21</f>
        <v>93.2</v>
      </c>
      <c r="H20" s="979">
        <f>IFERROR(G20/$G$53,)</f>
        <v>8.3297583297583314E-3</v>
      </c>
      <c r="I20" s="538">
        <f>[4]shoulders!C19</f>
        <v>20</v>
      </c>
      <c r="J20" s="645">
        <f>[4]shoulders!D19</f>
        <v>93.2</v>
      </c>
      <c r="K20" s="538"/>
      <c r="L20" s="540"/>
      <c r="M20" s="541"/>
      <c r="N20" s="539"/>
      <c r="O20" s="538"/>
      <c r="P20" s="540"/>
      <c r="Q20" s="541"/>
      <c r="R20" s="539"/>
      <c r="S20" s="538"/>
      <c r="T20" s="540"/>
      <c r="U20" s="541"/>
      <c r="V20" s="539"/>
      <c r="W20" s="538"/>
      <c r="X20" s="540"/>
      <c r="Y20" s="541"/>
      <c r="Z20" s="539"/>
      <c r="AA20" s="538"/>
      <c r="AB20" s="540"/>
      <c r="AC20" s="541"/>
      <c r="AD20" s="539"/>
      <c r="AE20" s="538"/>
      <c r="AF20" s="540"/>
      <c r="AG20" s="541"/>
      <c r="AH20" s="539"/>
      <c r="AI20" s="538"/>
      <c r="AJ20" s="539"/>
      <c r="AN20" s="2"/>
      <c r="AO20" s="927" cm="1">
        <f t="array" ref="AO20">IFERROR(SUMPRODUCT(IF(G19=0,0,G19/$G$10:$G$19)),G19/SUMIF($E$10:$E$19,"&lt;&gt;G1246",$G$10:$G$19))</f>
        <v>0.58052225025358284</v>
      </c>
      <c r="AP20" s="896"/>
      <c r="AQ20" s="898"/>
      <c r="AR20" s="898">
        <f t="shared" si="0"/>
        <v>0</v>
      </c>
      <c r="AS20" s="898">
        <f t="shared" si="5"/>
        <v>0</v>
      </c>
      <c r="AT20" s="898">
        <f t="shared" si="3"/>
        <v>0</v>
      </c>
      <c r="AU20" s="898">
        <f t="shared" si="4"/>
        <v>0</v>
      </c>
      <c r="AV20">
        <f>ROUND(AU20/4.7,)</f>
        <v>0</v>
      </c>
    </row>
    <row r="21" spans="1:48" ht="12.75" customHeight="1" thickBot="1" x14ac:dyDescent="0.3">
      <c r="A21" s="473"/>
      <c r="B21" s="364"/>
      <c r="C21" s="634"/>
      <c r="D21" s="1087">
        <f t="array" ref="D21">IF(G21=0,0,_xlfn.IFNA(INDEX(NewRecipeTable[ShortCode],MATCH($B21&amp;"Yes",NewRecipeTable[Item No.]&amp;NewRecipeTable[Active Recipe],0)),))</f>
        <v>0</v>
      </c>
      <c r="E21" s="1083"/>
      <c r="F21" s="624"/>
      <c r="G21" s="624"/>
      <c r="H21" s="981"/>
      <c r="I21" s="543">
        <f>[4]shoulders!C20</f>
        <v>0</v>
      </c>
      <c r="J21" s="621">
        <f>[4]shoulders!D20</f>
        <v>0</v>
      </c>
      <c r="K21" s="543"/>
      <c r="L21" s="544"/>
      <c r="M21" s="542"/>
      <c r="N21" s="545"/>
      <c r="O21" s="543"/>
      <c r="P21" s="544"/>
      <c r="Q21" s="542"/>
      <c r="R21" s="545"/>
      <c r="S21" s="543"/>
      <c r="T21" s="544"/>
      <c r="U21" s="542"/>
      <c r="V21" s="545"/>
      <c r="W21" s="543"/>
      <c r="X21" s="544"/>
      <c r="Y21" s="542"/>
      <c r="Z21" s="545"/>
      <c r="AA21" s="543"/>
      <c r="AB21" s="544"/>
      <c r="AC21" s="542"/>
      <c r="AD21" s="545"/>
      <c r="AE21" s="543"/>
      <c r="AF21" s="544"/>
      <c r="AG21" s="542"/>
      <c r="AH21" s="545"/>
      <c r="AI21" s="543"/>
      <c r="AJ21" s="545"/>
      <c r="AN21" s="2"/>
      <c r="AO21" s="926">
        <f>SUM(AO11:AO20)</f>
        <v>1.5805222502535829</v>
      </c>
      <c r="AP21" s="897">
        <f>SUM(AP11:AP20)</f>
        <v>12.4</v>
      </c>
      <c r="AQ21" s="899"/>
      <c r="AR21" s="910">
        <f>SUM(AR11:AR20)</f>
        <v>14.7</v>
      </c>
      <c r="AS21" s="910">
        <f>SUM(AS11:AS20)</f>
        <v>736.66666666666674</v>
      </c>
      <c r="AT21" s="910">
        <f>SUM(AT11:AT20)</f>
        <v>751.36666666666679</v>
      </c>
      <c r="AU21" s="910">
        <f>SUM(AU11:AU20)</f>
        <v>1488.0333333333335</v>
      </c>
      <c r="AV21" s="910">
        <f>SUM(AV11:AV20)</f>
        <v>317</v>
      </c>
    </row>
    <row r="22" spans="1:48" ht="12.75" customHeight="1" x14ac:dyDescent="0.25">
      <c r="A22" s="473"/>
      <c r="B22" s="536" t="s">
        <v>32</v>
      </c>
      <c r="C22" s="641" t="s">
        <v>33</v>
      </c>
      <c r="D22" s="1081">
        <f t="array" ref="D22">IF(G22=0,0,_xlfn.IFNA(INDEX(NewRecipeTable[ShortCode],MATCH($B22&amp;"Yes",NewRecipeTable[Item No.]&amp;NewRecipeTable[Active Recipe],0)),))</f>
        <v>0</v>
      </c>
      <c r="E22" s="526" t="str">
        <f>IF(($G$41+$G$49)&gt;0,"None","None")</f>
        <v>None</v>
      </c>
      <c r="F22" s="642">
        <f>I22+K22+M22+O22+Q22+S22+U22+W22+Y22+AA22+AC22+AE22+AG22+AI22+I23+K23+M23+O23+Q23+S23+U23+W23+Y23+AA23+AC23+AE23+AG23+AI23</f>
        <v>0</v>
      </c>
      <c r="G22" s="642">
        <f>J22+J23+L22+L23+N22+N23+P22+P23+R22+R23+T22+T23+V22+V23+X22+X23+Z22+Z23+AB22+AB23+AD22+AD23+AF22+AF23+AH22+AH23+AJ22+AJ23</f>
        <v>0</v>
      </c>
      <c r="H22" s="979">
        <f>IFERROR(G22/$G$53,)</f>
        <v>0</v>
      </c>
      <c r="I22" s="527">
        <f>[4]shoulders!C21</f>
        <v>0</v>
      </c>
      <c r="J22" s="617">
        <f>[4]shoulders!D21</f>
        <v>0</v>
      </c>
      <c r="K22" s="527"/>
      <c r="L22" s="529"/>
      <c r="M22" s="530"/>
      <c r="N22" s="528"/>
      <c r="O22" s="527"/>
      <c r="P22" s="529"/>
      <c r="Q22" s="530"/>
      <c r="R22" s="528"/>
      <c r="S22" s="527"/>
      <c r="T22" s="529"/>
      <c r="U22" s="530"/>
      <c r="V22" s="528"/>
      <c r="W22" s="527"/>
      <c r="X22" s="529"/>
      <c r="Y22" s="530"/>
      <c r="Z22" s="528"/>
      <c r="AA22" s="527"/>
      <c r="AB22" s="529"/>
      <c r="AC22" s="530"/>
      <c r="AD22" s="528"/>
      <c r="AE22" s="527"/>
      <c r="AF22" s="529"/>
      <c r="AG22" s="530"/>
      <c r="AH22" s="528"/>
      <c r="AI22" s="527"/>
      <c r="AJ22" s="528"/>
      <c r="AN22" s="2"/>
      <c r="AO22" s="2"/>
      <c r="AP22" s="2"/>
      <c r="AQ22" s="898"/>
      <c r="AR22" s="898"/>
      <c r="AS22" s="898"/>
      <c r="AT22" s="898"/>
      <c r="AU22" s="898"/>
    </row>
    <row r="23" spans="1:48" ht="12.75" customHeight="1" thickBot="1" x14ac:dyDescent="0.3">
      <c r="A23" s="473"/>
      <c r="B23" s="536"/>
      <c r="C23" s="618"/>
      <c r="D23" s="1086">
        <f t="array" ref="D23">IF(G23=0,0,_xlfn.IFNA(INDEX(NewRecipeTable[ShortCode],MATCH($B23&amp;"Yes",NewRecipeTable[Item No.]&amp;NewRecipeTable[Active Recipe],0)),))</f>
        <v>0</v>
      </c>
      <c r="E23" s="1082"/>
      <c r="F23" s="619"/>
      <c r="G23" s="619"/>
      <c r="H23" s="980"/>
      <c r="I23" s="543">
        <f>[4]shoulders!C22</f>
        <v>0</v>
      </c>
      <c r="J23" s="621">
        <f>[4]shoulders!D22</f>
        <v>0</v>
      </c>
      <c r="K23" s="532"/>
      <c r="L23" s="534"/>
      <c r="M23" s="535"/>
      <c r="N23" s="533"/>
      <c r="O23" s="532"/>
      <c r="P23" s="534"/>
      <c r="Q23" s="535"/>
      <c r="R23" s="533"/>
      <c r="S23" s="532"/>
      <c r="T23" s="534"/>
      <c r="U23" s="535"/>
      <c r="V23" s="533"/>
      <c r="W23" s="532"/>
      <c r="X23" s="534"/>
      <c r="Y23" s="535"/>
      <c r="Z23" s="533"/>
      <c r="AA23" s="532"/>
      <c r="AB23" s="534"/>
      <c r="AC23" s="535"/>
      <c r="AD23" s="533"/>
      <c r="AE23" s="532"/>
      <c r="AF23" s="534"/>
      <c r="AG23" s="535"/>
      <c r="AH23" s="533"/>
      <c r="AI23" s="532"/>
      <c r="AJ23" s="533"/>
      <c r="AN23" s="2"/>
      <c r="AO23" s="2"/>
      <c r="AP23" s="2"/>
      <c r="AQ23" s="898"/>
      <c r="AR23" s="898"/>
      <c r="AS23" s="898"/>
      <c r="AT23" s="898"/>
      <c r="AU23" s="898"/>
    </row>
    <row r="24" spans="1:48" ht="12.75" customHeight="1" x14ac:dyDescent="0.25">
      <c r="A24" s="473"/>
      <c r="B24" s="525" t="s">
        <v>35</v>
      </c>
      <c r="C24" s="646" t="s">
        <v>36</v>
      </c>
      <c r="D24" s="1081" t="str">
        <f t="array" ref="D24">IF(G24=0,0,_xlfn.IFNA(INDEX(NewRecipeTable[ShortCode],MATCH($B24&amp;"Yes",NewRecipeTable[Item No.]&amp;NewRecipeTable[Active Recipe],0)),))</f>
        <v>2D111169</v>
      </c>
      <c r="E24" s="526" t="str">
        <f>IF(($G$41+$G$49)&gt;0,"None","None")</f>
        <v>None</v>
      </c>
      <c r="F24" s="615">
        <f>I24+K24+M24+O24+Q24+S24+U24+W24+Y24+AA24+AC24+AE24+AG24+AI24+I25+K25+M25+O25+Q25+S25+U25+W25+Y25+AA25+AC25+AE25+AG25+AI25</f>
        <v>111</v>
      </c>
      <c r="G24" s="615">
        <f>J24+J25+L24+L25+N24+N25+P24+P25+R24+R25+T24+T25+V24+V25+X24+X25+Z24+Z25+AB24+AB25+AD24+AD25+AF24+AF25+AH24+AH25+AJ24+AJ25</f>
        <v>333.1</v>
      </c>
      <c r="H24" s="979">
        <f>IFERROR(G24/$G$53,)</f>
        <v>2.9770842270842274E-2</v>
      </c>
      <c r="I24" s="527">
        <f>[4]shoulders!C23</f>
        <v>111</v>
      </c>
      <c r="J24" s="617">
        <f>[4]shoulders!D23</f>
        <v>333.1</v>
      </c>
      <c r="K24" s="527"/>
      <c r="L24" s="540"/>
      <c r="M24" s="541"/>
      <c r="N24" s="539"/>
      <c r="O24" s="538"/>
      <c r="P24" s="540"/>
      <c r="Q24" s="541"/>
      <c r="R24" s="539"/>
      <c r="S24" s="538"/>
      <c r="T24" s="540"/>
      <c r="U24" s="541"/>
      <c r="V24" s="539"/>
      <c r="W24" s="538"/>
      <c r="X24" s="540"/>
      <c r="Y24" s="541"/>
      <c r="Z24" s="539"/>
      <c r="AA24" s="538"/>
      <c r="AB24" s="540"/>
      <c r="AC24" s="541"/>
      <c r="AD24" s="539"/>
      <c r="AE24" s="538"/>
      <c r="AF24" s="540"/>
      <c r="AG24" s="541"/>
      <c r="AH24" s="539"/>
      <c r="AI24" s="538"/>
      <c r="AJ24" s="539"/>
      <c r="AN24" s="2"/>
      <c r="AO24" s="2"/>
      <c r="AP24" s="2"/>
      <c r="AQ24" s="898"/>
      <c r="AR24" s="898"/>
      <c r="AS24" s="898"/>
      <c r="AT24" s="898"/>
      <c r="AU24" s="898"/>
    </row>
    <row r="25" spans="1:48" ht="12.75" customHeight="1" thickBot="1" x14ac:dyDescent="0.3">
      <c r="A25" s="473"/>
      <c r="B25" s="364"/>
      <c r="C25" s="634"/>
      <c r="D25" s="1087">
        <f t="array" ref="D25">IF(G25=0,0,_xlfn.IFNA(INDEX(NewRecipeTable[ShortCode],MATCH($B25&amp;"Yes",NewRecipeTable[Item No.]&amp;NewRecipeTable[Active Recipe],0)),))</f>
        <v>0</v>
      </c>
      <c r="E25" s="1083"/>
      <c r="F25" s="624"/>
      <c r="G25" s="624"/>
      <c r="H25" s="981"/>
      <c r="I25" s="532">
        <f>[4]shoulders!C24</f>
        <v>0</v>
      </c>
      <c r="J25" s="626">
        <f>[4]shoulders!D24</f>
        <v>0</v>
      </c>
      <c r="K25" s="532"/>
      <c r="L25" s="544"/>
      <c r="M25" s="542"/>
      <c r="N25" s="545"/>
      <c r="O25" s="543"/>
      <c r="P25" s="544"/>
      <c r="Q25" s="542"/>
      <c r="R25" s="545"/>
      <c r="S25" s="543"/>
      <c r="T25" s="544"/>
      <c r="U25" s="542"/>
      <c r="V25" s="545"/>
      <c r="W25" s="543"/>
      <c r="X25" s="544"/>
      <c r="Y25" s="542"/>
      <c r="Z25" s="545"/>
      <c r="AA25" s="543"/>
      <c r="AB25" s="544"/>
      <c r="AC25" s="542"/>
      <c r="AD25" s="545"/>
      <c r="AE25" s="543"/>
      <c r="AF25" s="544"/>
      <c r="AG25" s="542"/>
      <c r="AH25" s="545"/>
      <c r="AI25" s="543"/>
      <c r="AJ25" s="545"/>
      <c r="AN25" s="2"/>
      <c r="AO25" s="2"/>
      <c r="AP25" s="2"/>
      <c r="AQ25" s="898"/>
      <c r="AR25" s="898"/>
      <c r="AS25" s="898"/>
      <c r="AT25" s="898"/>
      <c r="AU25" s="898"/>
    </row>
    <row r="26" spans="1:48" ht="12.75" customHeight="1" x14ac:dyDescent="0.25">
      <c r="A26" s="473"/>
      <c r="B26" s="536" t="s">
        <v>38</v>
      </c>
      <c r="C26" s="641" t="s">
        <v>39</v>
      </c>
      <c r="D26" s="1081">
        <f t="array" ref="D26">IF(G26=0,0,_xlfn.IFNA(INDEX(NewRecipeTable[ShortCode],MATCH($B26&amp;"Yes",NewRecipeTable[Item No.]&amp;NewRecipeTable[Active Recipe],0)),))</f>
        <v>0</v>
      </c>
      <c r="E26" s="526" t="str">
        <f>IF(($G$41+$G$49)&gt;0,"None","None")</f>
        <v>None</v>
      </c>
      <c r="F26" s="642">
        <f>I26+K26+M26+O26+Q26+S26+U26+W26+Y26+AA26+AC26+AE26+AG26+AI26+I27+K27+M27+O27+Q27+S27+U27+W27+Y27+AA27+AC27+AE27+AG27+AI27</f>
        <v>0</v>
      </c>
      <c r="G26" s="642">
        <f>J26+J27+L26+L27+N26+N27+P26+P27+R26+R27+T26+T27+V26+V27+X26+X27+Z26+Z27+AB26+AB27+AD26+AD27+AF26+AF27+AH26+AH27+AJ26+AJ27</f>
        <v>0</v>
      </c>
      <c r="H26" s="979">
        <f>IFERROR(G26/$G$53,)</f>
        <v>0</v>
      </c>
      <c r="I26" s="527">
        <f>[4]shoulders!C25</f>
        <v>0</v>
      </c>
      <c r="J26" s="617">
        <f>[4]shoulders!D25</f>
        <v>0</v>
      </c>
      <c r="K26" s="530"/>
      <c r="L26" s="528"/>
      <c r="M26" s="527"/>
      <c r="N26" s="529"/>
      <c r="O26" s="530"/>
      <c r="P26" s="528"/>
      <c r="Q26" s="527"/>
      <c r="R26" s="529"/>
      <c r="S26" s="530"/>
      <c r="T26" s="528"/>
      <c r="U26" s="527"/>
      <c r="V26" s="528"/>
      <c r="W26" s="527"/>
      <c r="X26" s="529"/>
      <c r="Y26" s="530"/>
      <c r="Z26" s="528"/>
      <c r="AA26" s="527"/>
      <c r="AB26" s="529"/>
      <c r="AC26" s="530"/>
      <c r="AD26" s="528"/>
      <c r="AE26" s="527"/>
      <c r="AF26" s="529"/>
      <c r="AG26" s="530"/>
      <c r="AH26" s="528"/>
      <c r="AI26" s="527"/>
      <c r="AJ26" s="528"/>
      <c r="AN26" s="2"/>
      <c r="AO26" s="2"/>
      <c r="AP26" s="2"/>
      <c r="AQ26" s="898"/>
      <c r="AR26" s="898"/>
      <c r="AS26" s="898"/>
      <c r="AT26" s="898"/>
      <c r="AU26" s="898"/>
    </row>
    <row r="27" spans="1:48" ht="12.75" customHeight="1" thickBot="1" x14ac:dyDescent="0.3">
      <c r="A27" s="473"/>
      <c r="B27" s="536"/>
      <c r="C27" s="634"/>
      <c r="D27" s="1087">
        <f t="array" ref="D27">IF(G27=0,0,_xlfn.IFNA(INDEX(NewRecipeTable[ShortCode],MATCH($B27&amp;"Yes",NewRecipeTable[Item No.]&amp;NewRecipeTable[Active Recipe],0)),))</f>
        <v>0</v>
      </c>
      <c r="E27" s="1083"/>
      <c r="F27" s="619"/>
      <c r="G27" s="619"/>
      <c r="H27" s="980"/>
      <c r="I27" s="532">
        <f>[4]shoulders!C26</f>
        <v>0</v>
      </c>
      <c r="J27" s="626">
        <f>[4]shoulders!D26</f>
        <v>0</v>
      </c>
      <c r="K27" s="532"/>
      <c r="L27" s="534"/>
      <c r="M27" s="535"/>
      <c r="N27" s="533"/>
      <c r="O27" s="532"/>
      <c r="P27" s="534"/>
      <c r="Q27" s="535"/>
      <c r="R27" s="533"/>
      <c r="S27" s="532"/>
      <c r="T27" s="534"/>
      <c r="U27" s="535"/>
      <c r="V27" s="533"/>
      <c r="W27" s="532"/>
      <c r="X27" s="534"/>
      <c r="Y27" s="535"/>
      <c r="Z27" s="533"/>
      <c r="AA27" s="532"/>
      <c r="AB27" s="534"/>
      <c r="AC27" s="535"/>
      <c r="AD27" s="533"/>
      <c r="AE27" s="532"/>
      <c r="AF27" s="534"/>
      <c r="AG27" s="535"/>
      <c r="AH27" s="533"/>
      <c r="AI27" s="532"/>
      <c r="AJ27" s="533"/>
      <c r="AN27" s="2"/>
      <c r="AO27" s="2"/>
      <c r="AP27" s="2"/>
      <c r="AQ27" s="898"/>
      <c r="AR27" s="898"/>
      <c r="AS27" s="898"/>
      <c r="AT27" s="898"/>
      <c r="AU27" s="898"/>
    </row>
    <row r="28" spans="1:48" ht="12.75" customHeight="1" thickBot="1" x14ac:dyDescent="0.3">
      <c r="A28" s="473"/>
      <c r="B28" s="525"/>
      <c r="C28" s="647" t="s">
        <v>174</v>
      </c>
      <c r="D28" s="647"/>
      <c r="E28" s="647"/>
      <c r="F28" s="648">
        <f>SUM(F8:F27)</f>
        <v>1108</v>
      </c>
      <c r="G28" s="648">
        <f>SUM(G8:G27)</f>
        <v>4477.6000000000004</v>
      </c>
      <c r="H28" s="649">
        <f>SUM(H8:H27)</f>
        <v>0.26719278802612134</v>
      </c>
      <c r="I28" s="650"/>
      <c r="J28" s="651"/>
      <c r="K28" s="650"/>
      <c r="L28" s="651"/>
      <c r="M28" s="651"/>
      <c r="N28" s="651"/>
      <c r="O28" s="651"/>
      <c r="P28" s="651"/>
      <c r="Q28" s="651"/>
      <c r="R28" s="651"/>
      <c r="S28" s="651"/>
      <c r="T28" s="651"/>
      <c r="U28" s="651"/>
      <c r="V28" s="651"/>
      <c r="W28" s="651"/>
      <c r="X28" s="651"/>
      <c r="Y28" s="651"/>
      <c r="Z28" s="651"/>
      <c r="AA28" s="651"/>
      <c r="AB28" s="651"/>
      <c r="AC28" s="651"/>
      <c r="AD28" s="651"/>
      <c r="AE28" s="651"/>
      <c r="AF28" s="651"/>
      <c r="AG28" s="651"/>
      <c r="AH28" s="651"/>
      <c r="AI28" s="651"/>
      <c r="AJ28" s="652"/>
      <c r="AN28" s="2"/>
      <c r="AO28" s="2"/>
      <c r="AP28" s="2"/>
      <c r="AQ28" s="898"/>
      <c r="AR28" s="898"/>
      <c r="AS28" s="898"/>
      <c r="AT28" s="898"/>
      <c r="AU28" s="898"/>
    </row>
    <row r="29" spans="1:48" ht="12.75" customHeight="1" thickBot="1" x14ac:dyDescent="0.3">
      <c r="A29" s="473"/>
      <c r="B29" s="536"/>
      <c r="C29" s="653"/>
      <c r="D29" s="653"/>
      <c r="E29" s="653"/>
      <c r="F29" s="558"/>
      <c r="G29" s="558"/>
      <c r="H29" s="654"/>
      <c r="I29" s="655"/>
      <c r="J29" s="656"/>
      <c r="K29" s="655"/>
      <c r="L29" s="561"/>
      <c r="M29" s="655"/>
      <c r="N29" s="561"/>
      <c r="O29" s="655"/>
      <c r="P29" s="561"/>
      <c r="Q29" s="655"/>
      <c r="R29" s="561"/>
      <c r="S29" s="655"/>
      <c r="T29" s="561"/>
      <c r="U29" s="655"/>
      <c r="V29" s="561"/>
      <c r="W29" s="655"/>
      <c r="X29" s="561"/>
      <c r="Y29" s="655"/>
      <c r="Z29" s="561"/>
      <c r="AA29" s="655"/>
      <c r="AB29" s="561"/>
      <c r="AC29" s="655"/>
      <c r="AD29" s="561"/>
      <c r="AE29" s="655"/>
      <c r="AF29" s="561"/>
      <c r="AG29" s="655"/>
      <c r="AH29" s="561"/>
      <c r="AI29" s="655"/>
      <c r="AJ29" s="657"/>
      <c r="AN29" s="2"/>
      <c r="AO29" s="2"/>
      <c r="AP29" s="2"/>
      <c r="AQ29" s="898"/>
      <c r="AR29" s="898"/>
      <c r="AS29" s="898"/>
      <c r="AT29" s="898"/>
      <c r="AU29" s="898"/>
    </row>
    <row r="30" spans="1:48" ht="12.75" customHeight="1" thickBot="1" x14ac:dyDescent="0.3">
      <c r="A30" s="473"/>
      <c r="B30" s="364"/>
      <c r="C30" s="658"/>
      <c r="D30" s="658"/>
      <c r="E30" s="658"/>
      <c r="F30" s="659"/>
      <c r="G30" s="660"/>
      <c r="H30" s="661"/>
      <c r="I30" s="662" t="s">
        <v>181</v>
      </c>
      <c r="J30" s="663" t="s">
        <v>181</v>
      </c>
      <c r="K30" s="662" t="s">
        <v>181</v>
      </c>
      <c r="L30" s="664" t="s">
        <v>181</v>
      </c>
      <c r="M30" s="665" t="s">
        <v>181</v>
      </c>
      <c r="N30" s="666" t="s">
        <v>181</v>
      </c>
      <c r="O30" s="665" t="s">
        <v>181</v>
      </c>
      <c r="P30" s="666" t="s">
        <v>181</v>
      </c>
      <c r="Q30" s="662" t="s">
        <v>181</v>
      </c>
      <c r="R30" s="664" t="s">
        <v>181</v>
      </c>
      <c r="S30" s="665" t="s">
        <v>181</v>
      </c>
      <c r="T30" s="666" t="s">
        <v>181</v>
      </c>
      <c r="U30" s="662" t="s">
        <v>181</v>
      </c>
      <c r="V30" s="664" t="s">
        <v>181</v>
      </c>
      <c r="W30" s="665" t="s">
        <v>181</v>
      </c>
      <c r="X30" s="666" t="s">
        <v>181</v>
      </c>
      <c r="Y30" s="662" t="s">
        <v>181</v>
      </c>
      <c r="Z30" s="664" t="s">
        <v>181</v>
      </c>
      <c r="AA30" s="665" t="s">
        <v>181</v>
      </c>
      <c r="AB30" s="666" t="s">
        <v>181</v>
      </c>
      <c r="AC30" s="662" t="s">
        <v>181</v>
      </c>
      <c r="AD30" s="664" t="s">
        <v>181</v>
      </c>
      <c r="AE30" s="665" t="s">
        <v>181</v>
      </c>
      <c r="AF30" s="666" t="s">
        <v>181</v>
      </c>
      <c r="AG30" s="662" t="s">
        <v>181</v>
      </c>
      <c r="AH30" s="664" t="s">
        <v>181</v>
      </c>
      <c r="AI30" s="665" t="s">
        <v>181</v>
      </c>
      <c r="AJ30" s="663" t="s">
        <v>181</v>
      </c>
      <c r="AN30" s="2"/>
      <c r="AO30" s="2"/>
      <c r="AP30" s="2"/>
      <c r="AQ30" s="898"/>
      <c r="AR30" s="898"/>
      <c r="AS30" s="898"/>
      <c r="AT30" s="898"/>
      <c r="AU30" s="898"/>
    </row>
    <row r="31" spans="1:48" ht="12.75" customHeight="1" x14ac:dyDescent="0.25">
      <c r="A31" s="473"/>
      <c r="B31" s="525" t="s">
        <v>2</v>
      </c>
      <c r="C31" s="614" t="s">
        <v>182</v>
      </c>
      <c r="D31" s="614"/>
      <c r="E31" s="614"/>
      <c r="F31" s="667"/>
      <c r="G31" s="615">
        <f>SUM(I31:AJ32)</f>
        <v>13.6</v>
      </c>
      <c r="H31" s="616">
        <f>IFERROR(G31/$G$53,)</f>
        <v>1.2155012155012155E-3</v>
      </c>
      <c r="I31" s="668">
        <f>[4]shoulders!D30</f>
        <v>13.6</v>
      </c>
      <c r="J31" s="570"/>
      <c r="K31" s="570"/>
      <c r="L31" s="570"/>
      <c r="M31" s="570"/>
      <c r="N31" s="570"/>
      <c r="O31" s="570"/>
      <c r="P31" s="570"/>
      <c r="Q31" s="570"/>
      <c r="R31" s="570"/>
      <c r="S31" s="570"/>
      <c r="T31" s="570"/>
      <c r="U31" s="570"/>
      <c r="V31" s="570"/>
      <c r="W31" s="570"/>
      <c r="X31" s="570"/>
      <c r="Y31" s="570"/>
      <c r="Z31" s="570"/>
      <c r="AA31" s="570"/>
      <c r="AB31" s="570"/>
      <c r="AC31" s="570"/>
      <c r="AD31" s="570"/>
      <c r="AE31" s="570"/>
      <c r="AF31" s="570"/>
      <c r="AG31" s="570"/>
      <c r="AH31" s="570"/>
      <c r="AI31" s="570"/>
      <c r="AJ31" s="573"/>
      <c r="AN31" s="2"/>
      <c r="AO31" s="2"/>
      <c r="AP31" s="2"/>
      <c r="AQ31" s="898"/>
      <c r="AR31" s="898"/>
      <c r="AS31" s="898"/>
      <c r="AT31" s="898"/>
      <c r="AU31" s="898"/>
    </row>
    <row r="32" spans="1:48" ht="12.75" customHeight="1" thickBot="1" x14ac:dyDescent="0.3">
      <c r="A32" s="473"/>
      <c r="B32" s="364"/>
      <c r="C32" s="634"/>
      <c r="D32" s="634"/>
      <c r="E32" s="634"/>
      <c r="F32" s="669"/>
      <c r="G32" s="624"/>
      <c r="H32" s="625"/>
      <c r="I32" s="670">
        <f>[4]shoulders!D31</f>
        <v>0</v>
      </c>
      <c r="J32" s="576"/>
      <c r="K32" s="576"/>
      <c r="L32" s="576"/>
      <c r="M32" s="576"/>
      <c r="N32" s="576"/>
      <c r="O32" s="576"/>
      <c r="P32" s="576"/>
      <c r="Q32" s="576"/>
      <c r="R32" s="576"/>
      <c r="S32" s="576"/>
      <c r="T32" s="576"/>
      <c r="U32" s="576"/>
      <c r="V32" s="576"/>
      <c r="W32" s="576"/>
      <c r="X32" s="576"/>
      <c r="Y32" s="576"/>
      <c r="Z32" s="576"/>
      <c r="AA32" s="576"/>
      <c r="AB32" s="576"/>
      <c r="AC32" s="576"/>
      <c r="AD32" s="576"/>
      <c r="AE32" s="576"/>
      <c r="AF32" s="576"/>
      <c r="AG32" s="576"/>
      <c r="AH32" s="576"/>
      <c r="AI32" s="576"/>
      <c r="AJ32" s="577"/>
      <c r="AN32" s="2"/>
      <c r="AO32" s="2"/>
      <c r="AP32" s="2"/>
      <c r="AQ32" s="898"/>
      <c r="AR32" s="898"/>
      <c r="AS32" s="898"/>
      <c r="AT32" s="898"/>
      <c r="AU32" s="898"/>
    </row>
    <row r="33" spans="1:47" ht="12.75" customHeight="1" x14ac:dyDescent="0.25">
      <c r="A33" s="473"/>
      <c r="B33" s="536" t="s">
        <v>3</v>
      </c>
      <c r="C33" s="641" t="s">
        <v>183</v>
      </c>
      <c r="D33" s="641"/>
      <c r="E33" s="641"/>
      <c r="F33" s="671"/>
      <c r="G33" s="642">
        <f>SUM(I33:AJ34)</f>
        <v>915.69999999999993</v>
      </c>
      <c r="H33" s="616">
        <f>IFERROR(G33/$G$53,)</f>
        <v>8.1840769340769337E-2</v>
      </c>
      <c r="I33" s="668">
        <f>[4]shoulders!D32</f>
        <v>915.69999999999993</v>
      </c>
      <c r="J33" s="570"/>
      <c r="K33" s="570"/>
      <c r="L33" s="570"/>
      <c r="M33" s="570"/>
      <c r="N33" s="570"/>
      <c r="O33" s="570"/>
      <c r="P33" s="570"/>
      <c r="Q33" s="570"/>
      <c r="R33" s="570"/>
      <c r="S33" s="570"/>
      <c r="T33" s="570"/>
      <c r="U33" s="570"/>
      <c r="V33" s="579"/>
      <c r="W33" s="579"/>
      <c r="X33" s="579"/>
      <c r="Y33" s="579"/>
      <c r="Z33" s="579"/>
      <c r="AA33" s="579"/>
      <c r="AB33" s="579"/>
      <c r="AC33" s="579"/>
      <c r="AD33" s="579"/>
      <c r="AE33" s="579"/>
      <c r="AF33" s="579"/>
      <c r="AG33" s="579"/>
      <c r="AH33" s="579"/>
      <c r="AI33" s="579"/>
      <c r="AJ33" s="580"/>
      <c r="AN33" s="2"/>
      <c r="AO33" s="2"/>
      <c r="AP33" s="2"/>
      <c r="AQ33" s="898"/>
      <c r="AR33" s="898"/>
      <c r="AS33" s="898"/>
      <c r="AT33" s="898"/>
      <c r="AU33" s="898"/>
    </row>
    <row r="34" spans="1:47" ht="12.75" customHeight="1" thickBot="1" x14ac:dyDescent="0.3">
      <c r="A34" s="473"/>
      <c r="B34" s="536"/>
      <c r="C34" s="641"/>
      <c r="D34" s="641"/>
      <c r="E34" s="641"/>
      <c r="F34" s="671"/>
      <c r="G34" s="619"/>
      <c r="H34" s="620"/>
      <c r="I34" s="670">
        <f>[4]shoulders!D33</f>
        <v>0</v>
      </c>
      <c r="J34" s="576"/>
      <c r="K34" s="576"/>
      <c r="L34" s="576"/>
      <c r="M34" s="576"/>
      <c r="N34" s="576"/>
      <c r="O34" s="576"/>
      <c r="P34" s="576"/>
      <c r="Q34" s="576"/>
      <c r="R34" s="576"/>
      <c r="S34" s="576"/>
      <c r="T34" s="576"/>
      <c r="U34" s="576"/>
      <c r="V34" s="583"/>
      <c r="W34" s="581"/>
      <c r="X34" s="581"/>
      <c r="Y34" s="581"/>
      <c r="Z34" s="581"/>
      <c r="AA34" s="581"/>
      <c r="AB34" s="581"/>
      <c r="AC34" s="581"/>
      <c r="AD34" s="581"/>
      <c r="AE34" s="581"/>
      <c r="AF34" s="581"/>
      <c r="AG34" s="581"/>
      <c r="AH34" s="581"/>
      <c r="AI34" s="581"/>
      <c r="AJ34" s="582"/>
      <c r="AN34" s="2"/>
      <c r="AO34" s="2"/>
      <c r="AP34" s="2"/>
      <c r="AQ34" s="898"/>
      <c r="AR34" s="898"/>
      <c r="AS34" s="898"/>
      <c r="AT34" s="898"/>
      <c r="AU34" s="898"/>
    </row>
    <row r="35" spans="1:47" ht="12.75" customHeight="1" x14ac:dyDescent="0.25">
      <c r="A35" s="473"/>
      <c r="B35" s="525" t="s">
        <v>4</v>
      </c>
      <c r="C35" s="614" t="s">
        <v>184</v>
      </c>
      <c r="D35" s="614"/>
      <c r="E35" s="614"/>
      <c r="F35" s="667"/>
      <c r="G35" s="615">
        <f>SUM(I35:AJ36)</f>
        <v>721.8</v>
      </c>
      <c r="H35" s="616">
        <f>IFERROR(G35/$G$53,)</f>
        <v>6.4510939510939516E-2</v>
      </c>
      <c r="I35" s="672">
        <f>[4]shoulders!D34</f>
        <v>721.8</v>
      </c>
      <c r="J35" s="570"/>
      <c r="K35" s="570"/>
      <c r="L35" s="673"/>
      <c r="M35" s="570"/>
      <c r="N35" s="570"/>
      <c r="O35" s="570"/>
      <c r="P35" s="570"/>
      <c r="Q35" s="570"/>
      <c r="R35" s="570"/>
      <c r="S35" s="570"/>
      <c r="T35" s="570"/>
      <c r="U35" s="570"/>
      <c r="V35" s="570"/>
      <c r="W35" s="570"/>
      <c r="X35" s="570"/>
      <c r="Y35" s="570"/>
      <c r="Z35" s="570"/>
      <c r="AA35" s="570"/>
      <c r="AB35" s="570"/>
      <c r="AC35" s="570"/>
      <c r="AD35" s="570"/>
      <c r="AE35" s="570"/>
      <c r="AF35" s="570"/>
      <c r="AG35" s="570"/>
      <c r="AH35" s="570"/>
      <c r="AI35" s="570"/>
      <c r="AJ35" s="573"/>
      <c r="AN35" s="2"/>
      <c r="AO35" s="2"/>
      <c r="AP35" s="2"/>
      <c r="AQ35" s="898"/>
      <c r="AR35" s="898"/>
      <c r="AS35" s="898"/>
      <c r="AT35" s="898"/>
      <c r="AU35" s="898"/>
    </row>
    <row r="36" spans="1:47" ht="12.75" customHeight="1" thickBot="1" x14ac:dyDescent="0.3">
      <c r="A36" s="473"/>
      <c r="B36" s="364"/>
      <c r="C36" s="634"/>
      <c r="D36" s="634"/>
      <c r="E36" s="634"/>
      <c r="F36" s="669"/>
      <c r="G36" s="624"/>
      <c r="H36" s="625"/>
      <c r="I36" s="672">
        <f>[4]shoulders!D35</f>
        <v>0</v>
      </c>
      <c r="J36" s="576"/>
      <c r="K36" s="576"/>
      <c r="L36" s="576"/>
      <c r="M36" s="576"/>
      <c r="N36" s="576"/>
      <c r="O36" s="576"/>
      <c r="P36" s="576"/>
      <c r="Q36" s="576"/>
      <c r="R36" s="576"/>
      <c r="S36" s="576"/>
      <c r="T36" s="576"/>
      <c r="U36" s="576"/>
      <c r="V36" s="576"/>
      <c r="W36" s="576"/>
      <c r="X36" s="576"/>
      <c r="Y36" s="576"/>
      <c r="Z36" s="576"/>
      <c r="AA36" s="576"/>
      <c r="AB36" s="576"/>
      <c r="AC36" s="576"/>
      <c r="AD36" s="576"/>
      <c r="AE36" s="576"/>
      <c r="AF36" s="576"/>
      <c r="AG36" s="576"/>
      <c r="AH36" s="576"/>
      <c r="AI36" s="576"/>
      <c r="AJ36" s="577"/>
      <c r="AN36" s="2"/>
      <c r="AO36" s="2"/>
      <c r="AP36" s="2"/>
      <c r="AQ36" s="898"/>
      <c r="AR36" s="898"/>
      <c r="AS36" s="898"/>
      <c r="AT36" s="898"/>
      <c r="AU36" s="898"/>
    </row>
    <row r="37" spans="1:47" ht="12.75" customHeight="1" x14ac:dyDescent="0.25">
      <c r="A37" s="473"/>
      <c r="B37" s="536" t="s">
        <v>5</v>
      </c>
      <c r="C37" s="641" t="s">
        <v>59</v>
      </c>
      <c r="D37" s="641"/>
      <c r="E37" s="641"/>
      <c r="F37" s="671"/>
      <c r="G37" s="642">
        <f>SUM(I37:AJ38)</f>
        <v>760</v>
      </c>
      <c r="H37" s="616">
        <f>IFERROR(G37/$G$53,)</f>
        <v>6.7925067925067931E-2</v>
      </c>
      <c r="I37" s="668">
        <f>[4]shoulders!D36</f>
        <v>1212</v>
      </c>
      <c r="J37" s="570"/>
      <c r="K37" s="570">
        <v>-452</v>
      </c>
      <c r="L37" s="570"/>
      <c r="M37" s="570"/>
      <c r="N37" s="570"/>
      <c r="O37" s="570"/>
      <c r="P37" s="570"/>
      <c r="Q37" s="570"/>
      <c r="R37" s="570"/>
      <c r="S37" s="570"/>
      <c r="T37" s="570"/>
      <c r="U37" s="570"/>
      <c r="V37" s="570"/>
      <c r="W37" s="570"/>
      <c r="X37" s="570"/>
      <c r="Y37" s="570"/>
      <c r="Z37" s="570"/>
      <c r="AA37" s="570"/>
      <c r="AB37" s="570"/>
      <c r="AC37" s="570"/>
      <c r="AD37" s="570"/>
      <c r="AE37" s="570"/>
      <c r="AF37" s="570"/>
      <c r="AG37" s="570"/>
      <c r="AH37" s="570"/>
      <c r="AI37" s="570"/>
      <c r="AJ37" s="573"/>
      <c r="AN37" s="2"/>
      <c r="AO37" s="2"/>
      <c r="AP37" s="2"/>
      <c r="AQ37" s="898"/>
      <c r="AR37" s="898"/>
      <c r="AS37" s="898"/>
      <c r="AT37" s="898"/>
      <c r="AU37" s="898"/>
    </row>
    <row r="38" spans="1:47" ht="12.75" customHeight="1" thickBot="1" x14ac:dyDescent="0.3">
      <c r="A38" s="473"/>
      <c r="B38" s="536"/>
      <c r="C38" s="641"/>
      <c r="D38" s="641"/>
      <c r="E38" s="641"/>
      <c r="F38" s="671"/>
      <c r="G38" s="642"/>
      <c r="H38" s="625"/>
      <c r="I38" s="670">
        <f>[4]shoulders!D37</f>
        <v>0</v>
      </c>
      <c r="J38" s="576"/>
      <c r="K38" s="576"/>
      <c r="L38" s="576"/>
      <c r="M38" s="576"/>
      <c r="N38" s="576"/>
      <c r="O38" s="576"/>
      <c r="P38" s="576"/>
      <c r="Q38" s="576"/>
      <c r="R38" s="576"/>
      <c r="S38" s="576"/>
      <c r="T38" s="576"/>
      <c r="U38" s="576"/>
      <c r="V38" s="576"/>
      <c r="W38" s="576"/>
      <c r="X38" s="576"/>
      <c r="Y38" s="576"/>
      <c r="Z38" s="576"/>
      <c r="AA38" s="576"/>
      <c r="AB38" s="576"/>
      <c r="AC38" s="576"/>
      <c r="AD38" s="576"/>
      <c r="AE38" s="576"/>
      <c r="AF38" s="576"/>
      <c r="AG38" s="576"/>
      <c r="AH38" s="576"/>
      <c r="AI38" s="576"/>
      <c r="AJ38" s="577"/>
      <c r="AN38" s="2"/>
      <c r="AO38" s="2"/>
      <c r="AP38" s="2"/>
      <c r="AQ38" s="898"/>
      <c r="AR38" s="898"/>
      <c r="AS38" s="898"/>
      <c r="AT38" s="898"/>
      <c r="AU38" s="898"/>
    </row>
    <row r="39" spans="1:47" ht="12.75" customHeight="1" x14ac:dyDescent="0.25">
      <c r="A39" s="473"/>
      <c r="B39" s="674" t="s">
        <v>260</v>
      </c>
      <c r="C39" s="614" t="s">
        <v>261</v>
      </c>
      <c r="D39" s="614"/>
      <c r="E39" s="614"/>
      <c r="F39" s="667"/>
      <c r="G39" s="615">
        <f>SUM(I39:AJ40)</f>
        <v>452</v>
      </c>
      <c r="H39" s="616">
        <f>IFERROR(G39/$G$53,)</f>
        <v>4.0397540397540399E-2</v>
      </c>
      <c r="I39" s="675">
        <f>[4]shoulders!D42</f>
        <v>0</v>
      </c>
      <c r="J39" s="579">
        <v>452</v>
      </c>
      <c r="K39" s="579"/>
      <c r="L39" s="579"/>
      <c r="M39" s="579"/>
      <c r="N39" s="579"/>
      <c r="O39" s="579"/>
      <c r="P39" s="579"/>
      <c r="Q39" s="579"/>
      <c r="R39" s="579"/>
      <c r="S39" s="579"/>
      <c r="T39" s="579"/>
      <c r="U39" s="579"/>
      <c r="V39" s="579"/>
      <c r="W39" s="579"/>
      <c r="X39" s="579"/>
      <c r="Y39" s="579"/>
      <c r="Z39" s="579"/>
      <c r="AA39" s="579"/>
      <c r="AB39" s="579"/>
      <c r="AC39" s="579"/>
      <c r="AD39" s="579"/>
      <c r="AE39" s="579"/>
      <c r="AF39" s="579"/>
      <c r="AG39" s="579"/>
      <c r="AH39" s="579"/>
      <c r="AI39" s="579"/>
      <c r="AJ39" s="580"/>
      <c r="AN39" s="2"/>
      <c r="AO39" s="2"/>
      <c r="AP39" s="2"/>
      <c r="AQ39" s="898"/>
      <c r="AR39" s="898"/>
      <c r="AS39" s="898"/>
      <c r="AT39" s="898"/>
      <c r="AU39" s="898"/>
    </row>
    <row r="40" spans="1:47" ht="12.75" customHeight="1" thickBot="1" x14ac:dyDescent="0.3">
      <c r="A40" s="473"/>
      <c r="B40" s="676"/>
      <c r="C40" s="634"/>
      <c r="D40" s="634"/>
      <c r="E40" s="634"/>
      <c r="F40" s="669"/>
      <c r="G40" s="624"/>
      <c r="H40" s="625"/>
      <c r="I40" s="677">
        <f>[4]shoulders!D43</f>
        <v>0</v>
      </c>
      <c r="J40" s="581"/>
      <c r="K40" s="581"/>
      <c r="L40" s="581"/>
      <c r="M40" s="581"/>
      <c r="N40" s="581"/>
      <c r="O40" s="581"/>
      <c r="P40" s="581"/>
      <c r="Q40" s="581"/>
      <c r="R40" s="581"/>
      <c r="S40" s="581"/>
      <c r="T40" s="581"/>
      <c r="U40" s="581"/>
      <c r="V40" s="581"/>
      <c r="W40" s="581"/>
      <c r="X40" s="581"/>
      <c r="Y40" s="581"/>
      <c r="Z40" s="581"/>
      <c r="AA40" s="581"/>
      <c r="AB40" s="581"/>
      <c r="AC40" s="581"/>
      <c r="AD40" s="581"/>
      <c r="AE40" s="581"/>
      <c r="AF40" s="581"/>
      <c r="AG40" s="581"/>
      <c r="AH40" s="581"/>
      <c r="AI40" s="581"/>
      <c r="AJ40" s="582"/>
      <c r="AN40" s="2"/>
      <c r="AO40" s="2"/>
      <c r="AP40" s="2"/>
      <c r="AQ40" s="898"/>
      <c r="AR40" s="898"/>
      <c r="AS40" s="898"/>
      <c r="AT40" s="898"/>
      <c r="AU40" s="898"/>
    </row>
    <row r="41" spans="1:47" ht="12.75" customHeight="1" x14ac:dyDescent="0.25">
      <c r="A41" s="473"/>
      <c r="B41" s="674" t="s">
        <v>7</v>
      </c>
      <c r="C41" s="614" t="s">
        <v>185</v>
      </c>
      <c r="D41" s="614"/>
      <c r="E41" s="614"/>
      <c r="F41" s="667"/>
      <c r="G41" s="615">
        <f>SUM(I41:AJ42)</f>
        <v>14.7</v>
      </c>
      <c r="H41" s="616">
        <f>IFERROR(G41/$G$53,)</f>
        <v>1.3138138138138139E-3</v>
      </c>
      <c r="I41" s="668">
        <f>[4]shoulders!D38</f>
        <v>14.7</v>
      </c>
      <c r="J41" s="1091"/>
      <c r="K41" s="570"/>
      <c r="L41" s="570"/>
      <c r="M41" s="570"/>
      <c r="N41" s="570"/>
      <c r="O41" s="570"/>
      <c r="P41" s="570"/>
      <c r="Q41" s="570"/>
      <c r="R41" s="570"/>
      <c r="S41" s="570"/>
      <c r="T41" s="570"/>
      <c r="U41" s="570"/>
      <c r="V41" s="570"/>
      <c r="W41" s="570"/>
      <c r="X41" s="570"/>
      <c r="Y41" s="570"/>
      <c r="Z41" s="570"/>
      <c r="AA41" s="570"/>
      <c r="AB41" s="570"/>
      <c r="AC41" s="570"/>
      <c r="AD41" s="570"/>
      <c r="AE41" s="570"/>
      <c r="AF41" s="570"/>
      <c r="AG41" s="570"/>
      <c r="AH41" s="570"/>
      <c r="AI41" s="570"/>
      <c r="AJ41" s="573"/>
      <c r="AN41" s="2"/>
      <c r="AO41" s="2"/>
      <c r="AP41" s="2"/>
      <c r="AQ41" s="898"/>
      <c r="AR41" s="898"/>
      <c r="AS41" s="898"/>
      <c r="AT41" s="898"/>
      <c r="AU41" s="898"/>
    </row>
    <row r="42" spans="1:47" ht="12.75" customHeight="1" thickBot="1" x14ac:dyDescent="0.3">
      <c r="A42" s="473"/>
      <c r="B42" s="676"/>
      <c r="C42" s="634"/>
      <c r="D42" s="634"/>
      <c r="E42" s="634"/>
      <c r="F42" s="669"/>
      <c r="G42" s="624"/>
      <c r="H42" s="625"/>
      <c r="I42" s="670">
        <f>[4]shoulders!D39</f>
        <v>0</v>
      </c>
      <c r="J42" s="576"/>
      <c r="K42" s="576"/>
      <c r="L42" s="576"/>
      <c r="M42" s="576"/>
      <c r="N42" s="576"/>
      <c r="O42" s="576"/>
      <c r="P42" s="576"/>
      <c r="Q42" s="576"/>
      <c r="R42" s="576"/>
      <c r="S42" s="576"/>
      <c r="T42" s="576"/>
      <c r="U42" s="576"/>
      <c r="V42" s="576"/>
      <c r="W42" s="576"/>
      <c r="X42" s="576"/>
      <c r="Y42" s="576"/>
      <c r="Z42" s="576"/>
      <c r="AA42" s="576"/>
      <c r="AB42" s="576"/>
      <c r="AC42" s="576"/>
      <c r="AD42" s="576"/>
      <c r="AE42" s="576"/>
      <c r="AF42" s="576"/>
      <c r="AG42" s="576"/>
      <c r="AH42" s="576"/>
      <c r="AI42" s="576"/>
      <c r="AJ42" s="577"/>
      <c r="AN42" s="2"/>
      <c r="AO42" s="2"/>
      <c r="AP42" s="2"/>
      <c r="AQ42" s="898"/>
      <c r="AR42" s="898"/>
      <c r="AS42" s="898"/>
      <c r="AT42" s="898"/>
      <c r="AU42" s="898"/>
    </row>
    <row r="43" spans="1:47" ht="12.75" customHeight="1" x14ac:dyDescent="0.25">
      <c r="A43" s="473"/>
      <c r="B43" s="674" t="s">
        <v>6</v>
      </c>
      <c r="C43" s="361" t="s">
        <v>186</v>
      </c>
      <c r="D43" s="361"/>
      <c r="E43" s="361"/>
      <c r="F43" s="667"/>
      <c r="G43" s="615">
        <f>SUM(I43:AJ44)</f>
        <v>2268.3999999999996</v>
      </c>
      <c r="H43" s="616">
        <f>IFERROR(G43/$G$53,)</f>
        <v>0.20273845273845273</v>
      </c>
      <c r="I43" s="668">
        <f>[4]shoulders!D40</f>
        <v>2268.3999999999996</v>
      </c>
      <c r="J43" s="570"/>
      <c r="K43" s="570"/>
      <c r="L43" s="570"/>
      <c r="M43" s="570"/>
      <c r="N43" s="570"/>
      <c r="O43" s="570"/>
      <c r="P43" s="570"/>
      <c r="Q43" s="570"/>
      <c r="R43" s="570"/>
      <c r="S43" s="570"/>
      <c r="T43" s="570"/>
      <c r="U43" s="570"/>
      <c r="V43" s="570"/>
      <c r="W43" s="570"/>
      <c r="X43" s="570"/>
      <c r="Y43" s="570"/>
      <c r="Z43" s="570"/>
      <c r="AA43" s="570"/>
      <c r="AB43" s="570"/>
      <c r="AC43" s="570"/>
      <c r="AD43" s="570"/>
      <c r="AE43" s="570"/>
      <c r="AF43" s="570"/>
      <c r="AG43" s="570"/>
      <c r="AH43" s="570"/>
      <c r="AI43" s="570"/>
      <c r="AJ43" s="573"/>
      <c r="AN43" s="2"/>
      <c r="AO43" s="2"/>
      <c r="AP43" s="2"/>
      <c r="AQ43" s="898"/>
      <c r="AR43" s="898"/>
      <c r="AS43" s="898"/>
      <c r="AT43" s="898"/>
      <c r="AU43" s="898"/>
    </row>
    <row r="44" spans="1:47" ht="12.75" customHeight="1" thickBot="1" x14ac:dyDescent="0.3">
      <c r="A44" s="473"/>
      <c r="B44" s="676"/>
      <c r="C44" s="634"/>
      <c r="D44" s="634"/>
      <c r="E44" s="634"/>
      <c r="F44" s="669"/>
      <c r="G44" s="624"/>
      <c r="H44" s="625"/>
      <c r="I44" s="670">
        <f>[4]shoulders!D41</f>
        <v>0</v>
      </c>
      <c r="J44" s="576"/>
      <c r="K44" s="576"/>
      <c r="L44" s="576"/>
      <c r="M44" s="576"/>
      <c r="N44" s="576"/>
      <c r="O44" s="576"/>
      <c r="P44" s="576"/>
      <c r="Q44" s="576"/>
      <c r="R44" s="576"/>
      <c r="S44" s="576"/>
      <c r="T44" s="576"/>
      <c r="U44" s="576"/>
      <c r="V44" s="576"/>
      <c r="W44" s="576"/>
      <c r="X44" s="576"/>
      <c r="Y44" s="576"/>
      <c r="Z44" s="576"/>
      <c r="AA44" s="576"/>
      <c r="AB44" s="576"/>
      <c r="AC44" s="576"/>
      <c r="AD44" s="576"/>
      <c r="AE44" s="576"/>
      <c r="AF44" s="576"/>
      <c r="AG44" s="576"/>
      <c r="AH44" s="576"/>
      <c r="AI44" s="576"/>
      <c r="AJ44" s="577"/>
      <c r="AN44" s="2"/>
      <c r="AO44" s="2"/>
      <c r="AP44" s="2"/>
      <c r="AQ44" s="898"/>
      <c r="AR44" s="898"/>
      <c r="AS44" s="898"/>
      <c r="AT44" s="898"/>
      <c r="AU44" s="898"/>
    </row>
    <row r="45" spans="1:47" ht="12.75" customHeight="1" x14ac:dyDescent="0.25">
      <c r="A45" s="473"/>
      <c r="B45" s="674" t="s">
        <v>1</v>
      </c>
      <c r="C45" s="614" t="s">
        <v>187</v>
      </c>
      <c r="D45" s="614"/>
      <c r="E45" s="614"/>
      <c r="F45" s="667"/>
      <c r="G45" s="615">
        <f>SUM(I45:AJ46)</f>
        <v>1257.3</v>
      </c>
      <c r="H45" s="616">
        <f>IFERROR(G45/$G$53,)</f>
        <v>0.11237129987129987</v>
      </c>
      <c r="I45" s="668">
        <f>[4]shoulders!D44</f>
        <v>1257.3</v>
      </c>
      <c r="J45" s="570"/>
      <c r="K45" s="570"/>
      <c r="L45" s="570"/>
      <c r="M45" s="570"/>
      <c r="N45" s="570"/>
      <c r="O45" s="570"/>
      <c r="P45" s="570"/>
      <c r="Q45" s="570"/>
      <c r="R45" s="570"/>
      <c r="S45" s="570"/>
      <c r="T45" s="570"/>
      <c r="U45" s="570"/>
      <c r="V45" s="570"/>
      <c r="W45" s="570"/>
      <c r="X45" s="570"/>
      <c r="Y45" s="570"/>
      <c r="Z45" s="570"/>
      <c r="AA45" s="570"/>
      <c r="AB45" s="570"/>
      <c r="AC45" s="570"/>
      <c r="AD45" s="570"/>
      <c r="AE45" s="570"/>
      <c r="AF45" s="570"/>
      <c r="AG45" s="570"/>
      <c r="AH45" s="570"/>
      <c r="AI45" s="570"/>
      <c r="AJ45" s="573"/>
      <c r="AN45" s="2"/>
      <c r="AO45" s="2"/>
      <c r="AP45" s="2"/>
      <c r="AQ45" s="898"/>
      <c r="AR45" s="898"/>
      <c r="AS45" s="898"/>
      <c r="AT45" s="898"/>
      <c r="AU45" s="898"/>
    </row>
    <row r="46" spans="1:47" ht="12.75" customHeight="1" thickBot="1" x14ac:dyDescent="0.3">
      <c r="A46" s="473"/>
      <c r="B46" s="676"/>
      <c r="C46" s="623"/>
      <c r="D46" s="623"/>
      <c r="E46" s="623"/>
      <c r="F46" s="669"/>
      <c r="G46" s="624"/>
      <c r="H46" s="625"/>
      <c r="I46" s="670">
        <f>[4]shoulders!D45</f>
        <v>0</v>
      </c>
      <c r="J46" s="576"/>
      <c r="K46" s="576"/>
      <c r="L46" s="576"/>
      <c r="M46" s="576"/>
      <c r="N46" s="576"/>
      <c r="O46" s="576"/>
      <c r="P46" s="576"/>
      <c r="Q46" s="576"/>
      <c r="R46" s="576"/>
      <c r="S46" s="576"/>
      <c r="T46" s="576"/>
      <c r="U46" s="576"/>
      <c r="V46" s="576"/>
      <c r="W46" s="576"/>
      <c r="X46" s="576"/>
      <c r="Y46" s="576"/>
      <c r="Z46" s="576"/>
      <c r="AA46" s="576"/>
      <c r="AB46" s="576"/>
      <c r="AC46" s="576"/>
      <c r="AD46" s="576"/>
      <c r="AE46" s="576"/>
      <c r="AF46" s="576"/>
      <c r="AG46" s="576"/>
      <c r="AH46" s="576"/>
      <c r="AI46" s="576"/>
      <c r="AJ46" s="577"/>
      <c r="AN46" s="2"/>
      <c r="AO46" s="2"/>
      <c r="AP46" s="2"/>
      <c r="AQ46" s="898"/>
      <c r="AR46" s="898"/>
      <c r="AS46" s="898"/>
      <c r="AT46" s="898"/>
      <c r="AU46" s="898"/>
    </row>
    <row r="47" spans="1:47" ht="12.75" customHeight="1" x14ac:dyDescent="0.25">
      <c r="A47" s="473"/>
      <c r="B47" s="614" t="s">
        <v>175</v>
      </c>
      <c r="C47" s="641" t="s">
        <v>188</v>
      </c>
      <c r="D47" s="641"/>
      <c r="E47" s="641"/>
      <c r="F47" s="671"/>
      <c r="G47" s="642">
        <f>SUM(I47:AJ48)</f>
        <v>86.7</v>
      </c>
      <c r="H47" s="616">
        <f>IFERROR(G47/$G$53,)</f>
        <v>7.74882024882025E-3</v>
      </c>
      <c r="I47" s="675">
        <f>[4]shoulders!D46</f>
        <v>86.7</v>
      </c>
      <c r="J47" s="579"/>
      <c r="K47" s="579"/>
      <c r="L47" s="579"/>
      <c r="M47" s="579"/>
      <c r="N47" s="579"/>
      <c r="O47" s="579"/>
      <c r="P47" s="579"/>
      <c r="Q47" s="579"/>
      <c r="R47" s="579"/>
      <c r="S47" s="579"/>
      <c r="T47" s="579"/>
      <c r="U47" s="579"/>
      <c r="V47" s="579"/>
      <c r="W47" s="579"/>
      <c r="X47" s="579"/>
      <c r="Y47" s="579"/>
      <c r="Z47" s="579"/>
      <c r="AA47" s="579"/>
      <c r="AB47" s="579"/>
      <c r="AC47" s="579"/>
      <c r="AD47" s="579"/>
      <c r="AE47" s="579"/>
      <c r="AF47" s="579"/>
      <c r="AG47" s="579"/>
      <c r="AH47" s="579"/>
      <c r="AI47" s="579"/>
      <c r="AJ47" s="580"/>
      <c r="AN47" s="2"/>
      <c r="AO47" s="2"/>
      <c r="AP47" s="2"/>
      <c r="AQ47" s="898"/>
      <c r="AR47" s="898"/>
      <c r="AS47" s="898"/>
      <c r="AT47" s="898"/>
      <c r="AU47" s="898"/>
    </row>
    <row r="48" spans="1:47" ht="12.75" customHeight="1" thickBot="1" x14ac:dyDescent="0.3">
      <c r="A48" s="473"/>
      <c r="B48" s="623"/>
      <c r="C48" s="618"/>
      <c r="D48" s="618"/>
      <c r="E48" s="618"/>
      <c r="F48" s="671"/>
      <c r="G48" s="619"/>
      <c r="H48" s="620"/>
      <c r="I48" s="675">
        <f>[4]shoulders!D47</f>
        <v>0</v>
      </c>
      <c r="J48" s="581"/>
      <c r="K48" s="581"/>
      <c r="L48" s="581"/>
      <c r="M48" s="581"/>
      <c r="N48" s="581"/>
      <c r="O48" s="581"/>
      <c r="P48" s="581"/>
      <c r="Q48" s="581"/>
      <c r="R48" s="581"/>
      <c r="S48" s="581"/>
      <c r="T48" s="581"/>
      <c r="U48" s="581"/>
      <c r="V48" s="581"/>
      <c r="W48" s="581"/>
      <c r="X48" s="581"/>
      <c r="Y48" s="581"/>
      <c r="Z48" s="581"/>
      <c r="AA48" s="581"/>
      <c r="AB48" s="581"/>
      <c r="AC48" s="581"/>
      <c r="AD48" s="581"/>
      <c r="AE48" s="581"/>
      <c r="AF48" s="581"/>
      <c r="AG48" s="581"/>
      <c r="AH48" s="581"/>
      <c r="AI48" s="581"/>
      <c r="AJ48" s="582"/>
      <c r="AN48" s="2"/>
      <c r="AO48" s="2"/>
      <c r="AP48" s="2"/>
      <c r="AQ48" s="898"/>
      <c r="AR48" s="898"/>
      <c r="AS48" s="898"/>
      <c r="AT48" s="898"/>
      <c r="AU48" s="898"/>
    </row>
    <row r="49" spans="1:47" ht="12.75" customHeight="1" x14ac:dyDescent="0.25">
      <c r="A49" s="473"/>
      <c r="B49" s="674" t="s">
        <v>189</v>
      </c>
      <c r="C49" s="614" t="s">
        <v>190</v>
      </c>
      <c r="D49" s="614"/>
      <c r="E49" s="614"/>
      <c r="F49" s="667"/>
      <c r="G49" s="615">
        <f>SUM(I49:AJ50)</f>
        <v>221</v>
      </c>
      <c r="H49" s="616">
        <f>IFERROR(G49/$G$53,)</f>
        <v>1.9751894751894754E-2</v>
      </c>
      <c r="I49" s="668">
        <f>[4]shoulders!D48</f>
        <v>221</v>
      </c>
      <c r="J49" s="570"/>
      <c r="K49" s="570"/>
      <c r="L49" s="570"/>
      <c r="M49" s="570"/>
      <c r="N49" s="570"/>
      <c r="O49" s="570"/>
      <c r="P49" s="570"/>
      <c r="Q49" s="570"/>
      <c r="R49" s="570"/>
      <c r="S49" s="570"/>
      <c r="T49" s="570"/>
      <c r="U49" s="570"/>
      <c r="V49" s="570"/>
      <c r="W49" s="570"/>
      <c r="X49" s="570"/>
      <c r="Y49" s="570"/>
      <c r="Z49" s="570"/>
      <c r="AA49" s="570"/>
      <c r="AB49" s="570"/>
      <c r="AC49" s="570"/>
      <c r="AD49" s="570"/>
      <c r="AE49" s="570"/>
      <c r="AF49" s="570"/>
      <c r="AG49" s="570"/>
      <c r="AH49" s="570"/>
      <c r="AI49" s="570"/>
      <c r="AJ49" s="573"/>
      <c r="AN49" s="2"/>
      <c r="AO49" s="2"/>
      <c r="AP49" s="2"/>
      <c r="AQ49" s="898"/>
      <c r="AR49" s="898"/>
      <c r="AS49" s="898"/>
      <c r="AT49" s="898"/>
      <c r="AU49" s="898"/>
    </row>
    <row r="50" spans="1:47" ht="12.75" customHeight="1" thickBot="1" x14ac:dyDescent="0.3">
      <c r="A50" s="473"/>
      <c r="B50" s="676"/>
      <c r="C50" s="634"/>
      <c r="D50" s="634"/>
      <c r="E50" s="634"/>
      <c r="F50" s="669"/>
      <c r="G50" s="624"/>
      <c r="H50" s="625"/>
      <c r="I50" s="670">
        <f>[4]shoulders!D49</f>
        <v>0</v>
      </c>
      <c r="J50" s="576"/>
      <c r="K50" s="576"/>
      <c r="L50" s="576"/>
      <c r="M50" s="576"/>
      <c r="N50" s="576"/>
      <c r="O50" s="576"/>
      <c r="P50" s="576"/>
      <c r="Q50" s="576"/>
      <c r="R50" s="576"/>
      <c r="S50" s="576"/>
      <c r="T50" s="576"/>
      <c r="U50" s="576"/>
      <c r="V50" s="576"/>
      <c r="W50" s="576"/>
      <c r="X50" s="576"/>
      <c r="Y50" s="576"/>
      <c r="Z50" s="576"/>
      <c r="AA50" s="576"/>
      <c r="AB50" s="576"/>
      <c r="AC50" s="576"/>
      <c r="AD50" s="576"/>
      <c r="AE50" s="576"/>
      <c r="AF50" s="576"/>
      <c r="AG50" s="576"/>
      <c r="AH50" s="576"/>
      <c r="AI50" s="576"/>
      <c r="AJ50" s="577"/>
      <c r="AN50" s="2"/>
      <c r="AO50" s="2"/>
      <c r="AP50" s="2"/>
      <c r="AQ50" s="898"/>
      <c r="AR50" s="898"/>
      <c r="AS50" s="898"/>
      <c r="AT50" s="898"/>
      <c r="AU50" s="898"/>
    </row>
    <row r="51" spans="1:47" ht="12.75" customHeight="1" thickBot="1" x14ac:dyDescent="0.3">
      <c r="A51" s="473"/>
      <c r="B51" s="403"/>
      <c r="C51" s="969" t="s">
        <v>174</v>
      </c>
      <c r="D51" s="969"/>
      <c r="E51" s="969"/>
      <c r="F51" s="970">
        <f>SUM(F31:F50)</f>
        <v>0</v>
      </c>
      <c r="G51" s="553">
        <f>SUM(G31:G50)</f>
        <v>6711.1999999999989</v>
      </c>
      <c r="H51" s="678">
        <f>SUM(H31:H50)</f>
        <v>0.59981409981409983</v>
      </c>
      <c r="I51" s="473"/>
      <c r="J51" s="473"/>
      <c r="K51" s="473"/>
      <c r="L51" s="473"/>
      <c r="M51" s="473"/>
      <c r="N51" s="473"/>
      <c r="O51" s="473"/>
      <c r="P51" s="473"/>
      <c r="Q51" s="473"/>
      <c r="R51" s="473"/>
      <c r="S51" s="473"/>
      <c r="T51" s="473"/>
      <c r="U51" s="473"/>
      <c r="V51" s="473"/>
      <c r="W51" s="473"/>
      <c r="X51" s="473"/>
      <c r="Y51" s="473"/>
      <c r="Z51" s="473"/>
      <c r="AA51" s="473"/>
      <c r="AB51" s="473"/>
      <c r="AC51" s="473"/>
      <c r="AD51" s="473"/>
      <c r="AE51" s="473"/>
      <c r="AF51" s="473"/>
      <c r="AG51" s="473"/>
      <c r="AH51" s="473"/>
      <c r="AI51" s="473"/>
      <c r="AJ51" s="473"/>
      <c r="AN51" s="2"/>
      <c r="AO51" s="2"/>
      <c r="AP51" s="2"/>
      <c r="AQ51" s="898"/>
      <c r="AR51" s="898"/>
      <c r="AS51" s="898"/>
      <c r="AT51" s="898"/>
      <c r="AU51" s="898"/>
    </row>
    <row r="52" spans="1:47" ht="3.75" customHeight="1" thickBot="1" x14ac:dyDescent="0.3">
      <c r="A52" s="473"/>
      <c r="B52" s="405"/>
      <c r="C52" s="406"/>
      <c r="D52" s="679"/>
      <c r="E52" s="679"/>
      <c r="F52" s="680"/>
      <c r="G52" s="681"/>
      <c r="H52" s="616"/>
      <c r="I52" s="473"/>
      <c r="J52" s="473"/>
      <c r="K52" s="496"/>
      <c r="L52" s="602"/>
      <c r="M52" s="473"/>
      <c r="N52" s="473"/>
      <c r="O52" s="473"/>
      <c r="P52" s="473"/>
      <c r="Q52" s="473"/>
      <c r="R52" s="473"/>
      <c r="S52" s="473"/>
      <c r="T52" s="473"/>
      <c r="U52" s="473"/>
      <c r="V52" s="473"/>
      <c r="W52" s="473"/>
      <c r="X52" s="473"/>
      <c r="Y52" s="473"/>
      <c r="Z52" s="473"/>
      <c r="AA52" s="473"/>
      <c r="AB52" s="473"/>
      <c r="AC52" s="473"/>
      <c r="AD52" s="473"/>
      <c r="AE52" s="473"/>
      <c r="AF52" s="473"/>
      <c r="AG52" s="473"/>
      <c r="AH52" s="473"/>
      <c r="AI52" s="473"/>
      <c r="AJ52" s="473"/>
      <c r="AN52" s="2"/>
      <c r="AO52" s="2"/>
      <c r="AP52" s="2"/>
      <c r="AQ52" s="898"/>
      <c r="AR52" s="898"/>
      <c r="AS52" s="898"/>
      <c r="AT52" s="898"/>
      <c r="AU52" s="898"/>
    </row>
    <row r="53" spans="1:47" ht="18.75" customHeight="1" thickBot="1" x14ac:dyDescent="0.3">
      <c r="A53" s="473"/>
      <c r="B53" s="410"/>
      <c r="C53" s="411" t="s">
        <v>176</v>
      </c>
      <c r="D53" s="682"/>
      <c r="E53" s="682"/>
      <c r="F53" s="414">
        <f>F28+F51</f>
        <v>1108</v>
      </c>
      <c r="G53" s="683">
        <f>G28+G51</f>
        <v>11188.8</v>
      </c>
      <c r="H53" s="684">
        <f>SUM(H28,H51)</f>
        <v>0.86700688784022117</v>
      </c>
      <c r="I53" s="424"/>
      <c r="J53" s="424"/>
      <c r="K53" s="424"/>
      <c r="L53" s="424"/>
      <c r="M53" s="424"/>
      <c r="N53" s="424"/>
      <c r="O53" s="424"/>
      <c r="P53" s="424"/>
      <c r="Q53" s="424"/>
      <c r="R53" s="424"/>
      <c r="S53" s="424"/>
      <c r="T53" s="424"/>
      <c r="U53" s="424"/>
      <c r="V53" s="424"/>
      <c r="W53" s="424"/>
      <c r="X53" s="424"/>
      <c r="Y53" s="424"/>
      <c r="Z53" s="424"/>
      <c r="AA53" s="424"/>
      <c r="AB53" s="424"/>
      <c r="AC53" s="424"/>
      <c r="AD53" s="424"/>
      <c r="AE53" s="424"/>
      <c r="AF53" s="424"/>
      <c r="AG53" s="424"/>
      <c r="AH53" s="424"/>
      <c r="AI53" s="424"/>
      <c r="AJ53" s="424"/>
      <c r="AN53" s="2"/>
      <c r="AO53" s="2"/>
      <c r="AP53" s="2"/>
      <c r="AQ53" s="898"/>
      <c r="AR53" s="898"/>
      <c r="AS53" s="898"/>
      <c r="AT53" s="898"/>
      <c r="AU53" s="898"/>
    </row>
    <row r="54" spans="1:47" ht="17.25" customHeight="1" thickBot="1" x14ac:dyDescent="0.3">
      <c r="A54" s="473"/>
      <c r="B54" s="405"/>
      <c r="C54" s="596" t="s">
        <v>54</v>
      </c>
      <c r="D54" s="597"/>
      <c r="E54" s="597"/>
      <c r="F54" s="685">
        <f>+F53-F5</f>
        <v>0</v>
      </c>
      <c r="G54" s="686">
        <f>G53-G5</f>
        <v>12.699999999998909</v>
      </c>
      <c r="H54" s="687">
        <f>IFERROR(G54/G5,)</f>
        <v>1.1363534685622809E-3</v>
      </c>
      <c r="I54" s="473"/>
      <c r="J54" s="473"/>
      <c r="K54" s="496"/>
      <c r="L54" s="602"/>
      <c r="M54" s="473"/>
      <c r="N54" s="473"/>
      <c r="O54" s="473"/>
      <c r="P54" s="473"/>
      <c r="Q54" s="473"/>
      <c r="R54" s="473"/>
      <c r="S54" s="473"/>
      <c r="T54" s="473"/>
      <c r="U54" s="473"/>
      <c r="V54" s="473"/>
      <c r="W54" s="473"/>
      <c r="X54" s="473"/>
      <c r="Y54" s="473"/>
      <c r="Z54" s="473"/>
      <c r="AA54" s="473"/>
      <c r="AB54" s="473"/>
      <c r="AC54" s="473"/>
      <c r="AD54" s="473"/>
      <c r="AE54" s="473"/>
      <c r="AF54" s="473"/>
      <c r="AG54" s="473"/>
      <c r="AH54" s="473"/>
      <c r="AI54" s="473"/>
      <c r="AJ54" s="473"/>
      <c r="AN54" s="2"/>
      <c r="AO54" s="2"/>
      <c r="AP54" s="2"/>
      <c r="AQ54" s="898"/>
      <c r="AR54" s="898"/>
      <c r="AS54" s="898"/>
      <c r="AT54" s="898"/>
      <c r="AU54" s="898"/>
    </row>
    <row r="55" spans="1:47" ht="12.75" customHeight="1" x14ac:dyDescent="0.25">
      <c r="A55" s="473"/>
      <c r="B55" s="424"/>
      <c r="C55" s="424"/>
      <c r="D55" s="424"/>
      <c r="E55" s="424"/>
      <c r="F55" s="424"/>
      <c r="G55" s="424"/>
      <c r="H55" s="169"/>
      <c r="I55" s="473"/>
      <c r="J55" s="473"/>
      <c r="K55" s="496"/>
      <c r="L55" s="688"/>
      <c r="M55" s="689"/>
      <c r="N55" s="473"/>
      <c r="O55" s="473"/>
      <c r="P55" s="473"/>
      <c r="Q55" s="473"/>
      <c r="R55" s="473"/>
      <c r="S55" s="473"/>
      <c r="T55" s="473"/>
      <c r="U55" s="473"/>
      <c r="V55" s="473"/>
      <c r="W55" s="473"/>
      <c r="X55" s="473"/>
      <c r="Y55" s="473"/>
      <c r="Z55" s="473"/>
      <c r="AA55" s="473"/>
      <c r="AB55" s="473"/>
      <c r="AC55" s="473"/>
      <c r="AD55" s="473"/>
      <c r="AE55" s="473"/>
      <c r="AF55" s="473"/>
      <c r="AG55" s="473"/>
      <c r="AH55" s="473"/>
      <c r="AI55" s="473"/>
      <c r="AJ55" s="473"/>
      <c r="AN55" s="2"/>
      <c r="AO55" s="2"/>
      <c r="AP55" s="2"/>
      <c r="AQ55" s="898"/>
      <c r="AR55" s="898"/>
      <c r="AS55" s="898"/>
      <c r="AT55" s="898"/>
      <c r="AU55" s="898"/>
    </row>
    <row r="56" spans="1:47" ht="12.75" customHeight="1" x14ac:dyDescent="0.25">
      <c r="A56" s="690"/>
      <c r="B56" s="691"/>
      <c r="C56" s="599" t="s">
        <v>191</v>
      </c>
      <c r="D56" s="599"/>
      <c r="E56" s="599"/>
      <c r="F56" s="599"/>
      <c r="G56" s="599"/>
      <c r="H56" s="187"/>
      <c r="I56" s="690"/>
      <c r="J56" s="690"/>
      <c r="K56" s="692"/>
      <c r="L56" s="688"/>
      <c r="M56" s="688"/>
      <c r="N56" s="690"/>
      <c r="O56" s="690"/>
      <c r="P56" s="690"/>
      <c r="Q56" s="690"/>
      <c r="R56" s="690"/>
      <c r="S56" s="690"/>
      <c r="T56" s="690"/>
      <c r="U56" s="690"/>
      <c r="V56" s="690"/>
      <c r="W56" s="690"/>
      <c r="X56" s="690"/>
      <c r="Y56" s="690"/>
      <c r="Z56" s="690"/>
      <c r="AA56" s="690"/>
      <c r="AB56" s="690"/>
      <c r="AC56" s="690"/>
      <c r="AD56" s="690"/>
      <c r="AE56" s="690"/>
      <c r="AF56" s="690"/>
      <c r="AG56" s="690"/>
      <c r="AH56" s="690"/>
      <c r="AI56" s="690"/>
      <c r="AJ56" s="690"/>
      <c r="AN56" s="2"/>
      <c r="AO56" s="2"/>
      <c r="AP56" s="2"/>
      <c r="AQ56" s="898"/>
      <c r="AR56" s="898"/>
      <c r="AS56" s="898"/>
      <c r="AT56" s="898"/>
      <c r="AU56" s="898"/>
    </row>
    <row r="57" spans="1:47" ht="12.75" customHeight="1" x14ac:dyDescent="0.25">
      <c r="A57" s="473"/>
      <c r="B57" s="424"/>
      <c r="C57" s="424"/>
      <c r="D57" s="424"/>
      <c r="E57" s="424"/>
      <c r="F57" s="424"/>
      <c r="G57" s="424"/>
      <c r="H57" s="169"/>
      <c r="I57" s="473"/>
      <c r="J57" s="473"/>
      <c r="K57" s="496"/>
      <c r="L57" s="688"/>
      <c r="M57" s="689"/>
      <c r="N57" s="473"/>
      <c r="O57" s="473"/>
      <c r="P57" s="473"/>
      <c r="Q57" s="473"/>
      <c r="R57" s="473"/>
      <c r="S57" s="473"/>
      <c r="T57" s="473"/>
      <c r="U57" s="473"/>
      <c r="V57" s="473"/>
      <c r="W57" s="473"/>
      <c r="X57" s="473"/>
      <c r="Y57" s="473"/>
      <c r="Z57" s="473"/>
      <c r="AA57" s="473"/>
      <c r="AB57" s="473"/>
      <c r="AC57" s="473"/>
      <c r="AD57" s="473"/>
      <c r="AE57" s="473"/>
      <c r="AF57" s="473"/>
      <c r="AG57" s="473"/>
      <c r="AH57" s="473"/>
      <c r="AI57" s="473"/>
      <c r="AJ57" s="473"/>
      <c r="AN57" s="2"/>
      <c r="AO57" s="2"/>
      <c r="AP57" s="2"/>
      <c r="AQ57" s="898"/>
      <c r="AR57" s="898"/>
      <c r="AS57" s="898"/>
      <c r="AT57" s="898"/>
      <c r="AU57" s="898"/>
    </row>
    <row r="58" spans="1:47" ht="12.75" customHeight="1" x14ac:dyDescent="0.25">
      <c r="A58" s="473"/>
      <c r="B58" s="424"/>
      <c r="C58" s="1307" t="s">
        <v>192</v>
      </c>
      <c r="D58" s="1307"/>
      <c r="E58" s="1307"/>
      <c r="F58" s="1307"/>
      <c r="G58" s="1307"/>
      <c r="H58" s="1307"/>
      <c r="I58" s="473"/>
      <c r="J58" s="473"/>
      <c r="K58" s="496"/>
      <c r="L58" s="688"/>
      <c r="M58" s="689"/>
      <c r="N58" s="473"/>
      <c r="O58" s="473"/>
      <c r="P58" s="473"/>
      <c r="Q58" s="473"/>
      <c r="R58" s="473"/>
      <c r="S58" s="473"/>
      <c r="T58" s="473"/>
      <c r="U58" s="473"/>
      <c r="V58" s="473"/>
      <c r="W58" s="473"/>
      <c r="X58" s="473"/>
      <c r="Y58" s="473"/>
      <c r="Z58" s="473"/>
      <c r="AA58" s="473"/>
      <c r="AB58" s="473"/>
      <c r="AC58" s="473"/>
      <c r="AD58" s="473"/>
      <c r="AE58" s="473"/>
      <c r="AF58" s="473"/>
      <c r="AG58" s="473"/>
      <c r="AH58" s="473"/>
      <c r="AI58" s="473"/>
      <c r="AJ58" s="473"/>
      <c r="AN58" s="2"/>
      <c r="AO58" s="2"/>
      <c r="AP58" s="2"/>
      <c r="AQ58" s="898"/>
      <c r="AR58" s="898"/>
      <c r="AS58" s="898"/>
      <c r="AT58" s="898"/>
      <c r="AU58" s="898"/>
    </row>
    <row r="59" spans="1:47" ht="12.75" customHeight="1" x14ac:dyDescent="0.25">
      <c r="A59" s="473"/>
      <c r="B59" s="424"/>
      <c r="C59" s="693" t="s">
        <v>183</v>
      </c>
      <c r="D59" s="693"/>
      <c r="E59" s="693"/>
      <c r="F59" s="694">
        <f>'Pork Leg Deboning'!F21+'Pork Leg Deboning'!F47+Middles!H13+Middles!H111+shoulders!G18+shoulders!G33</f>
        <v>7850.2666666666664</v>
      </c>
      <c r="G59" s="695"/>
      <c r="H59" s="696">
        <f>+G59-F59</f>
        <v>-7850.2666666666664</v>
      </c>
      <c r="I59" s="473"/>
      <c r="J59" s="473"/>
      <c r="K59" s="496"/>
      <c r="L59" s="688"/>
      <c r="M59" s="688"/>
      <c r="N59" s="473"/>
      <c r="O59" s="473"/>
      <c r="P59" s="473"/>
      <c r="Q59" s="473"/>
      <c r="R59" s="473"/>
      <c r="S59" s="473"/>
      <c r="T59" s="473"/>
      <c r="U59" s="473"/>
      <c r="V59" s="473"/>
      <c r="W59" s="473"/>
      <c r="X59" s="473"/>
      <c r="Y59" s="473"/>
      <c r="Z59" s="473"/>
      <c r="AA59" s="473"/>
      <c r="AB59" s="473"/>
      <c r="AC59" s="473"/>
      <c r="AD59" s="473"/>
      <c r="AE59" s="473"/>
      <c r="AF59" s="473"/>
      <c r="AG59" s="473"/>
      <c r="AH59" s="473"/>
      <c r="AI59" s="473"/>
      <c r="AJ59" s="473"/>
      <c r="AN59" s="2"/>
      <c r="AO59" s="2"/>
      <c r="AP59" s="2"/>
      <c r="AQ59" s="898"/>
      <c r="AR59" s="898"/>
      <c r="AS59" s="898"/>
      <c r="AT59" s="898"/>
      <c r="AU59" s="898"/>
    </row>
    <row r="60" spans="1:47" ht="12.75" customHeight="1" x14ac:dyDescent="0.25">
      <c r="A60" s="473"/>
      <c r="B60" s="424"/>
      <c r="C60" s="693" t="s">
        <v>193</v>
      </c>
      <c r="D60" s="693"/>
      <c r="E60" s="693"/>
      <c r="F60" s="694">
        <f>Middles!H113+shoulders!G35</f>
        <v>1593.6</v>
      </c>
      <c r="G60" s="697"/>
      <c r="H60" s="696">
        <f>+G60-F60</f>
        <v>-1593.6</v>
      </c>
      <c r="I60" s="473"/>
      <c r="J60" s="473"/>
      <c r="K60" s="496"/>
      <c r="L60" s="688"/>
      <c r="M60" s="688"/>
      <c r="N60" s="473"/>
      <c r="O60" s="473"/>
      <c r="P60" s="473"/>
      <c r="Q60" s="473"/>
      <c r="R60" s="473"/>
      <c r="S60" s="473"/>
      <c r="T60" s="473"/>
      <c r="U60" s="473"/>
      <c r="V60" s="473"/>
      <c r="W60" s="473"/>
      <c r="X60" s="473"/>
      <c r="Y60" s="473"/>
      <c r="Z60" s="473"/>
      <c r="AA60" s="473"/>
      <c r="AB60" s="473"/>
      <c r="AC60" s="473"/>
      <c r="AD60" s="473"/>
      <c r="AE60" s="473"/>
      <c r="AF60" s="473"/>
      <c r="AG60" s="473"/>
      <c r="AH60" s="473"/>
      <c r="AI60" s="473"/>
      <c r="AJ60" s="473"/>
      <c r="AN60" s="2"/>
      <c r="AO60" s="2"/>
      <c r="AP60" s="2"/>
      <c r="AQ60" s="898"/>
      <c r="AR60" s="898"/>
      <c r="AS60" s="898"/>
      <c r="AT60" s="898"/>
      <c r="AU60" s="898"/>
    </row>
    <row r="61" spans="1:47" ht="12.75" customHeight="1" x14ac:dyDescent="0.25">
      <c r="A61" s="473"/>
      <c r="B61" s="424"/>
      <c r="C61" s="698" t="s">
        <v>194</v>
      </c>
      <c r="D61" s="698"/>
      <c r="E61" s="698"/>
      <c r="F61" s="694">
        <f>Middles!G130</f>
        <v>2221.5</v>
      </c>
      <c r="G61" s="697"/>
      <c r="H61" s="696">
        <f t="shared" ref="H61:H67" si="6">+G61-F61</f>
        <v>-2221.5</v>
      </c>
      <c r="I61" s="473"/>
      <c r="J61" s="473"/>
      <c r="K61" s="496"/>
      <c r="L61" s="688"/>
      <c r="M61" s="688"/>
      <c r="N61" s="473"/>
      <c r="O61" s="473"/>
      <c r="P61" s="473"/>
      <c r="Q61" s="473"/>
      <c r="R61" s="473"/>
      <c r="S61" s="473"/>
      <c r="T61" s="473"/>
      <c r="U61" s="473"/>
      <c r="V61" s="473"/>
      <c r="W61" s="473"/>
      <c r="X61" s="473"/>
      <c r="Y61" s="473"/>
      <c r="Z61" s="473"/>
      <c r="AA61" s="473"/>
      <c r="AB61" s="473"/>
      <c r="AC61" s="473"/>
      <c r="AD61" s="473"/>
      <c r="AE61" s="473"/>
      <c r="AF61" s="473"/>
      <c r="AG61" s="473"/>
      <c r="AH61" s="473"/>
      <c r="AI61" s="473"/>
      <c r="AJ61" s="473"/>
      <c r="AN61" s="2"/>
      <c r="AO61" s="2"/>
      <c r="AP61" s="2"/>
      <c r="AQ61" s="898"/>
      <c r="AR61" s="898"/>
      <c r="AS61" s="898"/>
      <c r="AT61" s="898"/>
      <c r="AU61" s="898"/>
    </row>
    <row r="62" spans="1:47" ht="12.75" customHeight="1" x14ac:dyDescent="0.25">
      <c r="A62" s="473"/>
      <c r="B62" s="424"/>
      <c r="C62" s="698" t="s">
        <v>195</v>
      </c>
      <c r="D62" s="698"/>
      <c r="E62" s="698"/>
      <c r="F62" s="694">
        <f>Middles!G131</f>
        <v>1704.1</v>
      </c>
      <c r="G62" s="697"/>
      <c r="H62" s="696">
        <f t="shared" si="6"/>
        <v>-1704.1</v>
      </c>
      <c r="I62" s="473"/>
      <c r="J62" s="473"/>
      <c r="K62" s="496"/>
      <c r="L62" s="688"/>
      <c r="M62" s="688"/>
      <c r="N62" s="473"/>
      <c r="O62" s="473"/>
      <c r="P62" s="473"/>
      <c r="Q62" s="473"/>
      <c r="R62" s="473"/>
      <c r="S62" s="473"/>
      <c r="T62" s="473"/>
      <c r="U62" s="473"/>
      <c r="V62" s="473"/>
      <c r="W62" s="473"/>
      <c r="X62" s="473"/>
      <c r="Y62" s="473"/>
      <c r="Z62" s="473"/>
      <c r="AA62" s="473"/>
      <c r="AB62" s="473"/>
      <c r="AC62" s="473"/>
      <c r="AD62" s="473"/>
      <c r="AE62" s="473"/>
      <c r="AF62" s="473"/>
      <c r="AG62" s="473"/>
      <c r="AH62" s="473"/>
      <c r="AI62" s="473"/>
      <c r="AJ62" s="473"/>
      <c r="AN62" s="2"/>
      <c r="AO62" s="2"/>
      <c r="AP62" s="2"/>
      <c r="AQ62" s="898"/>
      <c r="AR62" s="898"/>
      <c r="AS62" s="898"/>
      <c r="AT62" s="898"/>
      <c r="AU62" s="898"/>
    </row>
    <row r="63" spans="1:47" ht="12.75" customHeight="1" x14ac:dyDescent="0.25">
      <c r="A63" s="473"/>
      <c r="B63" s="424"/>
      <c r="C63" s="698" t="s">
        <v>196</v>
      </c>
      <c r="D63" s="698"/>
      <c r="E63" s="698"/>
      <c r="F63" s="694">
        <f>Slicing!Q20</f>
        <v>63.2</v>
      </c>
      <c r="G63" s="697"/>
      <c r="H63" s="696">
        <f t="shared" si="6"/>
        <v>-63.2</v>
      </c>
      <c r="I63" s="473"/>
      <c r="J63" s="473"/>
      <c r="K63" s="496"/>
      <c r="L63" s="688"/>
      <c r="M63" s="688"/>
      <c r="N63" s="473"/>
      <c r="O63" s="473"/>
      <c r="P63" s="473"/>
      <c r="Q63" s="473"/>
      <c r="R63" s="473"/>
      <c r="S63" s="473"/>
      <c r="T63" s="473"/>
      <c r="U63" s="473"/>
      <c r="V63" s="473"/>
      <c r="W63" s="473"/>
      <c r="X63" s="473"/>
      <c r="Y63" s="473"/>
      <c r="Z63" s="473"/>
      <c r="AA63" s="473"/>
      <c r="AB63" s="473"/>
      <c r="AC63" s="473"/>
      <c r="AD63" s="473"/>
      <c r="AE63" s="473"/>
      <c r="AF63" s="473"/>
      <c r="AG63" s="473"/>
      <c r="AH63" s="473"/>
      <c r="AI63" s="473"/>
      <c r="AJ63" s="473"/>
      <c r="AN63" s="2"/>
      <c r="AO63" s="2"/>
      <c r="AP63" s="2"/>
      <c r="AQ63" s="898"/>
      <c r="AR63" s="898"/>
      <c r="AS63" s="898"/>
      <c r="AT63" s="898"/>
      <c r="AU63" s="898"/>
    </row>
    <row r="64" spans="1:47" ht="12.75" customHeight="1" x14ac:dyDescent="0.25">
      <c r="A64" s="473"/>
      <c r="B64" s="424"/>
      <c r="C64" s="698" t="s">
        <v>197</v>
      </c>
      <c r="D64" s="698"/>
      <c r="E64" s="698"/>
      <c r="F64" s="694">
        <f>Middles!G133</f>
        <v>1475.9</v>
      </c>
      <c r="G64" s="697"/>
      <c r="H64" s="696">
        <f t="shared" si="6"/>
        <v>-1475.9</v>
      </c>
      <c r="I64" s="473"/>
      <c r="J64" s="473"/>
      <c r="K64" s="496"/>
      <c r="L64" s="688"/>
      <c r="M64" s="688"/>
      <c r="N64" s="473"/>
      <c r="O64" s="473"/>
      <c r="P64" s="473"/>
      <c r="Q64" s="473"/>
      <c r="R64" s="473"/>
      <c r="S64" s="473"/>
      <c r="T64" s="473"/>
      <c r="U64" s="473"/>
      <c r="V64" s="473"/>
      <c r="W64" s="473"/>
      <c r="X64" s="473"/>
      <c r="Y64" s="473"/>
      <c r="Z64" s="473"/>
      <c r="AA64" s="473"/>
      <c r="AB64" s="473"/>
      <c r="AC64" s="473"/>
      <c r="AD64" s="473"/>
      <c r="AE64" s="473"/>
      <c r="AF64" s="473"/>
      <c r="AG64" s="473"/>
      <c r="AH64" s="473"/>
      <c r="AI64" s="473"/>
      <c r="AJ64" s="473"/>
      <c r="AN64" s="2"/>
      <c r="AO64" s="2"/>
      <c r="AP64" s="2"/>
      <c r="AQ64" s="898"/>
      <c r="AR64" s="898"/>
      <c r="AS64" s="898"/>
      <c r="AT64" s="898"/>
      <c r="AU64" s="898"/>
    </row>
    <row r="65" spans="1:47" ht="12.75" customHeight="1" x14ac:dyDescent="0.25">
      <c r="A65" s="473"/>
      <c r="B65" s="424"/>
      <c r="C65" s="693" t="s">
        <v>198</v>
      </c>
      <c r="D65" s="693"/>
      <c r="E65" s="693"/>
      <c r="F65" s="694">
        <f>G47</f>
        <v>86.7</v>
      </c>
      <c r="G65" s="697"/>
      <c r="H65" s="696">
        <f t="shared" si="6"/>
        <v>-86.7</v>
      </c>
      <c r="I65" s="473"/>
      <c r="J65" s="473"/>
      <c r="K65" s="496"/>
      <c r="L65" s="602"/>
      <c r="M65" s="473"/>
      <c r="N65" s="473"/>
      <c r="O65" s="473"/>
      <c r="P65" s="473"/>
      <c r="Q65" s="473"/>
      <c r="R65" s="473"/>
      <c r="S65" s="473"/>
      <c r="T65" s="473"/>
      <c r="U65" s="473"/>
      <c r="V65" s="473"/>
      <c r="W65" s="473"/>
      <c r="X65" s="473"/>
      <c r="Y65" s="473"/>
      <c r="Z65" s="473"/>
      <c r="AA65" s="473"/>
      <c r="AB65" s="473"/>
      <c r="AC65" s="473"/>
      <c r="AD65" s="473"/>
      <c r="AE65" s="473"/>
      <c r="AF65" s="473"/>
      <c r="AG65" s="473"/>
      <c r="AH65" s="473"/>
      <c r="AI65" s="473"/>
      <c r="AJ65" s="473"/>
      <c r="AN65" s="2"/>
      <c r="AO65" s="2"/>
      <c r="AP65" s="2"/>
      <c r="AQ65" s="898"/>
      <c r="AR65" s="898"/>
      <c r="AS65" s="898"/>
      <c r="AT65" s="898"/>
      <c r="AU65" s="898"/>
    </row>
    <row r="66" spans="1:47" ht="12.75" customHeight="1" x14ac:dyDescent="0.25">
      <c r="A66" s="473"/>
      <c r="B66" s="424"/>
      <c r="C66" s="693" t="s">
        <v>199</v>
      </c>
      <c r="D66" s="693"/>
      <c r="E66" s="693"/>
      <c r="F66" s="694">
        <f>G31</f>
        <v>13.6</v>
      </c>
      <c r="G66" s="697"/>
      <c r="H66" s="696">
        <f t="shared" si="6"/>
        <v>-13.6</v>
      </c>
      <c r="I66" s="473"/>
      <c r="J66" s="473"/>
      <c r="K66" s="496"/>
      <c r="L66" s="602"/>
      <c r="M66" s="473"/>
      <c r="N66" s="473"/>
      <c r="O66" s="473"/>
      <c r="P66" s="473"/>
      <c r="Q66" s="473"/>
      <c r="R66" s="473"/>
      <c r="S66" s="473"/>
      <c r="T66" s="473"/>
      <c r="U66" s="473"/>
      <c r="V66" s="473"/>
      <c r="W66" s="473"/>
      <c r="X66" s="473"/>
      <c r="Y66" s="473"/>
      <c r="Z66" s="473"/>
      <c r="AA66" s="473"/>
      <c r="AB66" s="473"/>
      <c r="AC66" s="473"/>
      <c r="AD66" s="473"/>
      <c r="AE66" s="473"/>
      <c r="AF66" s="473"/>
      <c r="AG66" s="473"/>
      <c r="AH66" s="473"/>
      <c r="AI66" s="473"/>
      <c r="AJ66" s="473"/>
      <c r="AN66" s="2"/>
      <c r="AO66" s="2"/>
      <c r="AP66" s="2"/>
      <c r="AQ66" s="898"/>
      <c r="AR66" s="898"/>
      <c r="AS66" s="898"/>
      <c r="AT66" s="898"/>
      <c r="AU66" s="898"/>
    </row>
    <row r="67" spans="1:47" ht="12.75" customHeight="1" x14ac:dyDescent="0.25">
      <c r="A67" s="473"/>
      <c r="B67" s="424"/>
      <c r="C67" s="693" t="s">
        <v>200</v>
      </c>
      <c r="D67" s="693"/>
      <c r="E67" s="693"/>
      <c r="F67" s="694">
        <f>G24</f>
        <v>333.1</v>
      </c>
      <c r="G67" s="697"/>
      <c r="H67" s="696">
        <f t="shared" si="6"/>
        <v>-333.1</v>
      </c>
      <c r="I67" s="473"/>
      <c r="J67" s="473"/>
      <c r="K67" s="496"/>
      <c r="L67" s="602"/>
      <c r="M67" s="473"/>
      <c r="N67" s="473"/>
      <c r="O67" s="473"/>
      <c r="P67" s="473"/>
      <c r="Q67" s="473"/>
      <c r="R67" s="473"/>
      <c r="S67" s="473"/>
      <c r="T67" s="473"/>
      <c r="U67" s="473"/>
      <c r="V67" s="473"/>
      <c r="W67" s="473"/>
      <c r="X67" s="473"/>
      <c r="Y67" s="473"/>
      <c r="Z67" s="473"/>
      <c r="AA67" s="473"/>
      <c r="AB67" s="473"/>
      <c r="AC67" s="473"/>
      <c r="AD67" s="473"/>
      <c r="AE67" s="473"/>
      <c r="AF67" s="473"/>
      <c r="AG67" s="473"/>
      <c r="AH67" s="473"/>
      <c r="AI67" s="473"/>
      <c r="AJ67" s="473"/>
      <c r="AN67" s="2"/>
      <c r="AO67" s="2"/>
      <c r="AP67" s="2"/>
      <c r="AQ67" s="898"/>
      <c r="AR67" s="898"/>
      <c r="AS67" s="898"/>
      <c r="AT67" s="898"/>
      <c r="AU67" s="898"/>
    </row>
    <row r="68" spans="1:47" ht="12.75" customHeight="1" x14ac:dyDescent="0.25">
      <c r="A68" s="473"/>
      <c r="B68" s="424"/>
      <c r="C68" s="699" t="s">
        <v>201</v>
      </c>
      <c r="D68" s="699"/>
      <c r="E68" s="699"/>
      <c r="F68" s="700">
        <v>0</v>
      </c>
      <c r="G68" s="701"/>
      <c r="H68" s="696">
        <f>+G68-F68</f>
        <v>0</v>
      </c>
      <c r="I68" s="473"/>
      <c r="J68" s="473"/>
      <c r="K68" s="496"/>
      <c r="L68" s="602"/>
      <c r="M68" s="473"/>
      <c r="N68" s="473"/>
      <c r="O68" s="473"/>
      <c r="P68" s="473"/>
      <c r="Q68" s="473"/>
      <c r="R68" s="473"/>
      <c r="S68" s="473"/>
      <c r="T68" s="473"/>
      <c r="U68" s="473"/>
      <c r="V68" s="473"/>
      <c r="W68" s="473"/>
      <c r="X68" s="473"/>
      <c r="Y68" s="473"/>
      <c r="Z68" s="473"/>
      <c r="AA68" s="473"/>
      <c r="AB68" s="473"/>
      <c r="AC68" s="473"/>
      <c r="AD68" s="473"/>
      <c r="AE68" s="473"/>
      <c r="AF68" s="473"/>
      <c r="AG68" s="473"/>
      <c r="AH68" s="473"/>
      <c r="AI68" s="473"/>
      <c r="AJ68" s="473"/>
      <c r="AN68" s="2"/>
      <c r="AO68" s="2"/>
      <c r="AP68" s="2"/>
      <c r="AQ68" s="898"/>
      <c r="AR68" s="898"/>
      <c r="AS68" s="898"/>
      <c r="AT68" s="898"/>
      <c r="AU68" s="898"/>
    </row>
    <row r="69" spans="1:47" ht="12.75" customHeight="1" x14ac:dyDescent="0.25">
      <c r="A69" s="473"/>
      <c r="B69" s="424"/>
      <c r="C69" s="169"/>
      <c r="D69" s="169"/>
      <c r="E69" s="169"/>
      <c r="F69" s="169"/>
      <c r="G69" s="169"/>
      <c r="H69" s="169"/>
      <c r="I69" s="473"/>
      <c r="J69" s="473"/>
      <c r="K69" s="496"/>
      <c r="L69" s="602"/>
      <c r="M69" s="473"/>
      <c r="N69" s="473"/>
      <c r="O69" s="473"/>
      <c r="P69" s="473"/>
      <c r="Q69" s="473"/>
      <c r="R69" s="473"/>
      <c r="S69" s="473"/>
      <c r="T69" s="473"/>
      <c r="U69" s="473"/>
      <c r="V69" s="473"/>
      <c r="W69" s="473"/>
      <c r="X69" s="473"/>
      <c r="Y69" s="473"/>
      <c r="Z69" s="473"/>
      <c r="AA69" s="473"/>
      <c r="AB69" s="473"/>
      <c r="AC69" s="473"/>
      <c r="AD69" s="473"/>
      <c r="AE69" s="473"/>
      <c r="AF69" s="473"/>
      <c r="AG69" s="473"/>
      <c r="AH69" s="473"/>
      <c r="AI69" s="473"/>
      <c r="AJ69" s="473"/>
      <c r="AN69" s="2"/>
      <c r="AO69" s="2"/>
      <c r="AP69" s="2"/>
      <c r="AQ69" s="898"/>
      <c r="AR69" s="898"/>
      <c r="AS69" s="898"/>
      <c r="AT69" s="898"/>
      <c r="AU69" s="898"/>
    </row>
    <row r="70" spans="1:47" ht="12.75" customHeight="1" x14ac:dyDescent="0.25">
      <c r="A70" s="473"/>
      <c r="B70" s="473"/>
      <c r="C70" s="473"/>
      <c r="D70" s="473"/>
      <c r="E70" s="473"/>
      <c r="F70" s="473"/>
      <c r="G70" s="473"/>
      <c r="H70" s="702"/>
      <c r="I70" s="473"/>
      <c r="J70" s="473"/>
      <c r="K70" s="496"/>
      <c r="L70" s="602"/>
      <c r="M70" s="473"/>
      <c r="N70" s="473"/>
      <c r="O70" s="473"/>
      <c r="P70" s="473"/>
      <c r="Q70" s="473"/>
      <c r="R70" s="473"/>
      <c r="S70" s="473"/>
      <c r="T70" s="473"/>
      <c r="U70" s="473"/>
      <c r="V70" s="473"/>
      <c r="W70" s="473"/>
      <c r="X70" s="473"/>
      <c r="Y70" s="473"/>
      <c r="Z70" s="473"/>
      <c r="AA70" s="473"/>
      <c r="AB70" s="473"/>
      <c r="AC70" s="473"/>
      <c r="AD70" s="473"/>
      <c r="AE70" s="473"/>
      <c r="AF70" s="473"/>
      <c r="AG70" s="473"/>
      <c r="AH70" s="473"/>
      <c r="AI70" s="473"/>
      <c r="AJ70" s="473"/>
      <c r="AN70" s="2"/>
      <c r="AO70" s="2"/>
      <c r="AP70" s="2"/>
      <c r="AQ70" s="898"/>
      <c r="AR70" s="898"/>
      <c r="AS70" s="898"/>
      <c r="AT70" s="898"/>
      <c r="AU70" s="898"/>
    </row>
    <row r="71" spans="1:47" ht="12.75" customHeight="1" x14ac:dyDescent="0.25">
      <c r="A71" s="473"/>
      <c r="B71" s="473"/>
      <c r="C71" s="473"/>
      <c r="D71" s="473"/>
      <c r="E71" s="473"/>
      <c r="F71" s="473"/>
      <c r="G71" s="473"/>
      <c r="H71" s="158"/>
      <c r="I71" s="473"/>
      <c r="J71" s="473"/>
      <c r="K71" s="496"/>
      <c r="L71" s="602"/>
      <c r="M71" s="473"/>
      <c r="N71" s="473"/>
      <c r="O71" s="473"/>
      <c r="P71" s="473"/>
      <c r="Q71" s="473"/>
      <c r="R71" s="473"/>
      <c r="S71" s="473"/>
      <c r="T71" s="473"/>
      <c r="U71" s="473"/>
      <c r="V71" s="473"/>
      <c r="W71" s="473"/>
      <c r="X71" s="473"/>
      <c r="Y71" s="473"/>
      <c r="Z71" s="473"/>
      <c r="AA71" s="473"/>
      <c r="AB71" s="473"/>
      <c r="AC71" s="473"/>
      <c r="AD71" s="473"/>
      <c r="AE71" s="473"/>
      <c r="AF71" s="473"/>
      <c r="AG71" s="473"/>
      <c r="AH71" s="473"/>
      <c r="AI71" s="473"/>
      <c r="AJ71" s="473"/>
      <c r="AN71" s="2"/>
      <c r="AO71" s="2"/>
      <c r="AP71" s="2"/>
      <c r="AQ71" s="898"/>
      <c r="AR71" s="898"/>
      <c r="AS71" s="898"/>
      <c r="AT71" s="898"/>
      <c r="AU71" s="898"/>
    </row>
    <row r="72" spans="1:47" ht="12.75" customHeight="1" x14ac:dyDescent="0.25">
      <c r="A72" s="473"/>
      <c r="B72" s="473"/>
      <c r="C72" s="473"/>
      <c r="D72" s="473"/>
      <c r="E72" s="473"/>
      <c r="F72" s="473"/>
      <c r="G72" s="473"/>
      <c r="H72" s="158"/>
      <c r="I72" s="473"/>
      <c r="J72" s="473"/>
      <c r="K72" s="496"/>
      <c r="L72" s="602"/>
      <c r="M72" s="473"/>
      <c r="N72" s="473"/>
      <c r="O72" s="473"/>
      <c r="P72" s="473"/>
      <c r="Q72" s="473"/>
      <c r="R72" s="473"/>
      <c r="S72" s="473"/>
      <c r="T72" s="473"/>
      <c r="U72" s="473"/>
      <c r="V72" s="473"/>
      <c r="W72" s="473"/>
      <c r="X72" s="473"/>
      <c r="Y72" s="473"/>
      <c r="Z72" s="473"/>
      <c r="AA72" s="473"/>
      <c r="AB72" s="473"/>
      <c r="AC72" s="473"/>
      <c r="AD72" s="473"/>
      <c r="AE72" s="473"/>
      <c r="AF72" s="473"/>
      <c r="AG72" s="473"/>
      <c r="AH72" s="473"/>
      <c r="AI72" s="473"/>
      <c r="AJ72" s="473"/>
      <c r="AN72" s="2"/>
      <c r="AO72" s="2"/>
      <c r="AP72" s="2"/>
      <c r="AQ72" s="898"/>
      <c r="AR72" s="898"/>
      <c r="AS72" s="898"/>
      <c r="AT72" s="898"/>
      <c r="AU72" s="898"/>
    </row>
    <row r="73" spans="1:47" ht="12.75" customHeight="1" x14ac:dyDescent="0.25">
      <c r="A73" s="473"/>
      <c r="B73" s="473"/>
      <c r="C73" s="473"/>
      <c r="D73" s="473"/>
      <c r="E73" s="473"/>
      <c r="F73" s="473"/>
      <c r="G73" s="473"/>
      <c r="H73" s="158"/>
      <c r="I73" s="473"/>
      <c r="J73" s="473"/>
      <c r="K73" s="496"/>
      <c r="L73" s="602"/>
      <c r="M73" s="473"/>
      <c r="N73" s="473"/>
      <c r="O73" s="473"/>
      <c r="P73" s="473"/>
      <c r="Q73" s="473"/>
      <c r="R73" s="473"/>
      <c r="S73" s="473"/>
      <c r="T73" s="473"/>
      <c r="U73" s="473"/>
      <c r="V73" s="473"/>
      <c r="W73" s="473"/>
      <c r="X73" s="473"/>
      <c r="Y73" s="473"/>
      <c r="Z73" s="473"/>
      <c r="AA73" s="473"/>
      <c r="AB73" s="473"/>
      <c r="AC73" s="473"/>
      <c r="AD73" s="473"/>
      <c r="AE73" s="473"/>
      <c r="AF73" s="473"/>
      <c r="AG73" s="473"/>
      <c r="AH73" s="473"/>
      <c r="AI73" s="473"/>
      <c r="AJ73" s="473"/>
      <c r="AN73" s="2"/>
      <c r="AO73" s="2"/>
      <c r="AP73" s="2"/>
      <c r="AQ73" s="898"/>
      <c r="AR73" s="898"/>
      <c r="AS73" s="898"/>
      <c r="AT73" s="898"/>
      <c r="AU73" s="898"/>
    </row>
    <row r="74" spans="1:47" ht="12.75" customHeight="1" x14ac:dyDescent="0.25">
      <c r="A74" s="473"/>
      <c r="B74" s="473"/>
      <c r="C74" s="473"/>
      <c r="D74" s="473"/>
      <c r="E74" s="473"/>
      <c r="F74" s="473"/>
      <c r="G74" s="473"/>
      <c r="H74" s="158"/>
      <c r="I74" s="473"/>
      <c r="J74" s="473"/>
      <c r="K74" s="496"/>
      <c r="L74" s="602"/>
      <c r="M74" s="473"/>
      <c r="N74" s="473"/>
      <c r="O74" s="473"/>
      <c r="P74" s="473"/>
      <c r="Q74" s="473"/>
      <c r="R74" s="473"/>
      <c r="S74" s="473"/>
      <c r="T74" s="473"/>
      <c r="U74" s="473"/>
      <c r="V74" s="473"/>
      <c r="W74" s="473"/>
      <c r="X74" s="473"/>
      <c r="Y74" s="473"/>
      <c r="Z74" s="473"/>
      <c r="AA74" s="473"/>
      <c r="AB74" s="473"/>
      <c r="AC74" s="473"/>
      <c r="AD74" s="473"/>
      <c r="AE74" s="473"/>
      <c r="AF74" s="473"/>
      <c r="AG74" s="473"/>
      <c r="AH74" s="473"/>
      <c r="AI74" s="473"/>
      <c r="AJ74" s="473"/>
      <c r="AN74" s="2"/>
      <c r="AO74" s="2"/>
      <c r="AP74" s="2"/>
      <c r="AQ74" s="898"/>
      <c r="AR74" s="898"/>
      <c r="AS74" s="898"/>
      <c r="AT74" s="898"/>
      <c r="AU74" s="898"/>
    </row>
    <row r="75" spans="1:47" ht="12.75" customHeight="1" x14ac:dyDescent="0.25">
      <c r="A75" s="473"/>
      <c r="B75" s="473"/>
      <c r="C75" s="473"/>
      <c r="D75" s="473"/>
      <c r="E75" s="473"/>
      <c r="F75" s="473"/>
      <c r="G75" s="473"/>
      <c r="H75" s="158"/>
      <c r="I75" s="473"/>
      <c r="J75" s="473"/>
      <c r="K75" s="496"/>
      <c r="L75" s="602"/>
      <c r="M75" s="473"/>
      <c r="N75" s="473"/>
      <c r="O75" s="473"/>
      <c r="P75" s="473"/>
      <c r="Q75" s="473"/>
      <c r="R75" s="473"/>
      <c r="S75" s="473"/>
      <c r="T75" s="473"/>
      <c r="U75" s="473"/>
      <c r="V75" s="473"/>
      <c r="W75" s="473"/>
      <c r="X75" s="473"/>
      <c r="Y75" s="473"/>
      <c r="Z75" s="473"/>
      <c r="AA75" s="473"/>
      <c r="AB75" s="473"/>
      <c r="AC75" s="473"/>
      <c r="AD75" s="473"/>
      <c r="AE75" s="473"/>
      <c r="AF75" s="473"/>
      <c r="AG75" s="473"/>
      <c r="AH75" s="473"/>
      <c r="AI75" s="473"/>
      <c r="AJ75" s="473"/>
      <c r="AN75" s="2"/>
      <c r="AO75" s="2"/>
      <c r="AP75" s="2"/>
      <c r="AQ75" s="898"/>
      <c r="AR75" s="898"/>
      <c r="AS75" s="898"/>
      <c r="AT75" s="898"/>
      <c r="AU75" s="898"/>
    </row>
    <row r="76" spans="1:47" ht="12.75" customHeight="1" x14ac:dyDescent="0.25">
      <c r="A76" s="473"/>
      <c r="B76" s="473"/>
      <c r="C76" s="473"/>
      <c r="D76" s="473"/>
      <c r="E76" s="473"/>
      <c r="F76" s="473"/>
      <c r="G76" s="473"/>
      <c r="H76" s="158"/>
      <c r="I76" s="473"/>
      <c r="J76" s="473"/>
      <c r="K76" s="496"/>
      <c r="L76" s="602"/>
      <c r="M76" s="473"/>
      <c r="N76" s="473"/>
      <c r="O76" s="473"/>
      <c r="P76" s="473"/>
      <c r="Q76" s="473"/>
      <c r="R76" s="473"/>
      <c r="S76" s="473"/>
      <c r="T76" s="473"/>
      <c r="U76" s="473"/>
      <c r="V76" s="473"/>
      <c r="W76" s="473"/>
      <c r="X76" s="473"/>
      <c r="Y76" s="473"/>
      <c r="Z76" s="473"/>
      <c r="AA76" s="473"/>
      <c r="AB76" s="473"/>
      <c r="AC76" s="473"/>
      <c r="AD76" s="473"/>
      <c r="AE76" s="473"/>
      <c r="AF76" s="473"/>
      <c r="AG76" s="473"/>
      <c r="AH76" s="473"/>
      <c r="AI76" s="473"/>
      <c r="AJ76" s="473"/>
      <c r="AN76" s="2"/>
      <c r="AO76" s="2"/>
      <c r="AP76" s="2"/>
      <c r="AQ76" s="898"/>
      <c r="AR76" s="898"/>
      <c r="AS76" s="898"/>
      <c r="AT76" s="898"/>
      <c r="AU76" s="898"/>
    </row>
    <row r="77" spans="1:47" ht="12.75" customHeight="1" x14ac:dyDescent="0.25">
      <c r="A77" s="473"/>
      <c r="B77" s="473"/>
      <c r="C77" s="473"/>
      <c r="D77" s="473"/>
      <c r="E77" s="473"/>
      <c r="F77" s="473"/>
      <c r="G77" s="473"/>
      <c r="H77" s="158"/>
      <c r="I77" s="473"/>
      <c r="J77" s="473"/>
      <c r="K77" s="496"/>
      <c r="L77" s="602"/>
      <c r="M77" s="473"/>
      <c r="N77" s="473"/>
      <c r="O77" s="473"/>
      <c r="P77" s="473"/>
      <c r="Q77" s="473"/>
      <c r="R77" s="473"/>
      <c r="S77" s="473"/>
      <c r="T77" s="473"/>
      <c r="U77" s="473"/>
      <c r="V77" s="473"/>
      <c r="W77" s="473"/>
      <c r="X77" s="473"/>
      <c r="Y77" s="473"/>
      <c r="Z77" s="473"/>
      <c r="AA77" s="473"/>
      <c r="AB77" s="473"/>
      <c r="AC77" s="473"/>
      <c r="AD77" s="473"/>
      <c r="AE77" s="473"/>
      <c r="AF77" s="473"/>
      <c r="AG77" s="473"/>
      <c r="AH77" s="473"/>
      <c r="AI77" s="473"/>
      <c r="AJ77" s="473"/>
      <c r="AN77" s="2"/>
      <c r="AO77" s="2"/>
      <c r="AP77" s="2"/>
      <c r="AQ77" s="898"/>
      <c r="AR77" s="898"/>
      <c r="AS77" s="898"/>
      <c r="AT77" s="898"/>
      <c r="AU77" s="898"/>
    </row>
    <row r="78" spans="1:47" ht="12.75" customHeight="1" x14ac:dyDescent="0.25">
      <c r="A78" s="473"/>
      <c r="B78" s="473"/>
      <c r="C78" s="473"/>
      <c r="D78" s="473"/>
      <c r="E78" s="473"/>
      <c r="F78" s="473"/>
      <c r="G78" s="473"/>
      <c r="H78" s="158"/>
      <c r="I78" s="473"/>
      <c r="J78" s="473"/>
      <c r="K78" s="496"/>
      <c r="L78" s="602"/>
      <c r="M78" s="473"/>
      <c r="N78" s="473"/>
      <c r="O78" s="473"/>
      <c r="P78" s="473"/>
      <c r="Q78" s="473"/>
      <c r="R78" s="473"/>
      <c r="S78" s="473"/>
      <c r="T78" s="473"/>
      <c r="U78" s="473"/>
      <c r="V78" s="473"/>
      <c r="W78" s="473"/>
      <c r="X78" s="473"/>
      <c r="Y78" s="473"/>
      <c r="Z78" s="473"/>
      <c r="AA78" s="473"/>
      <c r="AB78" s="473"/>
      <c r="AC78" s="473"/>
      <c r="AD78" s="473"/>
      <c r="AE78" s="473"/>
      <c r="AF78" s="473"/>
      <c r="AG78" s="473"/>
      <c r="AH78" s="473"/>
      <c r="AI78" s="473"/>
      <c r="AJ78" s="473"/>
      <c r="AN78" s="2"/>
      <c r="AO78" s="2"/>
      <c r="AP78" s="2"/>
      <c r="AQ78" s="898"/>
      <c r="AR78" s="898"/>
      <c r="AS78" s="898"/>
      <c r="AT78" s="898"/>
      <c r="AU78" s="898"/>
    </row>
    <row r="79" spans="1:47" ht="12.75" customHeight="1" x14ac:dyDescent="0.25">
      <c r="A79" s="473"/>
      <c r="B79" s="473"/>
      <c r="C79" s="473"/>
      <c r="D79" s="473"/>
      <c r="E79" s="473"/>
      <c r="F79" s="473"/>
      <c r="G79" s="473"/>
      <c r="H79" s="158"/>
      <c r="I79" s="473"/>
      <c r="J79" s="473"/>
      <c r="K79" s="496"/>
      <c r="L79" s="602"/>
      <c r="M79" s="473"/>
      <c r="N79" s="473"/>
      <c r="O79" s="473"/>
      <c r="P79" s="473"/>
      <c r="Q79" s="473"/>
      <c r="R79" s="473"/>
      <c r="S79" s="473"/>
      <c r="T79" s="473"/>
      <c r="U79" s="473"/>
      <c r="V79" s="473"/>
      <c r="W79" s="473"/>
      <c r="X79" s="473"/>
      <c r="Y79" s="473"/>
      <c r="Z79" s="473"/>
      <c r="AA79" s="473"/>
      <c r="AB79" s="473"/>
      <c r="AC79" s="473"/>
      <c r="AD79" s="473"/>
      <c r="AE79" s="473"/>
      <c r="AF79" s="473"/>
      <c r="AG79" s="473"/>
      <c r="AH79" s="473"/>
      <c r="AI79" s="473"/>
      <c r="AJ79" s="473"/>
      <c r="AN79" s="2"/>
      <c r="AO79" s="2"/>
      <c r="AP79" s="2"/>
      <c r="AQ79" s="898"/>
      <c r="AR79" s="898"/>
      <c r="AS79" s="898"/>
      <c r="AT79" s="898"/>
      <c r="AU79" s="898"/>
    </row>
    <row r="80" spans="1:47" ht="12.75" customHeight="1" x14ac:dyDescent="0.25">
      <c r="A80" s="473"/>
      <c r="B80" s="473"/>
      <c r="C80" s="473"/>
      <c r="D80" s="473"/>
      <c r="E80" s="473"/>
      <c r="F80" s="473"/>
      <c r="G80" s="473"/>
      <c r="H80" s="158"/>
      <c r="I80" s="473"/>
      <c r="J80" s="473"/>
      <c r="K80" s="496"/>
      <c r="L80" s="602"/>
      <c r="M80" s="473"/>
      <c r="N80" s="473"/>
      <c r="O80" s="473"/>
      <c r="P80" s="473"/>
      <c r="Q80" s="473"/>
      <c r="R80" s="473"/>
      <c r="S80" s="473"/>
      <c r="T80" s="473"/>
      <c r="U80" s="473"/>
      <c r="V80" s="473"/>
      <c r="W80" s="473"/>
      <c r="X80" s="473"/>
      <c r="Y80" s="473"/>
      <c r="Z80" s="473"/>
      <c r="AA80" s="473"/>
      <c r="AB80" s="473"/>
      <c r="AC80" s="473"/>
      <c r="AD80" s="473"/>
      <c r="AE80" s="473"/>
      <c r="AF80" s="473"/>
      <c r="AG80" s="473"/>
      <c r="AH80" s="473"/>
      <c r="AI80" s="473"/>
      <c r="AJ80" s="473"/>
      <c r="AN80" s="2"/>
      <c r="AO80" s="2"/>
      <c r="AP80" s="2"/>
      <c r="AQ80" s="898"/>
      <c r="AR80" s="898"/>
      <c r="AS80" s="898"/>
      <c r="AT80" s="898"/>
      <c r="AU80" s="898"/>
    </row>
    <row r="81" spans="1:47" ht="12.75" customHeight="1" x14ac:dyDescent="0.25">
      <c r="A81" s="473"/>
      <c r="B81" s="473"/>
      <c r="C81" s="473"/>
      <c r="D81" s="473"/>
      <c r="E81" s="473"/>
      <c r="F81" s="473"/>
      <c r="G81" s="473"/>
      <c r="H81" s="158"/>
      <c r="I81" s="473"/>
      <c r="J81" s="473"/>
      <c r="K81" s="496"/>
      <c r="L81" s="602"/>
      <c r="M81" s="473"/>
      <c r="N81" s="473"/>
      <c r="O81" s="473"/>
      <c r="P81" s="473"/>
      <c r="Q81" s="473"/>
      <c r="R81" s="473"/>
      <c r="S81" s="473"/>
      <c r="T81" s="473"/>
      <c r="U81" s="473"/>
      <c r="V81" s="473"/>
      <c r="W81" s="473"/>
      <c r="X81" s="473"/>
      <c r="Y81" s="473"/>
      <c r="Z81" s="473"/>
      <c r="AA81" s="473"/>
      <c r="AB81" s="473"/>
      <c r="AC81" s="473"/>
      <c r="AD81" s="473"/>
      <c r="AE81" s="473"/>
      <c r="AF81" s="473"/>
      <c r="AG81" s="473"/>
      <c r="AH81" s="473"/>
      <c r="AI81" s="473"/>
      <c r="AJ81" s="473"/>
      <c r="AN81" s="2"/>
      <c r="AO81" s="2"/>
      <c r="AP81" s="2"/>
      <c r="AQ81" s="898"/>
      <c r="AR81" s="898"/>
      <c r="AS81" s="898"/>
      <c r="AT81" s="898"/>
      <c r="AU81" s="898"/>
    </row>
    <row r="82" spans="1:47" ht="12.75" customHeight="1" x14ac:dyDescent="0.25">
      <c r="A82" s="473"/>
      <c r="B82" s="473"/>
      <c r="C82" s="473"/>
      <c r="D82" s="473"/>
      <c r="E82" s="473"/>
      <c r="F82" s="473"/>
      <c r="G82" s="473"/>
      <c r="H82" s="158"/>
      <c r="I82" s="473"/>
      <c r="J82" s="473"/>
      <c r="K82" s="496"/>
      <c r="L82" s="602"/>
      <c r="M82" s="473"/>
      <c r="N82" s="473"/>
      <c r="O82" s="473"/>
      <c r="P82" s="473"/>
      <c r="Q82" s="473"/>
      <c r="R82" s="473"/>
      <c r="S82" s="473"/>
      <c r="T82" s="473"/>
      <c r="U82" s="473"/>
      <c r="V82" s="473"/>
      <c r="W82" s="473"/>
      <c r="X82" s="473"/>
      <c r="Y82" s="473"/>
      <c r="Z82" s="473"/>
      <c r="AA82" s="473"/>
      <c r="AB82" s="473"/>
      <c r="AC82" s="473"/>
      <c r="AD82" s="473"/>
      <c r="AE82" s="473"/>
      <c r="AF82" s="473"/>
      <c r="AG82" s="473"/>
      <c r="AH82" s="473"/>
      <c r="AI82" s="473"/>
      <c r="AJ82" s="473"/>
      <c r="AN82" s="2"/>
      <c r="AO82" s="2"/>
      <c r="AP82" s="2"/>
      <c r="AQ82" s="898"/>
      <c r="AR82" s="898"/>
      <c r="AS82" s="898"/>
      <c r="AT82" s="898"/>
      <c r="AU82" s="898"/>
    </row>
    <row r="83" spans="1:47" ht="12.75" customHeight="1" x14ac:dyDescent="0.25">
      <c r="A83" s="473"/>
      <c r="B83" s="473"/>
      <c r="C83" s="473"/>
      <c r="D83" s="473"/>
      <c r="E83" s="473"/>
      <c r="F83" s="473"/>
      <c r="G83" s="473"/>
      <c r="H83" s="158"/>
      <c r="I83" s="473"/>
      <c r="J83" s="473"/>
      <c r="K83" s="496"/>
      <c r="L83" s="602"/>
      <c r="M83" s="473"/>
      <c r="N83" s="473"/>
      <c r="O83" s="473"/>
      <c r="P83" s="473"/>
      <c r="Q83" s="473"/>
      <c r="R83" s="473"/>
      <c r="S83" s="473"/>
      <c r="T83" s="473"/>
      <c r="U83" s="473"/>
      <c r="V83" s="473"/>
      <c r="W83" s="473"/>
      <c r="X83" s="473"/>
      <c r="Y83" s="473"/>
      <c r="Z83" s="473"/>
      <c r="AA83" s="473"/>
      <c r="AB83" s="473"/>
      <c r="AC83" s="473"/>
      <c r="AD83" s="473"/>
      <c r="AE83" s="473"/>
      <c r="AF83" s="473"/>
      <c r="AG83" s="473"/>
      <c r="AH83" s="473"/>
      <c r="AI83" s="473"/>
      <c r="AJ83" s="473"/>
      <c r="AN83" s="2"/>
      <c r="AO83" s="2"/>
      <c r="AP83" s="2"/>
      <c r="AQ83" s="898"/>
      <c r="AR83" s="898"/>
      <c r="AS83" s="898"/>
      <c r="AT83" s="898"/>
      <c r="AU83" s="898"/>
    </row>
    <row r="84" spans="1:47" ht="12.75" customHeight="1" x14ac:dyDescent="0.25">
      <c r="A84" s="473"/>
      <c r="B84" s="473"/>
      <c r="C84" s="473"/>
      <c r="D84" s="473"/>
      <c r="E84" s="473"/>
      <c r="F84" s="473"/>
      <c r="G84" s="473"/>
      <c r="H84" s="158"/>
      <c r="I84" s="473"/>
      <c r="J84" s="473"/>
      <c r="K84" s="496"/>
      <c r="L84" s="602"/>
      <c r="M84" s="473"/>
      <c r="N84" s="473"/>
      <c r="O84" s="473"/>
      <c r="P84" s="473"/>
      <c r="Q84" s="473"/>
      <c r="R84" s="473"/>
      <c r="S84" s="473"/>
      <c r="T84" s="473"/>
      <c r="U84" s="473"/>
      <c r="V84" s="473"/>
      <c r="W84" s="473"/>
      <c r="X84" s="473"/>
      <c r="Y84" s="473"/>
      <c r="Z84" s="473"/>
      <c r="AA84" s="473"/>
      <c r="AB84" s="473"/>
      <c r="AC84" s="473"/>
      <c r="AD84" s="473"/>
      <c r="AE84" s="473"/>
      <c r="AF84" s="473"/>
      <c r="AG84" s="473"/>
      <c r="AH84" s="473"/>
      <c r="AI84" s="473"/>
      <c r="AJ84" s="473"/>
      <c r="AN84" s="2"/>
      <c r="AO84" s="2"/>
      <c r="AP84" s="2"/>
      <c r="AQ84" s="898"/>
      <c r="AR84" s="898"/>
      <c r="AS84" s="898"/>
      <c r="AT84" s="898"/>
      <c r="AU84" s="898"/>
    </row>
    <row r="85" spans="1:47" ht="12.75" customHeight="1" x14ac:dyDescent="0.25">
      <c r="A85" s="473"/>
      <c r="B85" s="473"/>
      <c r="C85" s="473"/>
      <c r="D85" s="473"/>
      <c r="E85" s="473"/>
      <c r="F85" s="473"/>
      <c r="G85" s="473"/>
      <c r="H85" s="158"/>
      <c r="I85" s="473"/>
      <c r="J85" s="473"/>
      <c r="K85" s="496"/>
      <c r="L85" s="602"/>
      <c r="M85" s="473"/>
      <c r="N85" s="473"/>
      <c r="O85" s="473"/>
      <c r="P85" s="473"/>
      <c r="Q85" s="473"/>
      <c r="R85" s="473"/>
      <c r="S85" s="473"/>
      <c r="T85" s="473"/>
      <c r="U85" s="473"/>
      <c r="V85" s="473"/>
      <c r="W85" s="473"/>
      <c r="X85" s="473"/>
      <c r="Y85" s="473"/>
      <c r="Z85" s="473"/>
      <c r="AA85" s="473"/>
      <c r="AB85" s="473"/>
      <c r="AC85" s="473"/>
      <c r="AD85" s="473"/>
      <c r="AE85" s="473"/>
      <c r="AF85" s="473"/>
      <c r="AG85" s="473"/>
      <c r="AH85" s="473"/>
      <c r="AI85" s="473"/>
      <c r="AJ85" s="473"/>
      <c r="AN85" s="2"/>
      <c r="AO85" s="2"/>
      <c r="AP85" s="2"/>
      <c r="AQ85" s="898"/>
      <c r="AR85" s="898"/>
      <c r="AS85" s="898"/>
      <c r="AT85" s="898"/>
      <c r="AU85" s="898"/>
    </row>
    <row r="86" spans="1:47" ht="12.75" customHeight="1" x14ac:dyDescent="0.25">
      <c r="A86" s="473"/>
      <c r="B86" s="473"/>
      <c r="C86" s="473"/>
      <c r="D86" s="473"/>
      <c r="E86" s="473"/>
      <c r="F86" s="473"/>
      <c r="G86" s="473"/>
      <c r="H86" s="158"/>
      <c r="I86" s="473"/>
      <c r="J86" s="473"/>
      <c r="K86" s="496"/>
      <c r="L86" s="602"/>
      <c r="M86" s="473"/>
      <c r="N86" s="473"/>
      <c r="O86" s="473"/>
      <c r="P86" s="473"/>
      <c r="Q86" s="473"/>
      <c r="R86" s="473"/>
      <c r="S86" s="473"/>
      <c r="T86" s="473"/>
      <c r="U86" s="473"/>
      <c r="V86" s="473"/>
      <c r="W86" s="473"/>
      <c r="X86" s="473"/>
      <c r="Y86" s="473"/>
      <c r="Z86" s="473"/>
      <c r="AA86" s="473"/>
      <c r="AB86" s="473"/>
      <c r="AC86" s="473"/>
      <c r="AD86" s="473"/>
      <c r="AE86" s="473"/>
      <c r="AF86" s="473"/>
      <c r="AG86" s="473"/>
      <c r="AH86" s="473"/>
      <c r="AI86" s="473"/>
      <c r="AJ86" s="473"/>
      <c r="AN86" s="2"/>
      <c r="AO86" s="2"/>
      <c r="AP86" s="2"/>
      <c r="AQ86" s="898"/>
      <c r="AR86" s="898"/>
      <c r="AS86" s="898"/>
      <c r="AT86" s="898"/>
      <c r="AU86" s="898"/>
    </row>
    <row r="87" spans="1:47" ht="12.75" customHeight="1" x14ac:dyDescent="0.25">
      <c r="A87" s="473"/>
      <c r="B87" s="473"/>
      <c r="C87" s="473"/>
      <c r="D87" s="473"/>
      <c r="E87" s="473"/>
      <c r="F87" s="473"/>
      <c r="G87" s="473"/>
      <c r="H87" s="158"/>
      <c r="I87" s="473"/>
      <c r="J87" s="473"/>
      <c r="K87" s="496"/>
      <c r="L87" s="602"/>
      <c r="M87" s="473"/>
      <c r="N87" s="473"/>
      <c r="O87" s="473"/>
      <c r="P87" s="473"/>
      <c r="Q87" s="473"/>
      <c r="R87" s="473"/>
      <c r="S87" s="473"/>
      <c r="T87" s="473"/>
      <c r="U87" s="473"/>
      <c r="V87" s="473"/>
      <c r="W87" s="473"/>
      <c r="X87" s="473"/>
      <c r="Y87" s="473"/>
      <c r="Z87" s="473"/>
      <c r="AA87" s="473"/>
      <c r="AB87" s="473"/>
      <c r="AC87" s="473"/>
      <c r="AD87" s="473"/>
      <c r="AE87" s="473"/>
      <c r="AF87" s="473"/>
      <c r="AG87" s="473"/>
      <c r="AH87" s="473"/>
      <c r="AI87" s="473"/>
      <c r="AJ87" s="473"/>
      <c r="AN87" s="2"/>
      <c r="AO87" s="2"/>
      <c r="AP87" s="2"/>
      <c r="AQ87" s="898"/>
      <c r="AR87" s="898"/>
      <c r="AS87" s="898"/>
      <c r="AT87" s="898"/>
      <c r="AU87" s="898"/>
    </row>
    <row r="88" spans="1:47" ht="12.75" customHeight="1" x14ac:dyDescent="0.25">
      <c r="A88" s="473"/>
      <c r="B88" s="473"/>
      <c r="C88" s="473"/>
      <c r="D88" s="473"/>
      <c r="E88" s="473"/>
      <c r="F88" s="473"/>
      <c r="G88" s="473"/>
      <c r="H88" s="158"/>
      <c r="I88" s="473"/>
      <c r="J88" s="473"/>
      <c r="K88" s="496"/>
      <c r="L88" s="602"/>
      <c r="M88" s="473"/>
      <c r="N88" s="473"/>
      <c r="O88" s="473"/>
      <c r="P88" s="473"/>
      <c r="Q88" s="473"/>
      <c r="R88" s="473"/>
      <c r="S88" s="473"/>
      <c r="T88" s="473"/>
      <c r="U88" s="473"/>
      <c r="V88" s="473"/>
      <c r="W88" s="473"/>
      <c r="X88" s="473"/>
      <c r="Y88" s="473"/>
      <c r="Z88" s="473"/>
      <c r="AA88" s="473"/>
      <c r="AB88" s="473"/>
      <c r="AC88" s="473"/>
      <c r="AD88" s="473"/>
      <c r="AE88" s="473"/>
      <c r="AF88" s="473"/>
      <c r="AG88" s="473"/>
      <c r="AH88" s="473"/>
      <c r="AI88" s="473"/>
      <c r="AJ88" s="473"/>
      <c r="AN88" s="2"/>
      <c r="AO88" s="2"/>
      <c r="AP88" s="2"/>
      <c r="AQ88" s="898"/>
      <c r="AR88" s="898"/>
      <c r="AS88" s="898"/>
      <c r="AT88" s="898"/>
      <c r="AU88" s="898"/>
    </row>
    <row r="89" spans="1:47" ht="12.75" customHeight="1" x14ac:dyDescent="0.25">
      <c r="A89" s="473"/>
      <c r="B89" s="473"/>
      <c r="C89" s="473"/>
      <c r="D89" s="473"/>
      <c r="E89" s="473"/>
      <c r="F89" s="473"/>
      <c r="G89" s="473"/>
      <c r="H89" s="158"/>
      <c r="I89" s="473"/>
      <c r="J89" s="473"/>
      <c r="K89" s="496"/>
      <c r="L89" s="602"/>
      <c r="M89" s="473"/>
      <c r="N89" s="473"/>
      <c r="O89" s="473"/>
      <c r="P89" s="473"/>
      <c r="Q89" s="473"/>
      <c r="R89" s="473"/>
      <c r="S89" s="473"/>
      <c r="T89" s="473"/>
      <c r="U89" s="473"/>
      <c r="V89" s="473"/>
      <c r="W89" s="473"/>
      <c r="X89" s="473"/>
      <c r="Y89" s="473"/>
      <c r="Z89" s="473"/>
      <c r="AA89" s="473"/>
      <c r="AB89" s="473"/>
      <c r="AC89" s="473"/>
      <c r="AD89" s="473"/>
      <c r="AE89" s="473"/>
      <c r="AF89" s="473"/>
      <c r="AG89" s="473"/>
      <c r="AH89" s="473"/>
      <c r="AI89" s="473"/>
      <c r="AJ89" s="473"/>
      <c r="AN89" s="2"/>
      <c r="AO89" s="2"/>
      <c r="AP89" s="2"/>
      <c r="AQ89" s="898"/>
      <c r="AR89" s="898"/>
      <c r="AS89" s="898"/>
      <c r="AT89" s="898"/>
      <c r="AU89" s="898"/>
    </row>
    <row r="90" spans="1:47" ht="12.75" customHeight="1" x14ac:dyDescent="0.25">
      <c r="A90" s="473"/>
      <c r="B90" s="473"/>
      <c r="C90" s="473"/>
      <c r="D90" s="473"/>
      <c r="E90" s="473"/>
      <c r="F90" s="473"/>
      <c r="G90" s="473"/>
      <c r="H90" s="158"/>
      <c r="I90" s="473"/>
      <c r="J90" s="473"/>
      <c r="K90" s="496"/>
      <c r="L90" s="602"/>
      <c r="M90" s="473"/>
      <c r="N90" s="473"/>
      <c r="O90" s="473"/>
      <c r="P90" s="473"/>
      <c r="Q90" s="473"/>
      <c r="R90" s="473"/>
      <c r="S90" s="473"/>
      <c r="T90" s="473"/>
      <c r="U90" s="473"/>
      <c r="V90" s="473"/>
      <c r="W90" s="473"/>
      <c r="X90" s="473"/>
      <c r="Y90" s="473"/>
      <c r="Z90" s="473"/>
      <c r="AA90" s="473"/>
      <c r="AB90" s="473"/>
      <c r="AC90" s="473"/>
      <c r="AD90" s="473"/>
      <c r="AE90" s="473"/>
      <c r="AF90" s="473"/>
      <c r="AG90" s="473"/>
      <c r="AH90" s="473"/>
      <c r="AI90" s="473"/>
      <c r="AJ90" s="473"/>
      <c r="AN90" s="2"/>
      <c r="AO90" s="2"/>
      <c r="AP90" s="2"/>
      <c r="AQ90" s="898"/>
      <c r="AR90" s="898"/>
      <c r="AS90" s="898"/>
      <c r="AT90" s="898"/>
      <c r="AU90" s="898"/>
    </row>
    <row r="91" spans="1:47" ht="12.75" customHeight="1" x14ac:dyDescent="0.25">
      <c r="A91" s="473"/>
      <c r="B91" s="473"/>
      <c r="C91" s="473"/>
      <c r="D91" s="473"/>
      <c r="E91" s="473"/>
      <c r="F91" s="473"/>
      <c r="G91" s="473"/>
      <c r="H91" s="158"/>
      <c r="I91" s="473"/>
      <c r="J91" s="473"/>
      <c r="K91" s="496"/>
      <c r="L91" s="602"/>
      <c r="M91" s="473"/>
      <c r="N91" s="473"/>
      <c r="O91" s="473"/>
      <c r="P91" s="473"/>
      <c r="Q91" s="473"/>
      <c r="R91" s="473"/>
      <c r="S91" s="473"/>
      <c r="T91" s="473"/>
      <c r="U91" s="473"/>
      <c r="V91" s="473"/>
      <c r="W91" s="473"/>
      <c r="X91" s="473"/>
      <c r="Y91" s="473"/>
      <c r="Z91" s="473"/>
      <c r="AA91" s="473"/>
      <c r="AB91" s="473"/>
      <c r="AC91" s="473"/>
      <c r="AD91" s="473"/>
      <c r="AE91" s="473"/>
      <c r="AF91" s="473"/>
      <c r="AG91" s="473"/>
      <c r="AH91" s="473"/>
      <c r="AI91" s="473"/>
      <c r="AJ91" s="473"/>
      <c r="AN91" s="2"/>
      <c r="AO91" s="2"/>
      <c r="AP91" s="2"/>
      <c r="AQ91" s="898"/>
      <c r="AR91" s="898"/>
      <c r="AS91" s="898"/>
      <c r="AT91" s="898"/>
      <c r="AU91" s="898"/>
    </row>
    <row r="92" spans="1:47" ht="12.75" customHeight="1" x14ac:dyDescent="0.25">
      <c r="A92" s="473"/>
      <c r="B92" s="473"/>
      <c r="C92" s="473"/>
      <c r="D92" s="473"/>
      <c r="E92" s="473"/>
      <c r="F92" s="473"/>
      <c r="G92" s="473"/>
      <c r="H92" s="158"/>
      <c r="I92" s="473"/>
      <c r="J92" s="473"/>
      <c r="K92" s="496"/>
      <c r="L92" s="602"/>
      <c r="M92" s="473"/>
      <c r="N92" s="473"/>
      <c r="O92" s="473"/>
      <c r="P92" s="473"/>
      <c r="Q92" s="473"/>
      <c r="R92" s="473"/>
      <c r="S92" s="473"/>
      <c r="T92" s="473"/>
      <c r="U92" s="473"/>
      <c r="V92" s="473"/>
      <c r="W92" s="473"/>
      <c r="X92" s="473"/>
      <c r="Y92" s="473"/>
      <c r="Z92" s="473"/>
      <c r="AA92" s="473"/>
      <c r="AB92" s="473"/>
      <c r="AC92" s="473"/>
      <c r="AD92" s="473"/>
      <c r="AE92" s="473"/>
      <c r="AF92" s="473"/>
      <c r="AG92" s="473"/>
      <c r="AH92" s="473"/>
      <c r="AI92" s="473"/>
      <c r="AJ92" s="473"/>
      <c r="AN92" s="2"/>
      <c r="AO92" s="2"/>
      <c r="AP92" s="2"/>
      <c r="AQ92" s="898"/>
      <c r="AR92" s="898"/>
      <c r="AS92" s="898"/>
      <c r="AT92" s="898"/>
      <c r="AU92" s="898"/>
    </row>
    <row r="93" spans="1:47" ht="12.75" customHeight="1" x14ac:dyDescent="0.25">
      <c r="A93" s="473"/>
      <c r="B93" s="473"/>
      <c r="C93" s="473"/>
      <c r="D93" s="473"/>
      <c r="E93" s="473"/>
      <c r="F93" s="473"/>
      <c r="G93" s="473"/>
      <c r="H93" s="158"/>
      <c r="I93" s="473"/>
      <c r="J93" s="473"/>
      <c r="K93" s="496"/>
      <c r="L93" s="602"/>
      <c r="M93" s="473"/>
      <c r="N93" s="473"/>
      <c r="O93" s="473"/>
      <c r="P93" s="473"/>
      <c r="Q93" s="473"/>
      <c r="R93" s="473"/>
      <c r="S93" s="473"/>
      <c r="T93" s="473"/>
      <c r="U93" s="473"/>
      <c r="V93" s="473"/>
      <c r="W93" s="473"/>
      <c r="X93" s="473"/>
      <c r="Y93" s="473"/>
      <c r="Z93" s="473"/>
      <c r="AA93" s="473"/>
      <c r="AB93" s="473"/>
      <c r="AC93" s="473"/>
      <c r="AD93" s="473"/>
      <c r="AE93" s="473"/>
      <c r="AF93" s="473"/>
      <c r="AG93" s="473"/>
      <c r="AH93" s="473"/>
      <c r="AI93" s="473"/>
      <c r="AJ93" s="473"/>
      <c r="AN93" s="2"/>
      <c r="AO93" s="2"/>
      <c r="AP93" s="2"/>
      <c r="AQ93" s="898"/>
      <c r="AR93" s="898"/>
      <c r="AS93" s="898"/>
      <c r="AT93" s="898"/>
      <c r="AU93" s="898"/>
    </row>
    <row r="94" spans="1:47" ht="12.75" customHeight="1" x14ac:dyDescent="0.25">
      <c r="A94" s="473"/>
      <c r="B94" s="473"/>
      <c r="C94" s="473"/>
      <c r="D94" s="473"/>
      <c r="E94" s="473"/>
      <c r="F94" s="473"/>
      <c r="G94" s="473"/>
      <c r="H94" s="158"/>
      <c r="I94" s="473"/>
      <c r="J94" s="473"/>
      <c r="K94" s="496"/>
      <c r="L94" s="602"/>
      <c r="M94" s="473"/>
      <c r="N94" s="473"/>
      <c r="O94" s="473"/>
      <c r="P94" s="473"/>
      <c r="Q94" s="473"/>
      <c r="R94" s="473"/>
      <c r="S94" s="473"/>
      <c r="T94" s="473"/>
      <c r="U94" s="473"/>
      <c r="V94" s="473"/>
      <c r="W94" s="473"/>
      <c r="X94" s="473"/>
      <c r="Y94" s="473"/>
      <c r="Z94" s="473"/>
      <c r="AA94" s="473"/>
      <c r="AB94" s="473"/>
      <c r="AC94" s="473"/>
      <c r="AD94" s="473"/>
      <c r="AE94" s="473"/>
      <c r="AF94" s="473"/>
      <c r="AG94" s="473"/>
      <c r="AH94" s="473"/>
      <c r="AI94" s="473"/>
      <c r="AJ94" s="473"/>
      <c r="AN94" s="2"/>
      <c r="AO94" s="2"/>
      <c r="AP94" s="2"/>
      <c r="AQ94" s="898"/>
      <c r="AR94" s="898"/>
      <c r="AS94" s="898"/>
      <c r="AT94" s="898"/>
      <c r="AU94" s="898"/>
    </row>
    <row r="95" spans="1:47" ht="12.75" customHeight="1" x14ac:dyDescent="0.25">
      <c r="A95" s="473"/>
      <c r="B95" s="473"/>
      <c r="C95" s="473"/>
      <c r="D95" s="473"/>
      <c r="E95" s="473"/>
      <c r="F95" s="473"/>
      <c r="G95" s="473"/>
      <c r="H95" s="158"/>
      <c r="I95" s="473"/>
      <c r="J95" s="473"/>
      <c r="K95" s="496"/>
      <c r="L95" s="602"/>
      <c r="M95" s="473"/>
      <c r="N95" s="473"/>
      <c r="O95" s="473"/>
      <c r="P95" s="473"/>
      <c r="Q95" s="473"/>
      <c r="R95" s="473"/>
      <c r="S95" s="473"/>
      <c r="T95" s="473"/>
      <c r="U95" s="473"/>
      <c r="V95" s="473"/>
      <c r="W95" s="473"/>
      <c r="X95" s="473"/>
      <c r="Y95" s="473"/>
      <c r="Z95" s="473"/>
      <c r="AA95" s="473"/>
      <c r="AB95" s="473"/>
      <c r="AC95" s="473"/>
      <c r="AD95" s="473"/>
      <c r="AE95" s="473"/>
      <c r="AF95" s="473"/>
      <c r="AG95" s="473"/>
      <c r="AH95" s="473"/>
      <c r="AI95" s="473"/>
      <c r="AJ95" s="473"/>
      <c r="AN95" s="2"/>
      <c r="AO95" s="2"/>
      <c r="AP95" s="2"/>
      <c r="AQ95" s="898"/>
      <c r="AR95" s="898"/>
      <c r="AS95" s="898"/>
      <c r="AT95" s="898"/>
      <c r="AU95" s="898"/>
    </row>
    <row r="96" spans="1:47" ht="12.75" customHeight="1" x14ac:dyDescent="0.25">
      <c r="A96" s="473"/>
      <c r="B96" s="473"/>
      <c r="C96" s="473"/>
      <c r="D96" s="473"/>
      <c r="E96" s="473"/>
      <c r="F96" s="473"/>
      <c r="G96" s="473"/>
      <c r="H96" s="158"/>
      <c r="I96" s="473"/>
      <c r="J96" s="473"/>
      <c r="K96" s="496"/>
      <c r="L96" s="602"/>
      <c r="M96" s="473"/>
      <c r="N96" s="473"/>
      <c r="O96" s="473"/>
      <c r="P96" s="473"/>
      <c r="Q96" s="473"/>
      <c r="R96" s="473"/>
      <c r="S96" s="473"/>
      <c r="T96" s="473"/>
      <c r="U96" s="473"/>
      <c r="V96" s="473"/>
      <c r="W96" s="473"/>
      <c r="X96" s="473"/>
      <c r="Y96" s="473"/>
      <c r="Z96" s="473"/>
      <c r="AA96" s="473"/>
      <c r="AB96" s="473"/>
      <c r="AC96" s="473"/>
      <c r="AD96" s="473"/>
      <c r="AE96" s="473"/>
      <c r="AF96" s="473"/>
      <c r="AG96" s="473"/>
      <c r="AH96" s="473"/>
      <c r="AI96" s="473"/>
      <c r="AJ96" s="473"/>
      <c r="AN96" s="2"/>
      <c r="AO96" s="2"/>
      <c r="AP96" s="2"/>
      <c r="AQ96" s="898"/>
      <c r="AR96" s="898"/>
      <c r="AS96" s="898"/>
      <c r="AT96" s="898"/>
      <c r="AU96" s="898"/>
    </row>
    <row r="97" spans="1:47" ht="12.75" customHeight="1" x14ac:dyDescent="0.25">
      <c r="A97" s="473"/>
      <c r="B97" s="473"/>
      <c r="C97" s="473"/>
      <c r="D97" s="473"/>
      <c r="E97" s="473"/>
      <c r="F97" s="473"/>
      <c r="G97" s="473"/>
      <c r="H97" s="158"/>
      <c r="I97" s="473"/>
      <c r="J97" s="473"/>
      <c r="K97" s="496"/>
      <c r="L97" s="602"/>
      <c r="M97" s="473"/>
      <c r="N97" s="473"/>
      <c r="O97" s="473"/>
      <c r="P97" s="473"/>
      <c r="Q97" s="473"/>
      <c r="R97" s="473"/>
      <c r="S97" s="473"/>
      <c r="T97" s="473"/>
      <c r="U97" s="473"/>
      <c r="V97" s="473"/>
      <c r="W97" s="473"/>
      <c r="X97" s="473"/>
      <c r="Y97" s="473"/>
      <c r="Z97" s="473"/>
      <c r="AA97" s="473"/>
      <c r="AB97" s="473"/>
      <c r="AC97" s="473"/>
      <c r="AD97" s="473"/>
      <c r="AE97" s="473"/>
      <c r="AF97" s="473"/>
      <c r="AG97" s="473"/>
      <c r="AH97" s="473"/>
      <c r="AI97" s="473"/>
      <c r="AJ97" s="473"/>
      <c r="AN97" s="2"/>
      <c r="AO97" s="2"/>
      <c r="AP97" s="2"/>
      <c r="AQ97" s="898"/>
      <c r="AR97" s="898"/>
      <c r="AS97" s="898"/>
      <c r="AT97" s="898"/>
      <c r="AU97" s="898"/>
    </row>
    <row r="98" spans="1:47" ht="12.75" customHeight="1" x14ac:dyDescent="0.25">
      <c r="A98" s="473"/>
      <c r="B98" s="473"/>
      <c r="C98" s="473"/>
      <c r="D98" s="473"/>
      <c r="E98" s="473"/>
      <c r="F98" s="473"/>
      <c r="G98" s="473"/>
      <c r="H98" s="158"/>
      <c r="I98" s="473"/>
      <c r="J98" s="473"/>
      <c r="K98" s="496"/>
      <c r="L98" s="602"/>
      <c r="M98" s="473"/>
      <c r="N98" s="473"/>
      <c r="O98" s="473"/>
      <c r="P98" s="473"/>
      <c r="Q98" s="473"/>
      <c r="R98" s="473"/>
      <c r="S98" s="473"/>
      <c r="T98" s="473"/>
      <c r="U98" s="473"/>
      <c r="V98" s="473"/>
      <c r="W98" s="473"/>
      <c r="X98" s="473"/>
      <c r="Y98" s="473"/>
      <c r="Z98" s="473"/>
      <c r="AA98" s="473"/>
      <c r="AB98" s="473"/>
      <c r="AC98" s="473"/>
      <c r="AD98" s="473"/>
      <c r="AE98" s="473"/>
      <c r="AF98" s="473"/>
      <c r="AG98" s="473"/>
      <c r="AH98" s="473"/>
      <c r="AI98" s="473"/>
      <c r="AJ98" s="473"/>
      <c r="AN98" s="2"/>
      <c r="AO98" s="2"/>
      <c r="AP98" s="2"/>
      <c r="AQ98" s="898"/>
      <c r="AR98" s="898"/>
      <c r="AS98" s="898"/>
      <c r="AT98" s="898"/>
      <c r="AU98" s="898"/>
    </row>
    <row r="99" spans="1:47" ht="12.75" customHeight="1" x14ac:dyDescent="0.25">
      <c r="A99" s="473"/>
      <c r="B99" s="473"/>
      <c r="C99" s="473"/>
      <c r="D99" s="473"/>
      <c r="E99" s="473"/>
      <c r="F99" s="473"/>
      <c r="G99" s="473"/>
      <c r="H99" s="158"/>
      <c r="I99" s="473"/>
      <c r="J99" s="473"/>
      <c r="K99" s="496"/>
      <c r="L99" s="602"/>
      <c r="M99" s="473"/>
      <c r="N99" s="473"/>
      <c r="O99" s="473"/>
      <c r="P99" s="473"/>
      <c r="Q99" s="473"/>
      <c r="R99" s="473"/>
      <c r="S99" s="473"/>
      <c r="T99" s="473"/>
      <c r="U99" s="473"/>
      <c r="V99" s="473"/>
      <c r="W99" s="473"/>
      <c r="X99" s="473"/>
      <c r="Y99" s="473"/>
      <c r="Z99" s="473"/>
      <c r="AA99" s="473"/>
      <c r="AB99" s="473"/>
      <c r="AC99" s="473"/>
      <c r="AD99" s="473"/>
      <c r="AE99" s="473"/>
      <c r="AF99" s="473"/>
      <c r="AG99" s="473"/>
      <c r="AH99" s="473"/>
      <c r="AI99" s="473"/>
      <c r="AJ99" s="473"/>
      <c r="AN99" s="2"/>
      <c r="AO99" s="2"/>
      <c r="AP99" s="2"/>
      <c r="AQ99" s="898"/>
      <c r="AR99" s="898"/>
      <c r="AS99" s="898"/>
      <c r="AT99" s="898"/>
      <c r="AU99" s="898"/>
    </row>
    <row r="100" spans="1:47" ht="12.75" customHeight="1" x14ac:dyDescent="0.25">
      <c r="A100" s="473"/>
      <c r="B100" s="473"/>
      <c r="C100" s="473"/>
      <c r="D100" s="473"/>
      <c r="E100" s="473"/>
      <c r="F100" s="473"/>
      <c r="G100" s="473"/>
      <c r="H100" s="158"/>
      <c r="I100" s="473"/>
      <c r="J100" s="473"/>
      <c r="K100" s="496"/>
      <c r="L100" s="602"/>
      <c r="M100" s="473"/>
      <c r="N100" s="473"/>
      <c r="O100" s="473"/>
      <c r="P100" s="473"/>
      <c r="Q100" s="473"/>
      <c r="R100" s="473"/>
      <c r="S100" s="473"/>
      <c r="T100" s="473"/>
      <c r="U100" s="473"/>
      <c r="V100" s="473"/>
      <c r="W100" s="473"/>
      <c r="X100" s="473"/>
      <c r="Y100" s="473"/>
      <c r="Z100" s="473"/>
      <c r="AA100" s="473"/>
      <c r="AB100" s="473"/>
      <c r="AC100" s="473"/>
      <c r="AD100" s="473"/>
      <c r="AE100" s="473"/>
      <c r="AF100" s="473"/>
      <c r="AG100" s="473"/>
      <c r="AH100" s="473"/>
      <c r="AI100" s="473"/>
      <c r="AJ100" s="473"/>
      <c r="AN100" s="2"/>
      <c r="AO100" s="2"/>
      <c r="AP100" s="2"/>
      <c r="AQ100" s="898"/>
      <c r="AR100" s="898"/>
      <c r="AS100" s="898"/>
      <c r="AT100" s="898"/>
      <c r="AU100" s="898"/>
    </row>
    <row r="101" spans="1:47" ht="12.75" customHeight="1" x14ac:dyDescent="0.25">
      <c r="A101" s="473"/>
      <c r="B101" s="473"/>
      <c r="C101" s="473"/>
      <c r="D101" s="473"/>
      <c r="E101" s="473"/>
      <c r="F101" s="473"/>
      <c r="G101" s="473"/>
      <c r="H101" s="158"/>
      <c r="I101" s="473"/>
      <c r="J101" s="473"/>
      <c r="K101" s="496"/>
      <c r="L101" s="602"/>
      <c r="M101" s="473"/>
      <c r="N101" s="473"/>
      <c r="O101" s="473"/>
      <c r="P101" s="473"/>
      <c r="Q101" s="473"/>
      <c r="R101" s="473"/>
      <c r="S101" s="473"/>
      <c r="T101" s="473"/>
      <c r="U101" s="473"/>
      <c r="V101" s="473"/>
      <c r="W101" s="473"/>
      <c r="X101" s="473"/>
      <c r="Y101" s="473"/>
      <c r="Z101" s="473"/>
      <c r="AA101" s="473"/>
      <c r="AB101" s="473"/>
      <c r="AC101" s="473"/>
      <c r="AD101" s="473"/>
      <c r="AE101" s="473"/>
      <c r="AF101" s="473"/>
      <c r="AG101" s="473"/>
      <c r="AH101" s="473"/>
      <c r="AI101" s="473"/>
      <c r="AJ101" s="473"/>
      <c r="AN101" s="2"/>
      <c r="AO101" s="2"/>
      <c r="AP101" s="2"/>
      <c r="AQ101" s="898"/>
      <c r="AR101" s="898"/>
      <c r="AS101" s="898"/>
      <c r="AT101" s="898"/>
      <c r="AU101" s="898"/>
    </row>
    <row r="102" spans="1:47" ht="12.75" customHeight="1" x14ac:dyDescent="0.25">
      <c r="A102" s="473"/>
      <c r="B102" s="473"/>
      <c r="C102" s="473"/>
      <c r="D102" s="473"/>
      <c r="E102" s="473"/>
      <c r="F102" s="473"/>
      <c r="G102" s="473"/>
      <c r="H102" s="158"/>
      <c r="I102" s="473"/>
      <c r="J102" s="473"/>
      <c r="K102" s="496"/>
      <c r="L102" s="602"/>
      <c r="M102" s="473"/>
      <c r="N102" s="473"/>
      <c r="O102" s="473"/>
      <c r="P102" s="473"/>
      <c r="Q102" s="473"/>
      <c r="R102" s="473"/>
      <c r="S102" s="473"/>
      <c r="T102" s="473"/>
      <c r="U102" s="473"/>
      <c r="V102" s="473"/>
      <c r="W102" s="473"/>
      <c r="X102" s="473"/>
      <c r="Y102" s="473"/>
      <c r="Z102" s="473"/>
      <c r="AA102" s="473"/>
      <c r="AB102" s="473"/>
      <c r="AC102" s="473"/>
      <c r="AD102" s="473"/>
      <c r="AE102" s="473"/>
      <c r="AF102" s="473"/>
      <c r="AG102" s="473"/>
      <c r="AH102" s="473"/>
      <c r="AI102" s="473"/>
      <c r="AJ102" s="473"/>
      <c r="AN102" s="2"/>
      <c r="AO102" s="2"/>
      <c r="AP102" s="2"/>
      <c r="AQ102" s="898"/>
      <c r="AR102" s="898"/>
      <c r="AS102" s="898"/>
      <c r="AT102" s="898"/>
      <c r="AU102" s="898"/>
    </row>
    <row r="103" spans="1:47" ht="12.75" customHeight="1" x14ac:dyDescent="0.25">
      <c r="A103" s="473"/>
      <c r="B103" s="473"/>
      <c r="C103" s="473"/>
      <c r="D103" s="473"/>
      <c r="E103" s="473"/>
      <c r="F103" s="473"/>
      <c r="G103" s="473"/>
      <c r="H103" s="158"/>
      <c r="I103" s="473"/>
      <c r="J103" s="473"/>
      <c r="K103" s="496"/>
      <c r="L103" s="602"/>
      <c r="M103" s="473"/>
      <c r="N103" s="473"/>
      <c r="O103" s="473"/>
      <c r="P103" s="473"/>
      <c r="Q103" s="473"/>
      <c r="R103" s="473"/>
      <c r="S103" s="473"/>
      <c r="T103" s="473"/>
      <c r="U103" s="473"/>
      <c r="V103" s="473"/>
      <c r="W103" s="473"/>
      <c r="X103" s="473"/>
      <c r="Y103" s="473"/>
      <c r="Z103" s="473"/>
      <c r="AA103" s="473"/>
      <c r="AB103" s="473"/>
      <c r="AC103" s="473"/>
      <c r="AD103" s="473"/>
      <c r="AE103" s="473"/>
      <c r="AF103" s="473"/>
      <c r="AG103" s="473"/>
      <c r="AH103" s="473"/>
      <c r="AI103" s="473"/>
      <c r="AJ103" s="473"/>
      <c r="AN103" s="2"/>
      <c r="AO103" s="2"/>
      <c r="AP103" s="2"/>
      <c r="AQ103" s="898"/>
      <c r="AR103" s="898"/>
      <c r="AS103" s="898"/>
      <c r="AT103" s="898"/>
      <c r="AU103" s="898"/>
    </row>
    <row r="104" spans="1:47" ht="12.75" customHeight="1" x14ac:dyDescent="0.25">
      <c r="A104" s="473"/>
      <c r="B104" s="473"/>
      <c r="C104" s="473"/>
      <c r="D104" s="473"/>
      <c r="E104" s="473"/>
      <c r="F104" s="473"/>
      <c r="G104" s="473"/>
      <c r="H104" s="158"/>
      <c r="I104" s="473"/>
      <c r="J104" s="473"/>
      <c r="K104" s="496"/>
      <c r="L104" s="602"/>
      <c r="M104" s="473"/>
      <c r="N104" s="473"/>
      <c r="O104" s="473"/>
      <c r="P104" s="473"/>
      <c r="Q104" s="473"/>
      <c r="R104" s="473"/>
      <c r="S104" s="473"/>
      <c r="T104" s="473"/>
      <c r="U104" s="473"/>
      <c r="V104" s="473"/>
      <c r="W104" s="473"/>
      <c r="X104" s="473"/>
      <c r="Y104" s="473"/>
      <c r="Z104" s="473"/>
      <c r="AA104" s="473"/>
      <c r="AB104" s="473"/>
      <c r="AC104" s="473"/>
      <c r="AD104" s="473"/>
      <c r="AE104" s="473"/>
      <c r="AF104" s="473"/>
      <c r="AG104" s="473"/>
      <c r="AH104" s="473"/>
      <c r="AI104" s="473"/>
      <c r="AJ104" s="473"/>
      <c r="AN104" s="2"/>
      <c r="AO104" s="2"/>
      <c r="AP104" s="2"/>
      <c r="AQ104" s="898"/>
      <c r="AR104" s="898"/>
      <c r="AS104" s="898"/>
      <c r="AT104" s="898"/>
      <c r="AU104" s="898"/>
    </row>
    <row r="105" spans="1:47" ht="12.75" customHeight="1" x14ac:dyDescent="0.25">
      <c r="A105" s="473"/>
      <c r="B105" s="473"/>
      <c r="C105" s="473"/>
      <c r="D105" s="473"/>
      <c r="E105" s="473"/>
      <c r="F105" s="473"/>
      <c r="G105" s="473"/>
      <c r="H105" s="158"/>
      <c r="I105" s="473"/>
      <c r="J105" s="473"/>
      <c r="K105" s="496"/>
      <c r="L105" s="602"/>
      <c r="M105" s="473"/>
      <c r="N105" s="473"/>
      <c r="O105" s="473"/>
      <c r="P105" s="473"/>
      <c r="Q105" s="473"/>
      <c r="R105" s="473"/>
      <c r="S105" s="473"/>
      <c r="T105" s="473"/>
      <c r="U105" s="473"/>
      <c r="V105" s="473"/>
      <c r="W105" s="473"/>
      <c r="X105" s="473"/>
      <c r="Y105" s="473"/>
      <c r="Z105" s="473"/>
      <c r="AA105" s="473"/>
      <c r="AB105" s="473"/>
      <c r="AC105" s="473"/>
      <c r="AD105" s="473"/>
      <c r="AE105" s="473"/>
      <c r="AF105" s="473"/>
      <c r="AG105" s="473"/>
      <c r="AH105" s="473"/>
      <c r="AI105" s="473"/>
      <c r="AJ105" s="473"/>
      <c r="AN105" s="2"/>
      <c r="AO105" s="2"/>
      <c r="AP105" s="2"/>
      <c r="AQ105" s="898"/>
      <c r="AR105" s="898"/>
      <c r="AS105" s="898"/>
      <c r="AT105" s="898"/>
      <c r="AU105" s="898"/>
    </row>
    <row r="106" spans="1:47" ht="12.75" customHeight="1" x14ac:dyDescent="0.25">
      <c r="A106" s="473"/>
      <c r="B106" s="473"/>
      <c r="C106" s="473"/>
      <c r="D106" s="473"/>
      <c r="E106" s="473"/>
      <c r="F106" s="473"/>
      <c r="G106" s="473"/>
      <c r="H106" s="158"/>
      <c r="I106" s="473"/>
      <c r="J106" s="473"/>
      <c r="K106" s="496"/>
      <c r="L106" s="602"/>
      <c r="M106" s="473"/>
      <c r="N106" s="473"/>
      <c r="O106" s="473"/>
      <c r="P106" s="473"/>
      <c r="Q106" s="473"/>
      <c r="R106" s="473"/>
      <c r="S106" s="473"/>
      <c r="T106" s="473"/>
      <c r="U106" s="473"/>
      <c r="V106" s="473"/>
      <c r="W106" s="473"/>
      <c r="X106" s="473"/>
      <c r="Y106" s="473"/>
      <c r="Z106" s="473"/>
      <c r="AA106" s="473"/>
      <c r="AB106" s="473"/>
      <c r="AC106" s="473"/>
      <c r="AD106" s="473"/>
      <c r="AE106" s="473"/>
      <c r="AF106" s="473"/>
      <c r="AG106" s="473"/>
      <c r="AH106" s="473"/>
      <c r="AI106" s="473"/>
      <c r="AJ106" s="473"/>
      <c r="AN106" s="2"/>
      <c r="AO106" s="2"/>
      <c r="AP106" s="2"/>
      <c r="AQ106" s="898"/>
      <c r="AR106" s="898"/>
      <c r="AS106" s="898"/>
      <c r="AT106" s="898"/>
      <c r="AU106" s="898"/>
    </row>
    <row r="107" spans="1:47" ht="12.75" customHeight="1" x14ac:dyDescent="0.25">
      <c r="A107" s="473"/>
      <c r="B107" s="473"/>
      <c r="C107" s="473"/>
      <c r="D107" s="473"/>
      <c r="E107" s="473"/>
      <c r="F107" s="473"/>
      <c r="G107" s="473"/>
      <c r="H107" s="158"/>
      <c r="I107" s="473"/>
      <c r="J107" s="473"/>
      <c r="K107" s="496"/>
      <c r="L107" s="602"/>
      <c r="M107" s="473"/>
      <c r="N107" s="473"/>
      <c r="O107" s="473"/>
      <c r="P107" s="473"/>
      <c r="Q107" s="473"/>
      <c r="R107" s="473"/>
      <c r="S107" s="473"/>
      <c r="T107" s="473"/>
      <c r="U107" s="473"/>
      <c r="V107" s="473"/>
      <c r="W107" s="473"/>
      <c r="X107" s="473"/>
      <c r="Y107" s="473"/>
      <c r="Z107" s="473"/>
      <c r="AA107" s="473"/>
      <c r="AB107" s="473"/>
      <c r="AC107" s="473"/>
      <c r="AD107" s="473"/>
      <c r="AE107" s="473"/>
      <c r="AF107" s="473"/>
      <c r="AG107" s="473"/>
      <c r="AH107" s="473"/>
      <c r="AI107" s="473"/>
      <c r="AJ107" s="473"/>
      <c r="AN107" s="2"/>
      <c r="AO107" s="2"/>
      <c r="AP107" s="2"/>
      <c r="AQ107" s="898"/>
      <c r="AR107" s="898"/>
      <c r="AS107" s="898"/>
      <c r="AT107" s="898"/>
      <c r="AU107" s="898"/>
    </row>
    <row r="108" spans="1:47" ht="12.75" customHeight="1" x14ac:dyDescent="0.25">
      <c r="A108" s="473"/>
      <c r="B108" s="473"/>
      <c r="C108" s="473"/>
      <c r="D108" s="473"/>
      <c r="E108" s="473"/>
      <c r="F108" s="473"/>
      <c r="G108" s="473"/>
      <c r="H108" s="158"/>
      <c r="I108" s="473"/>
      <c r="J108" s="473"/>
      <c r="K108" s="496"/>
      <c r="L108" s="602"/>
      <c r="M108" s="473"/>
      <c r="N108" s="473"/>
      <c r="O108" s="473"/>
      <c r="P108" s="473"/>
      <c r="Q108" s="473"/>
      <c r="R108" s="473"/>
      <c r="S108" s="473"/>
      <c r="T108" s="473"/>
      <c r="U108" s="473"/>
      <c r="V108" s="473"/>
      <c r="W108" s="473"/>
      <c r="X108" s="473"/>
      <c r="Y108" s="473"/>
      <c r="Z108" s="473"/>
      <c r="AA108" s="473"/>
      <c r="AB108" s="473"/>
      <c r="AC108" s="473"/>
      <c r="AD108" s="473"/>
      <c r="AE108" s="473"/>
      <c r="AF108" s="473"/>
      <c r="AG108" s="473"/>
      <c r="AH108" s="473"/>
      <c r="AI108" s="473"/>
      <c r="AJ108" s="473"/>
      <c r="AN108" s="2"/>
      <c r="AO108" s="2"/>
      <c r="AP108" s="2"/>
      <c r="AQ108" s="898"/>
      <c r="AR108" s="898"/>
      <c r="AS108" s="898"/>
      <c r="AT108" s="898"/>
      <c r="AU108" s="898"/>
    </row>
    <row r="109" spans="1:47" ht="12.75" customHeight="1" x14ac:dyDescent="0.25">
      <c r="A109" s="473"/>
      <c r="B109" s="473"/>
      <c r="C109" s="473"/>
      <c r="D109" s="473"/>
      <c r="E109" s="473"/>
      <c r="F109" s="473"/>
      <c r="G109" s="473"/>
      <c r="H109" s="158"/>
      <c r="I109" s="473"/>
      <c r="J109" s="473"/>
      <c r="K109" s="496"/>
      <c r="L109" s="602"/>
      <c r="M109" s="473"/>
      <c r="N109" s="473"/>
      <c r="O109" s="473"/>
      <c r="P109" s="473"/>
      <c r="Q109" s="473"/>
      <c r="R109" s="473"/>
      <c r="S109" s="473"/>
      <c r="T109" s="473"/>
      <c r="U109" s="473"/>
      <c r="V109" s="473"/>
      <c r="W109" s="473"/>
      <c r="X109" s="473"/>
      <c r="Y109" s="473"/>
      <c r="Z109" s="473"/>
      <c r="AA109" s="473"/>
      <c r="AB109" s="473"/>
      <c r="AC109" s="473"/>
      <c r="AD109" s="473"/>
      <c r="AE109" s="473"/>
      <c r="AF109" s="473"/>
      <c r="AG109" s="473"/>
      <c r="AH109" s="473"/>
      <c r="AI109" s="473"/>
      <c r="AJ109" s="473"/>
      <c r="AN109" s="2"/>
      <c r="AO109" s="2"/>
      <c r="AP109" s="2"/>
      <c r="AQ109" s="898"/>
      <c r="AR109" s="898"/>
      <c r="AS109" s="898"/>
      <c r="AT109" s="898"/>
      <c r="AU109" s="898"/>
    </row>
    <row r="110" spans="1:47" ht="12.75" customHeight="1" x14ac:dyDescent="0.25">
      <c r="A110" s="473"/>
      <c r="B110" s="473"/>
      <c r="C110" s="473"/>
      <c r="D110" s="473"/>
      <c r="E110" s="473"/>
      <c r="F110" s="473"/>
      <c r="G110" s="473"/>
      <c r="H110" s="158"/>
      <c r="I110" s="473"/>
      <c r="J110" s="473"/>
      <c r="K110" s="496"/>
      <c r="L110" s="602"/>
      <c r="M110" s="473"/>
      <c r="N110" s="473"/>
      <c r="O110" s="473"/>
      <c r="P110" s="473"/>
      <c r="Q110" s="473"/>
      <c r="R110" s="473"/>
      <c r="S110" s="473"/>
      <c r="T110" s="473"/>
      <c r="U110" s="473"/>
      <c r="V110" s="473"/>
      <c r="W110" s="473"/>
      <c r="X110" s="473"/>
      <c r="Y110" s="473"/>
      <c r="Z110" s="473"/>
      <c r="AA110" s="473"/>
      <c r="AB110" s="473"/>
      <c r="AC110" s="473"/>
      <c r="AD110" s="473"/>
      <c r="AE110" s="473"/>
      <c r="AF110" s="473"/>
      <c r="AG110" s="473"/>
      <c r="AH110" s="473"/>
      <c r="AI110" s="473"/>
      <c r="AJ110" s="473"/>
      <c r="AN110" s="2"/>
      <c r="AO110" s="2"/>
      <c r="AP110" s="2"/>
      <c r="AQ110" s="898"/>
      <c r="AR110" s="898"/>
      <c r="AS110" s="898"/>
      <c r="AT110" s="898"/>
      <c r="AU110" s="898"/>
    </row>
    <row r="111" spans="1:47" ht="12.75" customHeight="1" x14ac:dyDescent="0.25">
      <c r="A111" s="473"/>
      <c r="B111" s="473"/>
      <c r="C111" s="473"/>
      <c r="D111" s="473"/>
      <c r="E111" s="473"/>
      <c r="F111" s="473"/>
      <c r="G111" s="473"/>
      <c r="H111" s="158"/>
      <c r="I111" s="473"/>
      <c r="J111" s="473"/>
      <c r="K111" s="496"/>
      <c r="L111" s="602"/>
      <c r="M111" s="473"/>
      <c r="N111" s="473"/>
      <c r="O111" s="473"/>
      <c r="P111" s="473"/>
      <c r="Q111" s="473"/>
      <c r="R111" s="473"/>
      <c r="S111" s="473"/>
      <c r="T111" s="473"/>
      <c r="U111" s="473"/>
      <c r="V111" s="473"/>
      <c r="W111" s="473"/>
      <c r="X111" s="473"/>
      <c r="Y111" s="473"/>
      <c r="Z111" s="473"/>
      <c r="AA111" s="473"/>
      <c r="AB111" s="473"/>
      <c r="AC111" s="473"/>
      <c r="AD111" s="473"/>
      <c r="AE111" s="473"/>
      <c r="AF111" s="473"/>
      <c r="AG111" s="473"/>
      <c r="AH111" s="473"/>
      <c r="AI111" s="473"/>
      <c r="AJ111" s="473"/>
      <c r="AN111" s="2"/>
      <c r="AO111" s="2"/>
      <c r="AP111" s="2"/>
      <c r="AQ111" s="898"/>
      <c r="AR111" s="898"/>
      <c r="AS111" s="898"/>
      <c r="AT111" s="898"/>
      <c r="AU111" s="898"/>
    </row>
    <row r="112" spans="1:47" ht="12.75" customHeight="1" x14ac:dyDescent="0.25">
      <c r="A112" s="473"/>
      <c r="B112" s="473"/>
      <c r="C112" s="473"/>
      <c r="D112" s="473"/>
      <c r="E112" s="473"/>
      <c r="F112" s="473"/>
      <c r="G112" s="473"/>
      <c r="H112" s="158"/>
      <c r="I112" s="473"/>
      <c r="J112" s="473"/>
      <c r="K112" s="496"/>
      <c r="L112" s="602"/>
      <c r="M112" s="473"/>
      <c r="N112" s="473"/>
      <c r="O112" s="473"/>
      <c r="P112" s="473"/>
      <c r="Q112" s="473"/>
      <c r="R112" s="473"/>
      <c r="S112" s="473"/>
      <c r="T112" s="473"/>
      <c r="U112" s="473"/>
      <c r="V112" s="473"/>
      <c r="W112" s="473"/>
      <c r="X112" s="473"/>
      <c r="Y112" s="473"/>
      <c r="Z112" s="473"/>
      <c r="AA112" s="473"/>
      <c r="AB112" s="473"/>
      <c r="AC112" s="473"/>
      <c r="AD112" s="473"/>
      <c r="AE112" s="473"/>
      <c r="AF112" s="473"/>
      <c r="AG112" s="473"/>
      <c r="AH112" s="473"/>
      <c r="AI112" s="473"/>
      <c r="AJ112" s="473"/>
      <c r="AN112" s="2"/>
      <c r="AO112" s="2"/>
      <c r="AP112" s="2"/>
      <c r="AQ112" s="898"/>
      <c r="AR112" s="898"/>
      <c r="AS112" s="898"/>
      <c r="AT112" s="898"/>
      <c r="AU112" s="898"/>
    </row>
    <row r="113" spans="1:47" ht="12.75" customHeight="1" x14ac:dyDescent="0.25">
      <c r="A113" s="473"/>
      <c r="B113" s="473"/>
      <c r="C113" s="473"/>
      <c r="D113" s="473"/>
      <c r="E113" s="473"/>
      <c r="F113" s="473"/>
      <c r="G113" s="473"/>
      <c r="H113" s="158"/>
      <c r="I113" s="473" t="s">
        <v>202</v>
      </c>
      <c r="J113" s="473"/>
      <c r="K113" s="496"/>
      <c r="L113" s="602"/>
      <c r="M113" s="473"/>
      <c r="N113" s="473"/>
      <c r="O113" s="473"/>
      <c r="P113" s="473"/>
      <c r="Q113" s="473"/>
      <c r="R113" s="473"/>
      <c r="S113" s="473"/>
      <c r="T113" s="473"/>
      <c r="U113" s="473"/>
      <c r="V113" s="473"/>
      <c r="W113" s="473"/>
      <c r="X113" s="473"/>
      <c r="Y113" s="473"/>
      <c r="Z113" s="473"/>
      <c r="AA113" s="473"/>
      <c r="AB113" s="473"/>
      <c r="AC113" s="473"/>
      <c r="AD113" s="473"/>
      <c r="AE113" s="473"/>
      <c r="AF113" s="473"/>
      <c r="AG113" s="473"/>
      <c r="AH113" s="473"/>
      <c r="AI113" s="473"/>
      <c r="AJ113" s="473"/>
      <c r="AN113" s="2"/>
      <c r="AO113" s="2"/>
      <c r="AP113" s="2"/>
      <c r="AQ113" s="898"/>
      <c r="AR113" s="898"/>
      <c r="AS113" s="898"/>
      <c r="AT113" s="898"/>
      <c r="AU113" s="898"/>
    </row>
  </sheetData>
  <mergeCells count="5">
    <mergeCell ref="B3:H3"/>
    <mergeCell ref="I3:AJ6"/>
    <mergeCell ref="B6:H6"/>
    <mergeCell ref="C58:H58"/>
    <mergeCell ref="AO1:AV2"/>
  </mergeCells>
  <printOptions horizontalCentered="1" verticalCentered="1"/>
  <pageMargins left="0.7" right="0.7" top="0.75" bottom="0.75" header="0.3" footer="0.3"/>
  <pageSetup paperSize="9" scale="89" fitToWidth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theme="3" tint="-0.249977111117893"/>
    <pageSetUpPr fitToPage="1"/>
  </sheetPr>
  <dimension ref="A1:AL117"/>
  <sheetViews>
    <sheetView showGridLines="0" zoomScaleNormal="100" workbookViewId="0">
      <selection activeCell="N4" sqref="N4:S4"/>
    </sheetView>
  </sheetViews>
  <sheetFormatPr defaultRowHeight="12.75" customHeight="1" outlineLevelCol="1" x14ac:dyDescent="0.25"/>
  <cols>
    <col min="1" max="1" width="3.5703125" customWidth="1"/>
    <col min="2" max="2" width="7.5703125" customWidth="1"/>
    <col min="3" max="3" width="29" customWidth="1"/>
    <col min="4" max="4" width="7" customWidth="1"/>
    <col min="5" max="5" width="9.140625" customWidth="1"/>
    <col min="6" max="6" width="0.42578125" customWidth="1"/>
    <col min="7" max="7" width="7.5703125" customWidth="1"/>
    <col min="8" max="8" width="29" customWidth="1"/>
    <col min="9" max="9" width="7" customWidth="1"/>
    <col min="10" max="10" width="9.140625" customWidth="1"/>
    <col min="11" max="11" width="8.5703125" bestFit="1" customWidth="1"/>
    <col min="12" max="12" width="10.5703125" customWidth="1"/>
    <col min="13" max="13" width="3.42578125" customWidth="1"/>
    <col min="14" max="14" width="12.42578125" bestFit="1" customWidth="1"/>
    <col min="15" max="15" width="24.5703125" customWidth="1"/>
    <col min="16" max="16" width="8" bestFit="1" customWidth="1"/>
    <col min="17" max="17" width="11.140625" customWidth="1"/>
    <col min="18" max="18" width="7.85546875" bestFit="1" customWidth="1"/>
    <col min="19" max="19" width="12.7109375" customWidth="1"/>
    <col min="22" max="22" width="9.42578125" hidden="1" customWidth="1" outlineLevel="1"/>
    <col min="23" max="23" width="25" hidden="1" customWidth="1" outlineLevel="1"/>
    <col min="24" max="24" width="5.28515625" hidden="1" customWidth="1" outlineLevel="1"/>
    <col min="25" max="25" width="7.42578125" hidden="1" customWidth="1" outlineLevel="1"/>
    <col min="26" max="26" width="8.140625" hidden="1" customWidth="1" outlineLevel="1"/>
    <col min="27" max="27" width="9.85546875" hidden="1" customWidth="1" outlineLevel="1"/>
    <col min="28" max="28" width="11.5703125" hidden="1" customWidth="1" outlineLevel="1"/>
    <col min="29" max="29" width="8.85546875" hidden="1" customWidth="1" outlineLevel="1"/>
    <col min="30" max="31" width="9.140625" hidden="1" customWidth="1" outlineLevel="1"/>
    <col min="32" max="32" width="13" hidden="1" customWidth="1" outlineLevel="1"/>
    <col min="33" max="35" width="9.140625" hidden="1" customWidth="1" outlineLevel="1"/>
    <col min="36" max="37" width="10.5703125" hidden="1" customWidth="1" outlineLevel="1"/>
    <col min="38" max="38" width="9.140625" collapsed="1"/>
  </cols>
  <sheetData>
    <row r="1" spans="1:37" ht="12.75" customHeight="1" thickBot="1" x14ac:dyDescent="0.3">
      <c r="A1" s="703"/>
      <c r="B1" s="41"/>
      <c r="C1" s="704"/>
      <c r="D1" s="705"/>
      <c r="E1" s="703"/>
      <c r="F1" s="703"/>
      <c r="G1" s="42"/>
      <c r="H1" s="40"/>
      <c r="I1" s="703"/>
      <c r="J1" s="703"/>
      <c r="K1" s="703"/>
      <c r="L1" s="703"/>
      <c r="M1" s="703"/>
      <c r="N1" s="39"/>
      <c r="O1" s="39"/>
      <c r="P1" s="39"/>
      <c r="Q1" s="39"/>
      <c r="R1" s="39"/>
      <c r="S1" s="39"/>
      <c r="T1" s="703"/>
      <c r="U1" s="703"/>
      <c r="V1" s="1312" t="s">
        <v>506</v>
      </c>
      <c r="W1" s="1312"/>
      <c r="X1" s="1312"/>
      <c r="Y1" s="1312"/>
      <c r="Z1" s="1312"/>
      <c r="AA1" s="1312"/>
      <c r="AB1" s="1312"/>
      <c r="AC1" s="1312"/>
      <c r="AD1" s="1312"/>
      <c r="AE1" s="1312"/>
      <c r="AF1" s="1312"/>
      <c r="AH1" s="130"/>
      <c r="AK1" s="1"/>
    </row>
    <row r="2" spans="1:37" ht="12.75" customHeight="1" thickBot="1" x14ac:dyDescent="0.3">
      <c r="A2" s="703"/>
      <c r="B2" s="706" t="s">
        <v>0</v>
      </c>
      <c r="C2" s="707" t="str">
        <f>IF('Pork Breaking'!C2&gt;0, 'Pork Breaking'!C2," ")</f>
        <v>Date</v>
      </c>
      <c r="D2" s="705"/>
      <c r="E2" s="703"/>
      <c r="F2" s="703"/>
      <c r="G2" s="42"/>
      <c r="H2" s="40"/>
      <c r="I2" s="703"/>
      <c r="J2" s="703"/>
      <c r="K2" s="708"/>
      <c r="L2" s="703"/>
      <c r="M2" s="703"/>
      <c r="N2" s="1315" t="s">
        <v>510</v>
      </c>
      <c r="O2" s="1315"/>
      <c r="P2" s="1315"/>
      <c r="Q2" s="1315"/>
      <c r="R2" s="1315"/>
      <c r="S2" s="1315"/>
      <c r="T2" s="703"/>
      <c r="U2" s="703"/>
      <c r="V2" s="705"/>
      <c r="W2" s="705"/>
      <c r="X2" s="705"/>
      <c r="Y2" s="705"/>
      <c r="Z2" s="709"/>
      <c r="AA2" s="710"/>
      <c r="AB2" s="28"/>
      <c r="AC2" s="705"/>
      <c r="AD2" s="705"/>
      <c r="AE2" s="705"/>
      <c r="AF2" s="1313" t="s">
        <v>901</v>
      </c>
      <c r="AG2" s="1313"/>
      <c r="AH2" s="1313"/>
      <c r="AI2" s="1313"/>
      <c r="AJ2" s="1313"/>
      <c r="AK2" s="1313"/>
    </row>
    <row r="3" spans="1:37" ht="15.75" thickBot="1" x14ac:dyDescent="0.3">
      <c r="A3" s="703"/>
      <c r="B3" s="1345" t="s">
        <v>356</v>
      </c>
      <c r="C3" s="1346"/>
      <c r="D3" s="705"/>
      <c r="E3" s="703"/>
      <c r="F3" s="703"/>
      <c r="G3" s="42"/>
      <c r="H3" s="40"/>
      <c r="I3" s="703"/>
      <c r="J3" s="703"/>
      <c r="K3" s="708"/>
      <c r="L3" s="703"/>
      <c r="M3" s="703"/>
      <c r="N3" s="711" t="s">
        <v>0</v>
      </c>
      <c r="O3" s="1360">
        <v>44881</v>
      </c>
      <c r="P3" s="1361"/>
      <c r="Q3" s="1361"/>
      <c r="R3" s="1361"/>
      <c r="S3" s="1362"/>
      <c r="T3" s="703"/>
      <c r="U3" s="703"/>
      <c r="V3" s="705"/>
      <c r="W3" s="705"/>
      <c r="X3" s="705"/>
      <c r="Y3" s="705"/>
      <c r="Z3" s="709"/>
      <c r="AA3" s="710"/>
      <c r="AB3" s="28"/>
      <c r="AC3" s="705"/>
      <c r="AD3" s="705"/>
      <c r="AE3" s="705"/>
      <c r="AF3" s="1314"/>
      <c r="AG3" s="1314"/>
      <c r="AH3" s="1314"/>
      <c r="AI3" s="1314"/>
      <c r="AJ3" s="1314"/>
      <c r="AK3" s="1314"/>
    </row>
    <row r="4" spans="1:37" ht="57" customHeight="1" thickBot="1" x14ac:dyDescent="0.3">
      <c r="A4" s="703"/>
      <c r="B4" s="712" t="s">
        <v>354</v>
      </c>
      <c r="C4" s="713" t="s">
        <v>168</v>
      </c>
      <c r="D4" s="713" t="s">
        <v>172</v>
      </c>
      <c r="E4" s="714" t="s">
        <v>357</v>
      </c>
      <c r="F4" s="715"/>
      <c r="G4" s="716" t="s">
        <v>8</v>
      </c>
      <c r="H4" s="713" t="s">
        <v>168</v>
      </c>
      <c r="I4" s="713" t="s">
        <v>172</v>
      </c>
      <c r="J4" s="717" t="s">
        <v>357</v>
      </c>
      <c r="K4" s="718" t="s">
        <v>358</v>
      </c>
      <c r="L4" s="703"/>
      <c r="M4" s="703"/>
      <c r="N4" s="1327" t="s">
        <v>516</v>
      </c>
      <c r="O4" s="1328"/>
      <c r="P4" s="1328"/>
      <c r="Q4" s="1328"/>
      <c r="R4" s="1328"/>
      <c r="S4" s="1329"/>
      <c r="T4" s="703"/>
      <c r="U4" s="703"/>
      <c r="V4" s="1316" t="s">
        <v>432</v>
      </c>
      <c r="W4" s="1317"/>
      <c r="X4" s="1317"/>
      <c r="Y4" s="1317"/>
      <c r="Z4" s="1317"/>
      <c r="AA4" s="1318"/>
      <c r="AB4" s="1310" t="s">
        <v>508</v>
      </c>
      <c r="AC4" s="1310" t="s">
        <v>54</v>
      </c>
      <c r="AD4" s="705"/>
      <c r="AE4" s="705"/>
      <c r="AF4" s="719"/>
      <c r="AG4" s="719"/>
      <c r="AH4" s="148"/>
      <c r="AI4" s="719" t="s">
        <v>898</v>
      </c>
      <c r="AJ4" s="720" t="s">
        <v>899</v>
      </c>
      <c r="AK4" s="721" t="s">
        <v>900</v>
      </c>
    </row>
    <row r="5" spans="1:37" ht="12.75" customHeight="1" thickBot="1" x14ac:dyDescent="0.3">
      <c r="A5" s="703"/>
      <c r="B5" s="1352" t="s">
        <v>10</v>
      </c>
      <c r="C5" s="1353"/>
      <c r="D5" s="1353"/>
      <c r="E5" s="1354"/>
      <c r="F5" s="722"/>
      <c r="G5" s="1349" t="s">
        <v>514</v>
      </c>
      <c r="H5" s="1350"/>
      <c r="I5" s="1350"/>
      <c r="J5" s="1350"/>
      <c r="K5" s="1351"/>
      <c r="L5" s="703"/>
      <c r="M5" s="703"/>
      <c r="N5" s="1330" t="s">
        <v>232</v>
      </c>
      <c r="O5" s="1331"/>
      <c r="P5" s="1331"/>
      <c r="Q5" s="1331"/>
      <c r="R5" s="1331"/>
      <c r="S5" s="1332"/>
      <c r="T5" s="703"/>
      <c r="U5" s="703"/>
      <c r="V5" s="723" t="s">
        <v>8</v>
      </c>
      <c r="W5" s="724" t="s">
        <v>168</v>
      </c>
      <c r="X5" s="724" t="s">
        <v>433</v>
      </c>
      <c r="Y5" s="725" t="s">
        <v>11</v>
      </c>
      <c r="Z5" s="726" t="s">
        <v>43</v>
      </c>
      <c r="AA5" s="727" t="s">
        <v>431</v>
      </c>
      <c r="AB5" s="1311"/>
      <c r="AC5" s="1311"/>
      <c r="AD5" s="705"/>
      <c r="AE5" s="705"/>
      <c r="AF5" s="719" t="s">
        <v>231</v>
      </c>
      <c r="AG5" s="719" t="s">
        <v>308</v>
      </c>
      <c r="AH5" s="148"/>
      <c r="AI5" s="719"/>
      <c r="AJ5" s="728">
        <f>CarcaseForBreaking-AJ15</f>
        <v>32353.599999999999</v>
      </c>
      <c r="AK5" s="721">
        <f>'Pork Breaking'!D8-AK15</f>
        <v>1108</v>
      </c>
    </row>
    <row r="6" spans="1:37" ht="12.75" customHeight="1" thickBot="1" x14ac:dyDescent="0.3">
      <c r="A6" s="703"/>
      <c r="B6" s="729" t="s">
        <v>341</v>
      </c>
      <c r="C6" s="730" t="s">
        <v>359</v>
      </c>
      <c r="D6" s="731"/>
      <c r="E6" s="732">
        <f>[4]slicing!$D$5</f>
        <v>197.2</v>
      </c>
      <c r="F6" s="733"/>
      <c r="G6" s="729" t="s">
        <v>340</v>
      </c>
      <c r="H6" s="734" t="s">
        <v>360</v>
      </c>
      <c r="I6" s="731"/>
      <c r="J6" s="735">
        <f>[4]slicing!H5</f>
        <v>108.2</v>
      </c>
      <c r="K6" s="736"/>
      <c r="L6" s="703"/>
      <c r="M6" s="703"/>
      <c r="N6" s="737"/>
      <c r="O6" s="738"/>
      <c r="P6" s="1341" t="s">
        <v>11</v>
      </c>
      <c r="Q6" s="1337" t="s">
        <v>504</v>
      </c>
      <c r="R6" s="1343" t="s">
        <v>11</v>
      </c>
      <c r="S6" s="1339" t="s">
        <v>505</v>
      </c>
      <c r="T6" s="703"/>
      <c r="U6" s="703"/>
      <c r="V6" s="739" t="s">
        <v>342</v>
      </c>
      <c r="W6" s="740" t="s">
        <v>343</v>
      </c>
      <c r="X6" s="740" t="s">
        <v>259</v>
      </c>
      <c r="Y6" s="741">
        <f>P21</f>
        <v>0</v>
      </c>
      <c r="Z6" s="742">
        <f>SUM(Z7:Z15)</f>
        <v>0</v>
      </c>
      <c r="AA6" s="743">
        <v>1</v>
      </c>
      <c r="AB6" s="32">
        <v>1</v>
      </c>
      <c r="AC6" s="33">
        <f>AA6-AB6</f>
        <v>0</v>
      </c>
      <c r="AD6" s="705"/>
      <c r="AE6" s="705"/>
      <c r="AF6" s="719" t="s">
        <v>62</v>
      </c>
      <c r="AG6" s="719" t="s">
        <v>307</v>
      </c>
      <c r="AH6" s="148">
        <v>0.31869999999999998</v>
      </c>
      <c r="AI6" s="719"/>
      <c r="AJ6" s="720">
        <f>LegBreaked-AJ16</f>
        <v>9953.2000000000007</v>
      </c>
      <c r="AK6" s="721">
        <f>'Pork Breaking'!D18-AK16</f>
        <v>1108</v>
      </c>
    </row>
    <row r="7" spans="1:37" ht="12.75" customHeight="1" thickBot="1" x14ac:dyDescent="0.3">
      <c r="A7" s="703"/>
      <c r="B7" s="744"/>
      <c r="C7" s="745"/>
      <c r="D7" s="746"/>
      <c r="E7" s="747"/>
      <c r="F7" s="748"/>
      <c r="G7" s="744"/>
      <c r="H7" s="749" t="s">
        <v>363</v>
      </c>
      <c r="I7" s="746"/>
      <c r="J7" s="750">
        <f>[4]slicing!H6</f>
        <v>53.5</v>
      </c>
      <c r="K7" s="751"/>
      <c r="L7" s="703"/>
      <c r="M7" s="703"/>
      <c r="N7" s="752" t="s">
        <v>8</v>
      </c>
      <c r="O7" s="753" t="s">
        <v>168</v>
      </c>
      <c r="P7" s="1342"/>
      <c r="Q7" s="1338"/>
      <c r="R7" s="1344"/>
      <c r="S7" s="1340"/>
      <c r="T7" s="703"/>
      <c r="U7" s="703"/>
      <c r="V7" s="754" t="s">
        <v>302</v>
      </c>
      <c r="W7" s="755" t="s">
        <v>430</v>
      </c>
      <c r="X7" s="755" t="s">
        <v>259</v>
      </c>
      <c r="Y7" s="756">
        <f>P21</f>
        <v>0</v>
      </c>
      <c r="Z7" s="757">
        <f>Q21</f>
        <v>0</v>
      </c>
      <c r="AA7" s="758">
        <v>0.89770000000000005</v>
      </c>
      <c r="AB7" s="29" t="e">
        <f>Z7/$Z$6*$AB$6</f>
        <v>#DIV/0!</v>
      </c>
      <c r="AC7" s="31"/>
      <c r="AD7" s="705"/>
      <c r="AE7" s="705"/>
      <c r="AF7" s="719" t="s">
        <v>45</v>
      </c>
      <c r="AG7" s="719" t="s">
        <v>306</v>
      </c>
      <c r="AH7" s="148">
        <v>0.34899999999999998</v>
      </c>
      <c r="AI7" s="719"/>
      <c r="AJ7" s="720">
        <f>ShoulderBreaked-AJ17</f>
        <v>11176.1</v>
      </c>
      <c r="AK7" s="721">
        <f>'Pork Breaking'!D23-AK17</f>
        <v>1108</v>
      </c>
    </row>
    <row r="8" spans="1:37" ht="12.75" customHeight="1" x14ac:dyDescent="0.25">
      <c r="A8" s="703"/>
      <c r="B8" s="744"/>
      <c r="C8" s="745"/>
      <c r="D8" s="746"/>
      <c r="E8" s="747"/>
      <c r="F8" s="748"/>
      <c r="G8" s="744"/>
      <c r="H8" s="749" t="s">
        <v>397</v>
      </c>
      <c r="I8" s="746"/>
      <c r="J8" s="750"/>
      <c r="K8" s="751"/>
      <c r="L8" s="703"/>
      <c r="M8" s="703"/>
      <c r="N8" s="1333" t="s">
        <v>509</v>
      </c>
      <c r="O8" s="1335" t="s">
        <v>353</v>
      </c>
      <c r="P8" s="759"/>
      <c r="Q8" s="760"/>
      <c r="R8" s="761"/>
      <c r="S8" s="762"/>
      <c r="T8" s="703"/>
      <c r="U8" s="703"/>
      <c r="V8" s="754" t="s">
        <v>3</v>
      </c>
      <c r="W8" s="755" t="s">
        <v>58</v>
      </c>
      <c r="X8" s="755" t="s">
        <v>259</v>
      </c>
      <c r="Y8" s="756"/>
      <c r="Z8" s="757">
        <f t="shared" ref="Z8:Z13" si="0">ROUND($Z$7*AA8/$AA$7,1)</f>
        <v>0</v>
      </c>
      <c r="AA8" s="758">
        <v>2.2000000000000001E-3</v>
      </c>
      <c r="AB8" s="29" t="e">
        <f t="shared" ref="AB8:AB15" si="1">Z8/$Z$6*$AB$6</f>
        <v>#DIV/0!</v>
      </c>
      <c r="AC8" s="31" t="e">
        <f t="shared" ref="AC8:AC15" si="2">AA8-AB8</f>
        <v>#DIV/0!</v>
      </c>
      <c r="AD8" s="705"/>
      <c r="AE8" s="705"/>
      <c r="AF8" s="719" t="s">
        <v>141</v>
      </c>
      <c r="AG8" s="719" t="s">
        <v>305</v>
      </c>
      <c r="AH8" s="148">
        <v>0.29249999999999998</v>
      </c>
      <c r="AI8" s="719"/>
      <c r="AJ8" s="720">
        <f>MiddleBreaked-AJ18</f>
        <v>10647.5</v>
      </c>
      <c r="AK8" s="721">
        <f>'Pork Breaking'!D28-AK18</f>
        <v>1108</v>
      </c>
    </row>
    <row r="9" spans="1:37" ht="12.75" customHeight="1" thickBot="1" x14ac:dyDescent="0.3">
      <c r="A9" s="703"/>
      <c r="B9" s="744"/>
      <c r="C9" s="745"/>
      <c r="D9" s="746"/>
      <c r="E9" s="747"/>
      <c r="F9" s="748"/>
      <c r="G9" s="763"/>
      <c r="H9" s="749" t="s">
        <v>517</v>
      </c>
      <c r="I9" s="746"/>
      <c r="J9" s="750"/>
      <c r="K9" s="751"/>
      <c r="L9" s="703"/>
      <c r="M9" s="703"/>
      <c r="N9" s="1334"/>
      <c r="O9" s="1336"/>
      <c r="P9" s="764">
        <f>[4]slicing!$L$5</f>
        <v>554</v>
      </c>
      <c r="Q9" s="765">
        <f>[4]slicing!$L$6</f>
        <v>36302</v>
      </c>
      <c r="R9" s="766">
        <f>[4]slicing!$O$5</f>
        <v>0</v>
      </c>
      <c r="S9" s="767">
        <f>[4]slicing!$O$6</f>
        <v>0</v>
      </c>
      <c r="T9" s="768"/>
      <c r="U9" s="703"/>
      <c r="V9" s="754" t="s">
        <v>239</v>
      </c>
      <c r="W9" s="755" t="s">
        <v>237</v>
      </c>
      <c r="X9" s="755" t="s">
        <v>259</v>
      </c>
      <c r="Y9" s="756"/>
      <c r="Z9" s="757">
        <f t="shared" si="0"/>
        <v>0</v>
      </c>
      <c r="AA9" s="758">
        <v>1.4E-2</v>
      </c>
      <c r="AB9" s="29" t="e">
        <f t="shared" si="1"/>
        <v>#DIV/0!</v>
      </c>
      <c r="AC9" s="31" t="e">
        <f t="shared" si="2"/>
        <v>#DIV/0!</v>
      </c>
      <c r="AD9" s="705"/>
      <c r="AE9" s="705"/>
      <c r="AF9" s="719" t="s">
        <v>55</v>
      </c>
      <c r="AG9" s="719" t="s">
        <v>304</v>
      </c>
      <c r="AH9" s="148">
        <v>5.0000000000000001E-3</v>
      </c>
      <c r="AI9" s="719"/>
      <c r="AJ9" s="720"/>
      <c r="AK9" s="721"/>
    </row>
    <row r="10" spans="1:37" ht="12.75" customHeight="1" x14ac:dyDescent="0.25">
      <c r="A10" s="703"/>
      <c r="B10" s="744"/>
      <c r="C10" s="745" t="s">
        <v>361</v>
      </c>
      <c r="D10" s="746"/>
      <c r="E10" s="769"/>
      <c r="F10" s="748"/>
      <c r="G10" s="770" t="s">
        <v>328</v>
      </c>
      <c r="H10" s="749" t="s">
        <v>320</v>
      </c>
      <c r="I10" s="746"/>
      <c r="J10" s="750">
        <f>[4]slicing!H9</f>
        <v>35.299999999999997</v>
      </c>
      <c r="K10" s="751"/>
      <c r="L10" s="703"/>
      <c r="M10" s="703"/>
      <c r="N10" s="1324" t="s">
        <v>233</v>
      </c>
      <c r="O10" s="1325"/>
      <c r="P10" s="1325"/>
      <c r="Q10" s="1325"/>
      <c r="R10" s="1325"/>
      <c r="S10" s="1326"/>
      <c r="T10" s="703"/>
      <c r="U10" s="703"/>
      <c r="V10" s="754" t="s">
        <v>243</v>
      </c>
      <c r="W10" s="755" t="s">
        <v>196</v>
      </c>
      <c r="X10" s="755" t="s">
        <v>259</v>
      </c>
      <c r="Y10" s="756"/>
      <c r="Z10" s="757">
        <f t="shared" si="0"/>
        <v>0</v>
      </c>
      <c r="AA10" s="758">
        <v>2.8999999999999998E-3</v>
      </c>
      <c r="AB10" s="29" t="e">
        <f t="shared" si="1"/>
        <v>#DIV/0!</v>
      </c>
      <c r="AC10" s="31" t="e">
        <f t="shared" si="2"/>
        <v>#DIV/0!</v>
      </c>
      <c r="AD10" s="705"/>
      <c r="AE10" s="705"/>
      <c r="AF10" s="719" t="s">
        <v>296</v>
      </c>
      <c r="AG10" s="719" t="s">
        <v>303</v>
      </c>
      <c r="AH10" s="148">
        <v>1.8499999999999999E-2</v>
      </c>
      <c r="AI10" s="719"/>
      <c r="AJ10" s="720">
        <f>'Pork Breaking'!E32</f>
        <v>555.29999999999995</v>
      </c>
      <c r="AK10" s="721"/>
    </row>
    <row r="11" spans="1:37" ht="12.75" customHeight="1" thickBot="1" x14ac:dyDescent="0.3">
      <c r="A11" s="703"/>
      <c r="B11" s="771"/>
      <c r="C11" s="772" t="s">
        <v>108</v>
      </c>
      <c r="D11" s="773">
        <f>+D6-D10</f>
        <v>0</v>
      </c>
      <c r="E11" s="774">
        <f>SUM(E6:E9,-E10)</f>
        <v>197.2</v>
      </c>
      <c r="F11" s="775"/>
      <c r="G11" s="776"/>
      <c r="H11" s="777" t="s">
        <v>108</v>
      </c>
      <c r="I11" s="778"/>
      <c r="J11" s="779">
        <f>SUM(J6:J10)</f>
        <v>197</v>
      </c>
      <c r="K11" s="780">
        <f>+J11-E11</f>
        <v>-0.19999999999998863</v>
      </c>
      <c r="L11" s="703"/>
      <c r="M11" s="703"/>
      <c r="N11" s="1321" t="s">
        <v>344</v>
      </c>
      <c r="O11" s="1322"/>
      <c r="P11" s="1322"/>
      <c r="Q11" s="1322"/>
      <c r="R11" s="1322"/>
      <c r="S11" s="1323"/>
      <c r="T11" s="703"/>
      <c r="U11" s="703"/>
      <c r="V11" s="754" t="s">
        <v>326</v>
      </c>
      <c r="W11" s="755" t="s">
        <v>350</v>
      </c>
      <c r="X11" s="755" t="s">
        <v>259</v>
      </c>
      <c r="Y11" s="756"/>
      <c r="Z11" s="757">
        <f t="shared" si="0"/>
        <v>0</v>
      </c>
      <c r="AA11" s="758">
        <v>1.0500000000000001E-2</v>
      </c>
      <c r="AB11" s="29" t="e">
        <f t="shared" si="1"/>
        <v>#DIV/0!</v>
      </c>
      <c r="AC11" s="31" t="e">
        <f t="shared" si="2"/>
        <v>#DIV/0!</v>
      </c>
      <c r="AD11" s="705"/>
      <c r="AE11" s="705"/>
      <c r="AF11" s="719"/>
      <c r="AG11" s="719"/>
      <c r="AH11" s="148"/>
      <c r="AI11" s="719"/>
      <c r="AJ11" s="720"/>
      <c r="AK11" s="721"/>
    </row>
    <row r="12" spans="1:37" ht="12.75" customHeight="1" thickTop="1" x14ac:dyDescent="0.25">
      <c r="A12" s="703"/>
      <c r="B12" s="781" t="str">
        <f>B6</f>
        <v>G5006</v>
      </c>
      <c r="C12" s="745" t="s">
        <v>362</v>
      </c>
      <c r="D12" s="782"/>
      <c r="E12" s="747">
        <f>[4]slicing!$D$11</f>
        <v>20.399999999999999</v>
      </c>
      <c r="F12" s="783"/>
      <c r="G12" s="784" t="str">
        <f>G6</f>
        <v>G1208</v>
      </c>
      <c r="H12" s="749" t="s">
        <v>363</v>
      </c>
      <c r="I12" s="782"/>
      <c r="J12" s="750">
        <f>[4]slicing!H11</f>
        <v>9.5</v>
      </c>
      <c r="K12" s="751"/>
      <c r="L12" s="703"/>
      <c r="M12" s="703"/>
      <c r="N12" s="785" t="s">
        <v>8</v>
      </c>
      <c r="O12" s="786" t="s">
        <v>168</v>
      </c>
      <c r="P12" s="787" t="s">
        <v>172</v>
      </c>
      <c r="Q12" s="788" t="s">
        <v>173</v>
      </c>
      <c r="R12" s="789" t="s">
        <v>172</v>
      </c>
      <c r="S12" s="790" t="s">
        <v>173</v>
      </c>
      <c r="T12" s="703"/>
      <c r="U12" s="703"/>
      <c r="V12" s="754" t="s">
        <v>351</v>
      </c>
      <c r="W12" s="755" t="s">
        <v>352</v>
      </c>
      <c r="X12" s="755" t="s">
        <v>259</v>
      </c>
      <c r="Y12" s="756"/>
      <c r="Z12" s="757">
        <f t="shared" si="0"/>
        <v>0</v>
      </c>
      <c r="AA12" s="758">
        <v>3.8E-3</v>
      </c>
      <c r="AB12" s="29" t="e">
        <f t="shared" si="1"/>
        <v>#DIV/0!</v>
      </c>
      <c r="AC12" s="31" t="e">
        <f t="shared" si="2"/>
        <v>#DIV/0!</v>
      </c>
      <c r="AD12" s="705"/>
      <c r="AE12" s="705"/>
      <c r="AF12" s="719"/>
      <c r="AG12" s="719"/>
      <c r="AH12" s="148"/>
      <c r="AI12" s="719"/>
      <c r="AJ12" s="720"/>
      <c r="AK12" s="721"/>
    </row>
    <row r="13" spans="1:37" ht="12.75" customHeight="1" x14ac:dyDescent="0.25">
      <c r="A13" s="703"/>
      <c r="B13" s="744"/>
      <c r="C13" s="745"/>
      <c r="D13" s="746"/>
      <c r="E13" s="747"/>
      <c r="F13" s="748"/>
      <c r="G13" s="791"/>
      <c r="H13" s="749" t="s">
        <v>364</v>
      </c>
      <c r="I13" s="746"/>
      <c r="J13" s="750">
        <f>[4]slicing!H12</f>
        <v>4.7000000000000011</v>
      </c>
      <c r="K13" s="751"/>
      <c r="L13" s="703"/>
      <c r="M13" s="703"/>
      <c r="N13" s="792" t="s">
        <v>419</v>
      </c>
      <c r="O13" s="793" t="s">
        <v>346</v>
      </c>
      <c r="P13" s="794"/>
      <c r="Q13" s="795">
        <f>[4]slicing!L7</f>
        <v>2500</v>
      </c>
      <c r="R13" s="796"/>
      <c r="S13" s="797">
        <f>[4]slicing!$O$7</f>
        <v>0</v>
      </c>
      <c r="T13" s="703"/>
      <c r="U13" s="703"/>
      <c r="V13" s="754" t="s">
        <v>296</v>
      </c>
      <c r="W13" s="755" t="s">
        <v>349</v>
      </c>
      <c r="X13" s="755" t="s">
        <v>259</v>
      </c>
      <c r="Y13" s="756"/>
      <c r="Z13" s="757">
        <f t="shared" si="0"/>
        <v>0</v>
      </c>
      <c r="AA13" s="758">
        <v>7.7000000000000002E-3</v>
      </c>
      <c r="AB13" s="29" t="e">
        <f t="shared" si="1"/>
        <v>#DIV/0!</v>
      </c>
      <c r="AC13" s="31" t="e">
        <f t="shared" si="2"/>
        <v>#DIV/0!</v>
      </c>
      <c r="AD13" s="705"/>
      <c r="AE13" s="705"/>
      <c r="AF13" s="719"/>
      <c r="AG13" s="719"/>
      <c r="AH13" s="148"/>
      <c r="AI13" s="719"/>
      <c r="AJ13" s="720"/>
      <c r="AK13" s="721"/>
    </row>
    <row r="14" spans="1:37" ht="12.75" customHeight="1" x14ac:dyDescent="0.25">
      <c r="A14" s="703"/>
      <c r="B14" s="744"/>
      <c r="C14" s="745" t="s">
        <v>355</v>
      </c>
      <c r="D14" s="746"/>
      <c r="E14" s="769"/>
      <c r="F14" s="748"/>
      <c r="G14" s="770" t="str">
        <f>G10</f>
        <v>G1248</v>
      </c>
      <c r="H14" s="749" t="s">
        <v>365</v>
      </c>
      <c r="I14" s="746"/>
      <c r="J14" s="750">
        <f>[4]slicing!H13</f>
        <v>6.1000000000000005</v>
      </c>
      <c r="K14" s="751"/>
      <c r="L14" s="703"/>
      <c r="M14" s="703"/>
      <c r="N14" s="798" t="s">
        <v>239</v>
      </c>
      <c r="O14" s="799" t="s">
        <v>237</v>
      </c>
      <c r="P14" s="796"/>
      <c r="Q14" s="800">
        <f>[4]slicing!L8</f>
        <v>451.9</v>
      </c>
      <c r="R14" s="796"/>
      <c r="S14" s="801">
        <f>[4]slicing!$O$8</f>
        <v>0</v>
      </c>
      <c r="T14" s="703"/>
      <c r="U14" s="703"/>
      <c r="V14" s="754" t="s">
        <v>347</v>
      </c>
      <c r="W14" s="755" t="s">
        <v>348</v>
      </c>
      <c r="X14" s="755" t="s">
        <v>259</v>
      </c>
      <c r="Y14" s="756"/>
      <c r="Z14" s="757">
        <f>IF($Q$15=0,0,ROUND($Z$7*AA14/$AA$7,1))</f>
        <v>0</v>
      </c>
      <c r="AA14" s="758">
        <v>4.1000000000000003E-3</v>
      </c>
      <c r="AB14" s="29" t="e">
        <f t="shared" si="1"/>
        <v>#DIV/0!</v>
      </c>
      <c r="AC14" s="31" t="e">
        <f t="shared" si="2"/>
        <v>#DIV/0!</v>
      </c>
      <c r="AD14" s="705"/>
      <c r="AE14" s="705"/>
      <c r="AF14" s="719"/>
      <c r="AG14" s="719"/>
      <c r="AH14" s="148"/>
      <c r="AI14" s="719"/>
      <c r="AJ14" s="720" t="s">
        <v>899</v>
      </c>
      <c r="AK14" s="721" t="s">
        <v>900</v>
      </c>
    </row>
    <row r="15" spans="1:37" ht="12.75" customHeight="1" thickBot="1" x14ac:dyDescent="0.3">
      <c r="A15" s="703"/>
      <c r="B15" s="771"/>
      <c r="C15" s="772" t="s">
        <v>108</v>
      </c>
      <c r="D15" s="773">
        <f>+D12-D14</f>
        <v>0</v>
      </c>
      <c r="E15" s="774">
        <f>SUM(E12:E13,-E14)</f>
        <v>20.399999999999999</v>
      </c>
      <c r="F15" s="775"/>
      <c r="G15" s="776"/>
      <c r="H15" s="777" t="s">
        <v>108</v>
      </c>
      <c r="I15" s="778"/>
      <c r="J15" s="779">
        <f>SUM(J12:J14)</f>
        <v>20.3</v>
      </c>
      <c r="K15" s="780">
        <f>+J15-E15</f>
        <v>-9.9999999999997868E-2</v>
      </c>
      <c r="L15" s="703"/>
      <c r="M15" s="703"/>
      <c r="N15" s="798" t="s">
        <v>347</v>
      </c>
      <c r="O15" s="799" t="s">
        <v>348</v>
      </c>
      <c r="P15" s="796"/>
      <c r="Q15" s="800">
        <f>[4]slicing!$L$10</f>
        <v>0</v>
      </c>
      <c r="R15" s="796"/>
      <c r="S15" s="801"/>
      <c r="T15" s="703"/>
      <c r="U15" s="703"/>
      <c r="V15" s="802" t="s">
        <v>345</v>
      </c>
      <c r="W15" s="803" t="s">
        <v>346</v>
      </c>
      <c r="X15" s="803" t="s">
        <v>259</v>
      </c>
      <c r="Y15" s="804"/>
      <c r="Z15" s="805">
        <f>P21*4.5</f>
        <v>0</v>
      </c>
      <c r="AA15" s="806">
        <v>5.5E-2</v>
      </c>
      <c r="AB15" s="30" t="e">
        <f t="shared" si="1"/>
        <v>#DIV/0!</v>
      </c>
      <c r="AC15" s="34" t="e">
        <f t="shared" si="2"/>
        <v>#DIV/0!</v>
      </c>
      <c r="AD15" s="705"/>
      <c r="AE15" s="705"/>
      <c r="AF15" s="719" t="s">
        <v>302</v>
      </c>
      <c r="AG15" s="719" t="s">
        <v>301</v>
      </c>
      <c r="AH15" s="148"/>
      <c r="AI15" s="719"/>
      <c r="AJ15" s="720">
        <f>P28</f>
        <v>0</v>
      </c>
      <c r="AK15" s="721">
        <f>Q28*2</f>
        <v>0</v>
      </c>
    </row>
    <row r="16" spans="1:37" ht="12.75" customHeight="1" thickTop="1" thickBot="1" x14ac:dyDescent="0.3">
      <c r="A16" s="703"/>
      <c r="B16" s="784" t="s">
        <v>324</v>
      </c>
      <c r="C16" s="807" t="s">
        <v>366</v>
      </c>
      <c r="D16" s="782"/>
      <c r="E16" s="808">
        <f>[4]slicing!$D$15</f>
        <v>0</v>
      </c>
      <c r="F16" s="783"/>
      <c r="G16" s="791" t="s">
        <v>323</v>
      </c>
      <c r="H16" s="809" t="s">
        <v>535</v>
      </c>
      <c r="I16" s="782"/>
      <c r="J16" s="810">
        <f>[4]slicing!H15</f>
        <v>0</v>
      </c>
      <c r="K16" s="811"/>
      <c r="L16" s="703"/>
      <c r="M16" s="703"/>
      <c r="N16" s="798" t="s">
        <v>296</v>
      </c>
      <c r="O16" s="799" t="s">
        <v>349</v>
      </c>
      <c r="P16" s="796"/>
      <c r="Q16" s="800">
        <f>[4]slicing!$L$9</f>
        <v>372</v>
      </c>
      <c r="R16" s="796"/>
      <c r="S16" s="801">
        <f>[4]slicing!$O$9</f>
        <v>0</v>
      </c>
      <c r="T16" s="703"/>
      <c r="U16" s="703"/>
      <c r="V16" s="705"/>
      <c r="W16" s="705"/>
      <c r="X16" s="705"/>
      <c r="Y16" s="705"/>
      <c r="Z16" s="709"/>
      <c r="AA16" s="710"/>
      <c r="AB16" s="28"/>
      <c r="AC16" s="705"/>
      <c r="AD16" s="705"/>
      <c r="AE16" s="705"/>
      <c r="AF16" s="719" t="s">
        <v>62</v>
      </c>
      <c r="AG16" s="719" t="s">
        <v>300</v>
      </c>
      <c r="AH16" s="148">
        <f>31.87%+0.5%</f>
        <v>0.32369999999999999</v>
      </c>
      <c r="AI16" s="719"/>
      <c r="AJ16" s="720">
        <f>AH16*$AJ$15</f>
        <v>0</v>
      </c>
      <c r="AK16" s="721">
        <f>AK15</f>
        <v>0</v>
      </c>
    </row>
    <row r="17" spans="1:37" ht="12.75" customHeight="1" thickBot="1" x14ac:dyDescent="0.3">
      <c r="A17" s="703"/>
      <c r="B17" s="812"/>
      <c r="C17" s="807"/>
      <c r="D17" s="782"/>
      <c r="E17" s="808"/>
      <c r="F17" s="783"/>
      <c r="G17" s="791" t="s">
        <v>322</v>
      </c>
      <c r="H17" s="809" t="s">
        <v>536</v>
      </c>
      <c r="I17" s="782"/>
      <c r="J17" s="810">
        <f>[4]slicing!H16</f>
        <v>0</v>
      </c>
      <c r="K17" s="811"/>
      <c r="L17" s="703"/>
      <c r="M17" s="703"/>
      <c r="N17" s="798" t="s">
        <v>326</v>
      </c>
      <c r="O17" s="799" t="s">
        <v>350</v>
      </c>
      <c r="P17" s="813"/>
      <c r="Q17" s="814">
        <f>SUM($J$67:$J$68)</f>
        <v>346.3</v>
      </c>
      <c r="R17" s="813"/>
      <c r="S17" s="801">
        <f>[4]slicing!$O$11</f>
        <v>0</v>
      </c>
      <c r="T17" s="703"/>
      <c r="U17" s="703"/>
      <c r="V17" s="1316" t="s">
        <v>502</v>
      </c>
      <c r="W17" s="1317"/>
      <c r="X17" s="1317"/>
      <c r="Y17" s="1317"/>
      <c r="Z17" s="1317"/>
      <c r="AA17" s="1317"/>
      <c r="AB17" s="1310" t="s">
        <v>508</v>
      </c>
      <c r="AC17" s="1310" t="s">
        <v>54</v>
      </c>
      <c r="AD17" s="705"/>
      <c r="AE17" s="705"/>
      <c r="AF17" s="719" t="s">
        <v>45</v>
      </c>
      <c r="AG17" s="719" t="s">
        <v>299</v>
      </c>
      <c r="AH17" s="148">
        <v>0.34899999999999998</v>
      </c>
      <c r="AI17" s="719"/>
      <c r="AJ17" s="720">
        <f t="shared" ref="AJ17:AJ20" si="3">AH17*$AJ$15</f>
        <v>0</v>
      </c>
      <c r="AK17" s="721">
        <f>AK15</f>
        <v>0</v>
      </c>
    </row>
    <row r="18" spans="1:37" ht="12.75" customHeight="1" thickBot="1" x14ac:dyDescent="0.3">
      <c r="A18" s="37"/>
      <c r="B18" s="812"/>
      <c r="C18" s="807"/>
      <c r="D18" s="746"/>
      <c r="E18" s="747"/>
      <c r="F18" s="783"/>
      <c r="G18" s="791"/>
      <c r="H18" s="809" t="s">
        <v>197</v>
      </c>
      <c r="I18" s="746"/>
      <c r="J18" s="750"/>
      <c r="K18" s="811"/>
      <c r="L18" s="37"/>
      <c r="M18" s="37"/>
      <c r="N18" s="798" t="s">
        <v>351</v>
      </c>
      <c r="O18" s="799" t="s">
        <v>352</v>
      </c>
      <c r="P18" s="813"/>
      <c r="Q18" s="814">
        <f>$J$69</f>
        <v>134.5</v>
      </c>
      <c r="R18" s="813"/>
      <c r="S18" s="801">
        <f>[4]slicing!$O$12</f>
        <v>0</v>
      </c>
      <c r="T18" s="37"/>
      <c r="U18" s="37"/>
      <c r="V18" s="723" t="s">
        <v>8</v>
      </c>
      <c r="W18" s="724" t="s">
        <v>168</v>
      </c>
      <c r="X18" s="724" t="s">
        <v>433</v>
      </c>
      <c r="Y18" s="725" t="s">
        <v>11</v>
      </c>
      <c r="Z18" s="726" t="s">
        <v>43</v>
      </c>
      <c r="AA18" s="815" t="s">
        <v>507</v>
      </c>
      <c r="AB18" s="1311"/>
      <c r="AC18" s="1311"/>
      <c r="AD18" s="705"/>
      <c r="AE18" s="705"/>
      <c r="AF18" s="719" t="s">
        <v>141</v>
      </c>
      <c r="AG18" s="719" t="s">
        <v>298</v>
      </c>
      <c r="AH18" s="148">
        <v>0.29249999999999998</v>
      </c>
      <c r="AI18" s="719"/>
      <c r="AJ18" s="720">
        <f t="shared" si="3"/>
        <v>0</v>
      </c>
      <c r="AK18" s="721">
        <f>AK15</f>
        <v>0</v>
      </c>
    </row>
    <row r="19" spans="1:37" ht="12.75" customHeight="1" x14ac:dyDescent="0.25">
      <c r="A19" s="37"/>
      <c r="B19" s="812"/>
      <c r="C19" s="807"/>
      <c r="D19" s="746"/>
      <c r="E19" s="747"/>
      <c r="F19" s="783"/>
      <c r="G19" s="791"/>
      <c r="H19" s="809" t="s">
        <v>367</v>
      </c>
      <c r="I19" s="746"/>
      <c r="J19" s="750"/>
      <c r="K19" s="811"/>
      <c r="L19" s="37"/>
      <c r="M19" s="37"/>
      <c r="N19" s="798" t="s">
        <v>3</v>
      </c>
      <c r="O19" s="799" t="s">
        <v>58</v>
      </c>
      <c r="P19" s="813"/>
      <c r="Q19" s="814">
        <f>$J$71</f>
        <v>64.3</v>
      </c>
      <c r="R19" s="813"/>
      <c r="S19" s="801"/>
      <c r="T19" s="37"/>
      <c r="U19" s="37"/>
      <c r="V19" s="739" t="s">
        <v>342</v>
      </c>
      <c r="W19" s="740" t="s">
        <v>343</v>
      </c>
      <c r="X19" s="740" t="s">
        <v>259</v>
      </c>
      <c r="Y19" s="741">
        <f>P9-Y6-Q28</f>
        <v>554</v>
      </c>
      <c r="Z19" s="816">
        <f>Q9-Z6-P28</f>
        <v>36302</v>
      </c>
      <c r="AA19" s="817">
        <v>1</v>
      </c>
      <c r="AB19" s="32">
        <v>1</v>
      </c>
      <c r="AC19" s="33">
        <f>AA19-AB19</f>
        <v>0</v>
      </c>
      <c r="AD19" s="705"/>
      <c r="AE19" s="705"/>
      <c r="AF19" s="719"/>
      <c r="AG19" s="719"/>
      <c r="AH19" s="148"/>
      <c r="AI19" s="719"/>
      <c r="AJ19" s="720"/>
      <c r="AK19" s="721"/>
    </row>
    <row r="20" spans="1:37" ht="12.75" customHeight="1" x14ac:dyDescent="0.25">
      <c r="A20" s="703"/>
      <c r="B20" s="812"/>
      <c r="C20" s="807"/>
      <c r="D20" s="746"/>
      <c r="E20" s="747"/>
      <c r="F20" s="783"/>
      <c r="G20" s="791"/>
      <c r="H20" s="809" t="s">
        <v>368</v>
      </c>
      <c r="I20" s="746"/>
      <c r="J20" s="750"/>
      <c r="K20" s="811"/>
      <c r="L20" s="703"/>
      <c r="M20" s="703"/>
      <c r="N20" s="798" t="s">
        <v>243</v>
      </c>
      <c r="O20" s="799" t="s">
        <v>196</v>
      </c>
      <c r="P20" s="813"/>
      <c r="Q20" s="814">
        <f>$J$70</f>
        <v>63.2</v>
      </c>
      <c r="R20" s="813"/>
      <c r="S20" s="801">
        <f>[4]slicing!$O$13</f>
        <v>0</v>
      </c>
      <c r="T20" s="703"/>
      <c r="U20" s="703"/>
      <c r="V20" s="754" t="s">
        <v>231</v>
      </c>
      <c r="W20" s="755" t="s">
        <v>503</v>
      </c>
      <c r="X20" s="755" t="s">
        <v>259</v>
      </c>
      <c r="Y20" s="756">
        <f>P9-Y7-Q28</f>
        <v>554</v>
      </c>
      <c r="Z20" s="818">
        <f>Q9-SUM(Q13:Q20)-Z7-P28</f>
        <v>32369.8</v>
      </c>
      <c r="AA20" s="819">
        <v>0.89770000000000005</v>
      </c>
      <c r="AB20" s="29">
        <f>Z20/$Z$19*$AB$19</f>
        <v>0.89168089912401516</v>
      </c>
      <c r="AC20" s="31">
        <f t="shared" ref="AC20:AC28" si="4">AA20-AB20</f>
        <v>6.0191008759848952E-3</v>
      </c>
      <c r="AD20" s="705"/>
      <c r="AE20" s="705"/>
      <c r="AF20" s="719" t="s">
        <v>296</v>
      </c>
      <c r="AG20" s="719" t="s">
        <v>295</v>
      </c>
      <c r="AH20" s="148">
        <v>1.8499999999999999E-2</v>
      </c>
      <c r="AI20" s="719"/>
      <c r="AJ20" s="720">
        <f t="shared" si="3"/>
        <v>0</v>
      </c>
      <c r="AK20" s="721"/>
    </row>
    <row r="21" spans="1:37" ht="12.75" customHeight="1" x14ac:dyDescent="0.25">
      <c r="A21" s="703"/>
      <c r="B21" s="791"/>
      <c r="C21" s="807"/>
      <c r="D21" s="746"/>
      <c r="E21" s="747"/>
      <c r="F21" s="783"/>
      <c r="G21" s="791"/>
      <c r="H21" s="809" t="s">
        <v>198</v>
      </c>
      <c r="I21" s="746"/>
      <c r="J21" s="750"/>
      <c r="K21" s="811"/>
      <c r="L21" s="703"/>
      <c r="M21" s="703"/>
      <c r="N21" s="798" t="s">
        <v>302</v>
      </c>
      <c r="O21" s="799" t="s">
        <v>499</v>
      </c>
      <c r="P21" s="820">
        <f>[4]slicing!$M$14</f>
        <v>0</v>
      </c>
      <c r="Q21" s="800">
        <f>[4]slicing!$L$14</f>
        <v>0</v>
      </c>
      <c r="R21" s="796"/>
      <c r="S21" s="801"/>
      <c r="T21" s="703"/>
      <c r="U21" s="703"/>
      <c r="V21" s="754" t="s">
        <v>3</v>
      </c>
      <c r="W21" s="755" t="s">
        <v>58</v>
      </c>
      <c r="X21" s="755" t="s">
        <v>259</v>
      </c>
      <c r="Y21" s="756"/>
      <c r="Z21" s="818">
        <f>Q19-Z8</f>
        <v>64.3</v>
      </c>
      <c r="AA21" s="819">
        <v>2.2000000000000001E-3</v>
      </c>
      <c r="AB21" s="29">
        <f t="shared" ref="AB21:AB28" si="5">Z21/$Z$19*$AB$19</f>
        <v>1.7712522726020604E-3</v>
      </c>
      <c r="AC21" s="31">
        <f t="shared" si="4"/>
        <v>4.2874772739793978E-4</v>
      </c>
      <c r="AD21" s="705"/>
      <c r="AE21" s="705"/>
      <c r="AF21" s="705"/>
      <c r="AH21" s="130"/>
      <c r="AK21" s="1"/>
    </row>
    <row r="22" spans="1:37" ht="12.75" customHeight="1" thickBot="1" x14ac:dyDescent="0.3">
      <c r="A22" s="703"/>
      <c r="B22" s="770"/>
      <c r="C22" s="745" t="s">
        <v>361</v>
      </c>
      <c r="D22" s="746"/>
      <c r="E22" s="769"/>
      <c r="F22" s="748"/>
      <c r="G22" s="770"/>
      <c r="H22" s="749" t="s">
        <v>320</v>
      </c>
      <c r="I22" s="746"/>
      <c r="J22" s="750"/>
      <c r="K22" s="751"/>
      <c r="L22" s="703"/>
      <c r="M22" s="703"/>
      <c r="N22" s="821" t="s">
        <v>314</v>
      </c>
      <c r="O22" s="822" t="s">
        <v>501</v>
      </c>
      <c r="P22" s="823"/>
      <c r="Q22" s="824">
        <f>[4]slicing!$L$15</f>
        <v>16.2</v>
      </c>
      <c r="R22" s="823"/>
      <c r="S22" s="825">
        <f>[4]slicing!$O$15</f>
        <v>0</v>
      </c>
      <c r="T22" s="703"/>
      <c r="U22" s="703"/>
      <c r="V22" s="754" t="s">
        <v>239</v>
      </c>
      <c r="W22" s="755" t="s">
        <v>237</v>
      </c>
      <c r="X22" s="755" t="s">
        <v>259</v>
      </c>
      <c r="Y22" s="756"/>
      <c r="Z22" s="818">
        <f>Q14-Z9</f>
        <v>451.9</v>
      </c>
      <c r="AA22" s="819">
        <v>1.4E-2</v>
      </c>
      <c r="AB22" s="29">
        <f t="shared" si="5"/>
        <v>1.2448349953170623E-2</v>
      </c>
      <c r="AC22" s="31">
        <f t="shared" si="4"/>
        <v>1.5516500468293771E-3</v>
      </c>
      <c r="AD22" s="705"/>
      <c r="AE22" s="705"/>
      <c r="AF22" s="705"/>
      <c r="AH22" s="130"/>
      <c r="AK22" s="1"/>
    </row>
    <row r="23" spans="1:37" ht="12.75" customHeight="1" thickBot="1" x14ac:dyDescent="0.3">
      <c r="A23" s="703"/>
      <c r="B23" s="776"/>
      <c r="C23" s="772" t="s">
        <v>108</v>
      </c>
      <c r="D23" s="773">
        <f>+D16-D22</f>
        <v>0</v>
      </c>
      <c r="E23" s="774">
        <f>SUM(E16:E21,-E22)</f>
        <v>0</v>
      </c>
      <c r="F23" s="775"/>
      <c r="G23" s="776"/>
      <c r="H23" s="777" t="s">
        <v>108</v>
      </c>
      <c r="I23" s="778"/>
      <c r="J23" s="779">
        <f>SUM(J16:J22)</f>
        <v>0</v>
      </c>
      <c r="K23" s="780">
        <f>+J23-E23</f>
        <v>0</v>
      </c>
      <c r="L23" s="703"/>
      <c r="M23" s="703"/>
      <c r="N23" s="1319" t="s">
        <v>515</v>
      </c>
      <c r="O23" s="1320"/>
      <c r="P23" s="826">
        <f>P21</f>
        <v>0</v>
      </c>
      <c r="Q23" s="827">
        <f>SUM(Q13:Q22)</f>
        <v>3948.4</v>
      </c>
      <c r="R23" s="828"/>
      <c r="S23" s="829">
        <f>SUM(S13:S22)</f>
        <v>0</v>
      </c>
      <c r="T23" s="703"/>
      <c r="U23" s="703"/>
      <c r="V23" s="754" t="s">
        <v>243</v>
      </c>
      <c r="W23" s="755" t="s">
        <v>196</v>
      </c>
      <c r="X23" s="755" t="s">
        <v>259</v>
      </c>
      <c r="Y23" s="756"/>
      <c r="Z23" s="818">
        <f>Q20-Z10</f>
        <v>63.2</v>
      </c>
      <c r="AA23" s="819">
        <v>2.8999999999999998E-3</v>
      </c>
      <c r="AB23" s="29">
        <f t="shared" si="5"/>
        <v>1.7409509117954935E-3</v>
      </c>
      <c r="AC23" s="31">
        <f t="shared" si="4"/>
        <v>1.1590490882045063E-3</v>
      </c>
      <c r="AD23" s="705"/>
      <c r="AE23" s="705"/>
      <c r="AF23" s="705"/>
      <c r="AH23" s="130"/>
      <c r="AK23" s="1"/>
    </row>
    <row r="24" spans="1:37" ht="12.75" customHeight="1" thickTop="1" thickBot="1" x14ac:dyDescent="0.3">
      <c r="A24" s="703"/>
      <c r="B24" s="781" t="s">
        <v>143</v>
      </c>
      <c r="C24" s="830" t="s">
        <v>339</v>
      </c>
      <c r="D24" s="831"/>
      <c r="E24" s="832">
        <f>[4]slicing!$D$23</f>
        <v>430.3</v>
      </c>
      <c r="F24" s="722"/>
      <c r="G24" s="781" t="s">
        <v>338</v>
      </c>
      <c r="H24" s="833" t="s">
        <v>337</v>
      </c>
      <c r="I24" s="831"/>
      <c r="J24" s="834">
        <f>[4]slicing!H23</f>
        <v>206.1</v>
      </c>
      <c r="K24" s="835"/>
      <c r="L24" s="703"/>
      <c r="M24" s="703"/>
      <c r="N24" s="836" t="str">
        <f>V20</f>
        <v>G1030</v>
      </c>
      <c r="O24" s="837" t="str">
        <f>W20</f>
        <v>Pig Carcass of two Sides</v>
      </c>
      <c r="P24" s="838">
        <f>SUM(P8:P9)-P23</f>
        <v>554</v>
      </c>
      <c r="Q24" s="838">
        <f>SUM(Q8:Q9)-Q23</f>
        <v>32353.599999999999</v>
      </c>
      <c r="R24" s="839"/>
      <c r="S24" s="840">
        <f>S9-S23</f>
        <v>0</v>
      </c>
      <c r="T24" s="703"/>
      <c r="U24" s="703"/>
      <c r="V24" s="754" t="s">
        <v>326</v>
      </c>
      <c r="W24" s="755" t="s">
        <v>350</v>
      </c>
      <c r="X24" s="755" t="s">
        <v>259</v>
      </c>
      <c r="Y24" s="756"/>
      <c r="Z24" s="818">
        <f>Q17-Z11</f>
        <v>346.3</v>
      </c>
      <c r="AA24" s="819">
        <v>1.0500000000000001E-2</v>
      </c>
      <c r="AB24" s="29">
        <f t="shared" si="5"/>
        <v>9.5394193157401792E-3</v>
      </c>
      <c r="AC24" s="31">
        <f t="shared" si="4"/>
        <v>9.6058068425982149E-4</v>
      </c>
      <c r="AD24" s="705"/>
      <c r="AE24" s="705"/>
      <c r="AF24" s="705"/>
      <c r="AH24" s="130"/>
      <c r="AK24" s="1"/>
    </row>
    <row r="25" spans="1:37" ht="12.75" customHeight="1" x14ac:dyDescent="0.25">
      <c r="A25" s="703"/>
      <c r="B25" s="744"/>
      <c r="C25" s="745"/>
      <c r="D25" s="746"/>
      <c r="E25" s="747"/>
      <c r="F25" s="748"/>
      <c r="G25" s="744"/>
      <c r="H25" s="749"/>
      <c r="I25" s="746"/>
      <c r="J25" s="750"/>
      <c r="K25" s="751"/>
      <c r="L25" s="703"/>
      <c r="M25" s="703"/>
      <c r="N25" s="158"/>
      <c r="O25" s="158"/>
      <c r="P25" s="158"/>
      <c r="Q25" s="158"/>
      <c r="R25" s="158"/>
      <c r="S25" s="158"/>
      <c r="T25" s="703"/>
      <c r="U25" s="703"/>
      <c r="V25" s="754" t="s">
        <v>351</v>
      </c>
      <c r="W25" s="755" t="s">
        <v>352</v>
      </c>
      <c r="X25" s="755" t="s">
        <v>259</v>
      </c>
      <c r="Y25" s="756"/>
      <c r="Z25" s="818">
        <f>Q18-Z12</f>
        <v>134.5</v>
      </c>
      <c r="AA25" s="819">
        <v>3.8E-3</v>
      </c>
      <c r="AB25" s="29">
        <f t="shared" si="5"/>
        <v>3.7050300258938901E-3</v>
      </c>
      <c r="AC25" s="31">
        <f t="shared" si="4"/>
        <v>9.496997410610988E-5</v>
      </c>
      <c r="AD25" s="705"/>
      <c r="AE25" s="705"/>
      <c r="AF25" s="705"/>
      <c r="AH25" s="130"/>
      <c r="AK25" s="1"/>
    </row>
    <row r="26" spans="1:37" ht="12.75" customHeight="1" x14ac:dyDescent="0.25">
      <c r="A26" s="703"/>
      <c r="B26" s="744"/>
      <c r="C26" s="745"/>
      <c r="D26" s="746"/>
      <c r="E26" s="747"/>
      <c r="F26" s="748"/>
      <c r="G26" s="763"/>
      <c r="H26" s="749"/>
      <c r="I26" s="746"/>
      <c r="J26" s="750"/>
      <c r="K26" s="751"/>
      <c r="L26" s="703"/>
      <c r="M26" s="703"/>
      <c r="N26" s="158"/>
      <c r="O26" s="1358" t="s">
        <v>168</v>
      </c>
      <c r="P26" s="1356" t="s">
        <v>513</v>
      </c>
      <c r="Q26" s="1358" t="s">
        <v>172</v>
      </c>
      <c r="R26" s="169"/>
      <c r="S26" s="169"/>
      <c r="T26" s="703"/>
      <c r="U26" s="703"/>
      <c r="V26" s="754" t="s">
        <v>296</v>
      </c>
      <c r="W26" s="755" t="s">
        <v>349</v>
      </c>
      <c r="X26" s="755" t="s">
        <v>259</v>
      </c>
      <c r="Y26" s="756"/>
      <c r="Z26" s="818">
        <f>Q16-Z13</f>
        <v>372</v>
      </c>
      <c r="AA26" s="819">
        <v>7.7000000000000002E-3</v>
      </c>
      <c r="AB26" s="29">
        <f t="shared" si="5"/>
        <v>1.0247369290948157E-2</v>
      </c>
      <c r="AC26" s="31">
        <f t="shared" si="4"/>
        <v>-2.5473692909481569E-3</v>
      </c>
      <c r="AD26" s="705"/>
      <c r="AE26" s="705"/>
      <c r="AF26" s="149"/>
      <c r="AH26" s="130"/>
      <c r="AK26" s="1"/>
    </row>
    <row r="27" spans="1:37" ht="12.75" customHeight="1" x14ac:dyDescent="0.25">
      <c r="A27" s="703"/>
      <c r="B27" s="763"/>
      <c r="C27" s="745" t="s">
        <v>361</v>
      </c>
      <c r="D27" s="746"/>
      <c r="E27" s="769"/>
      <c r="F27" s="748"/>
      <c r="G27" s="770" t="s">
        <v>312</v>
      </c>
      <c r="H27" s="749" t="s">
        <v>320</v>
      </c>
      <c r="I27" s="746"/>
      <c r="J27" s="750">
        <f>[4]slicing!H24</f>
        <v>223.8</v>
      </c>
      <c r="K27" s="751"/>
      <c r="L27" s="703"/>
      <c r="M27" s="703"/>
      <c r="N27" s="158"/>
      <c r="O27" s="1359"/>
      <c r="P27" s="1357"/>
      <c r="Q27" s="1359"/>
      <c r="R27" s="169"/>
      <c r="S27" s="169"/>
      <c r="T27" s="703"/>
      <c r="U27" s="703"/>
      <c r="V27" s="754" t="s">
        <v>347</v>
      </c>
      <c r="W27" s="755" t="s">
        <v>348</v>
      </c>
      <c r="X27" s="755" t="s">
        <v>259</v>
      </c>
      <c r="Y27" s="756"/>
      <c r="Z27" s="818">
        <f>Q15-Z14</f>
        <v>0</v>
      </c>
      <c r="AA27" s="819">
        <v>4.1000000000000003E-3</v>
      </c>
      <c r="AB27" s="29">
        <f t="shared" si="5"/>
        <v>0</v>
      </c>
      <c r="AC27" s="31">
        <f t="shared" si="4"/>
        <v>4.1000000000000003E-3</v>
      </c>
      <c r="AD27" s="705"/>
      <c r="AE27" s="705"/>
      <c r="AF27" s="705"/>
      <c r="AH27" s="130"/>
      <c r="AK27" s="1"/>
    </row>
    <row r="28" spans="1:37" ht="12.75" customHeight="1" thickBot="1" x14ac:dyDescent="0.3">
      <c r="A28" s="703"/>
      <c r="B28" s="776"/>
      <c r="C28" s="772" t="s">
        <v>108</v>
      </c>
      <c r="D28" s="778">
        <f>D24-D27</f>
        <v>0</v>
      </c>
      <c r="E28" s="774">
        <f>SUM(E24:E26,-E27)</f>
        <v>430.3</v>
      </c>
      <c r="F28" s="775"/>
      <c r="G28" s="776"/>
      <c r="H28" s="777" t="s">
        <v>108</v>
      </c>
      <c r="I28" s="778"/>
      <c r="J28" s="779">
        <f>SUM(J24:J27)</f>
        <v>429.9</v>
      </c>
      <c r="K28" s="780">
        <f>+J28-E28</f>
        <v>-0.40000000000003411</v>
      </c>
      <c r="L28" s="703"/>
      <c r="M28" s="703"/>
      <c r="N28" s="158"/>
      <c r="O28" s="841" t="s">
        <v>459</v>
      </c>
      <c r="P28" s="842">
        <f>[4]slicing!M30</f>
        <v>0</v>
      </c>
      <c r="Q28" s="843">
        <f>[4]slicing!N30</f>
        <v>0</v>
      </c>
      <c r="R28" s="169"/>
      <c r="S28" s="169"/>
      <c r="T28" s="703"/>
      <c r="U28" s="703"/>
      <c r="V28" s="802" t="s">
        <v>345</v>
      </c>
      <c r="W28" s="803" t="s">
        <v>346</v>
      </c>
      <c r="X28" s="803" t="s">
        <v>259</v>
      </c>
      <c r="Y28" s="804"/>
      <c r="Z28" s="844">
        <f>Q13-Z15</f>
        <v>2500</v>
      </c>
      <c r="AA28" s="845">
        <v>5.5E-2</v>
      </c>
      <c r="AB28" s="30">
        <f t="shared" si="5"/>
        <v>6.8866729105834384E-2</v>
      </c>
      <c r="AC28" s="34">
        <f t="shared" si="4"/>
        <v>-1.3866729105834384E-2</v>
      </c>
      <c r="AD28" s="705"/>
      <c r="AE28" s="705"/>
      <c r="AF28" s="705"/>
      <c r="AH28" s="130"/>
      <c r="AK28" s="1"/>
    </row>
    <row r="29" spans="1:37" ht="12.75" customHeight="1" thickTop="1" x14ac:dyDescent="0.25">
      <c r="A29" s="703"/>
      <c r="B29" s="791" t="s">
        <v>68</v>
      </c>
      <c r="C29" s="807" t="s">
        <v>69</v>
      </c>
      <c r="D29" s="782"/>
      <c r="E29" s="808"/>
      <c r="F29" s="783"/>
      <c r="G29" s="791" t="s">
        <v>524</v>
      </c>
      <c r="H29" s="809" t="s">
        <v>525</v>
      </c>
      <c r="I29" s="782"/>
      <c r="J29" s="810"/>
      <c r="K29" s="811"/>
      <c r="L29" s="703"/>
      <c r="M29" s="703"/>
      <c r="N29" s="158"/>
      <c r="O29" s="39"/>
      <c r="P29" s="846"/>
      <c r="Q29" s="846"/>
      <c r="R29" s="169"/>
      <c r="S29" s="169"/>
      <c r="T29" s="703"/>
      <c r="U29" s="703"/>
      <c r="V29" s="705"/>
      <c r="W29" s="705"/>
      <c r="X29" s="705"/>
      <c r="Y29" s="705"/>
      <c r="Z29" s="709"/>
      <c r="AA29" s="710"/>
      <c r="AB29" s="28"/>
      <c r="AC29" s="705"/>
      <c r="AD29" s="705"/>
      <c r="AE29" s="705"/>
      <c r="AF29" s="705"/>
      <c r="AH29" s="130"/>
      <c r="AK29" s="1"/>
    </row>
    <row r="30" spans="1:37" ht="12.75" customHeight="1" x14ac:dyDescent="0.25">
      <c r="A30" s="703"/>
      <c r="B30" s="791"/>
      <c r="C30" s="807"/>
      <c r="D30" s="782"/>
      <c r="E30" s="808"/>
      <c r="F30" s="783"/>
      <c r="G30" s="791"/>
      <c r="H30" s="809"/>
      <c r="I30" s="782"/>
      <c r="J30" s="810"/>
      <c r="K30" s="811"/>
      <c r="L30" s="703"/>
      <c r="M30" s="703"/>
      <c r="N30" s="158"/>
      <c r="O30" s="1355" t="s">
        <v>511</v>
      </c>
      <c r="P30" s="1355"/>
      <c r="Q30" s="1355"/>
      <c r="R30" s="169"/>
      <c r="S30" s="169"/>
      <c r="T30" s="703"/>
      <c r="U30" s="703"/>
      <c r="V30" s="705"/>
      <c r="W30" s="705"/>
      <c r="X30" s="705"/>
      <c r="Y30" s="705"/>
      <c r="Z30" s="709"/>
      <c r="AA30" s="710"/>
      <c r="AB30" s="28"/>
      <c r="AC30" s="705"/>
      <c r="AD30" s="705"/>
      <c r="AE30" s="705"/>
      <c r="AF30" s="705"/>
      <c r="AH30" s="130"/>
      <c r="AK30" s="1"/>
    </row>
    <row r="31" spans="1:37" ht="12.75" customHeight="1" x14ac:dyDescent="0.25">
      <c r="A31" s="703"/>
      <c r="B31" s="770"/>
      <c r="C31" s="745" t="s">
        <v>361</v>
      </c>
      <c r="D31" s="746"/>
      <c r="E31" s="769"/>
      <c r="F31" s="748"/>
      <c r="G31" s="791" t="s">
        <v>3</v>
      </c>
      <c r="H31" s="809" t="s">
        <v>58</v>
      </c>
      <c r="I31" s="782"/>
      <c r="J31" s="810"/>
      <c r="K31" s="751"/>
      <c r="L31" s="703"/>
      <c r="M31" s="703"/>
      <c r="N31" s="158"/>
      <c r="O31" s="847"/>
      <c r="P31" s="847" t="s">
        <v>512</v>
      </c>
      <c r="Q31" s="847" t="s">
        <v>172</v>
      </c>
      <c r="R31" s="169"/>
      <c r="S31" s="169"/>
      <c r="T31" s="703"/>
      <c r="U31" s="703"/>
      <c r="V31" s="705"/>
      <c r="W31" s="705"/>
      <c r="X31" s="705"/>
      <c r="Y31" s="705"/>
      <c r="Z31" s="709"/>
      <c r="AA31" s="710"/>
      <c r="AB31" s="28"/>
      <c r="AC31" s="705"/>
      <c r="AD31" s="705"/>
      <c r="AE31" s="705"/>
      <c r="AF31" s="705"/>
      <c r="AH31" s="130"/>
      <c r="AK31" s="1"/>
    </row>
    <row r="32" spans="1:37" ht="12.75" customHeight="1" thickBot="1" x14ac:dyDescent="0.3">
      <c r="A32" s="703"/>
      <c r="B32" s="776"/>
      <c r="C32" s="772" t="s">
        <v>108</v>
      </c>
      <c r="D32" s="778">
        <f>D29-D31</f>
        <v>0</v>
      </c>
      <c r="E32" s="774">
        <f>SUM(E29:E30,-E31)</f>
        <v>0</v>
      </c>
      <c r="F32" s="775"/>
      <c r="G32" s="776"/>
      <c r="H32" s="777"/>
      <c r="I32" s="778"/>
      <c r="J32" s="779">
        <f>SUM(J29:J31)</f>
        <v>0</v>
      </c>
      <c r="K32" s="780">
        <f>+J32-E32</f>
        <v>0</v>
      </c>
      <c r="L32" s="703"/>
      <c r="M32" s="703"/>
      <c r="N32" s="158"/>
      <c r="O32" s="848" t="s">
        <v>452</v>
      </c>
      <c r="P32" s="848"/>
      <c r="Q32" s="848"/>
      <c r="R32" s="158"/>
      <c r="S32" s="158"/>
      <c r="T32" s="703"/>
      <c r="U32" s="703"/>
      <c r="V32" s="703"/>
      <c r="W32" s="703"/>
      <c r="X32" s="703"/>
      <c r="Y32" s="703"/>
      <c r="Z32" s="849"/>
      <c r="AA32" s="850"/>
      <c r="AB32" s="36"/>
      <c r="AC32" s="703"/>
      <c r="AD32" s="703"/>
      <c r="AE32" s="703"/>
      <c r="AF32" s="703"/>
      <c r="AH32" s="130"/>
      <c r="AK32" s="1"/>
    </row>
    <row r="33" spans="1:37" ht="12.75" customHeight="1" thickTop="1" x14ac:dyDescent="0.25">
      <c r="A33" s="703"/>
      <c r="B33" s="851" t="s">
        <v>526</v>
      </c>
      <c r="C33" s="807" t="s">
        <v>527</v>
      </c>
      <c r="D33" s="782"/>
      <c r="E33" s="808"/>
      <c r="F33" s="783"/>
      <c r="G33" s="851" t="s">
        <v>528</v>
      </c>
      <c r="H33" s="809" t="s">
        <v>529</v>
      </c>
      <c r="I33" s="782"/>
      <c r="J33" s="810"/>
      <c r="K33" s="811"/>
      <c r="L33" s="703"/>
      <c r="M33" s="703"/>
      <c r="N33" s="158"/>
      <c r="O33" s="848" t="s">
        <v>348</v>
      </c>
      <c r="P33" s="848"/>
      <c r="Q33" s="848"/>
      <c r="R33" s="158"/>
      <c r="S33" s="158"/>
      <c r="T33" s="703"/>
      <c r="U33" s="703"/>
      <c r="V33" s="703"/>
      <c r="W33" s="703"/>
      <c r="X33" s="703"/>
      <c r="Y33" s="703"/>
      <c r="Z33" s="849"/>
      <c r="AA33" s="850"/>
      <c r="AB33" s="36"/>
      <c r="AC33" s="703"/>
      <c r="AD33" s="703"/>
      <c r="AE33" s="703"/>
      <c r="AF33" s="703"/>
      <c r="AH33" s="130"/>
      <c r="AK33" s="1"/>
    </row>
    <row r="34" spans="1:37" ht="12.75" customHeight="1" x14ac:dyDescent="0.25">
      <c r="A34" s="703"/>
      <c r="B34" s="852"/>
      <c r="C34" s="807"/>
      <c r="D34" s="782"/>
      <c r="E34" s="808"/>
      <c r="F34" s="783"/>
      <c r="G34" s="853"/>
      <c r="H34" s="809"/>
      <c r="I34" s="782"/>
      <c r="J34" s="810"/>
      <c r="K34" s="811"/>
      <c r="L34" s="703"/>
      <c r="M34" s="703"/>
      <c r="N34" s="158"/>
      <c r="O34" s="848" t="s">
        <v>453</v>
      </c>
      <c r="P34" s="848"/>
      <c r="Q34" s="848"/>
      <c r="R34" s="158"/>
      <c r="S34" s="158"/>
      <c r="T34" s="703"/>
      <c r="U34" s="703"/>
      <c r="AB34" s="36"/>
      <c r="AC34" s="703"/>
      <c r="AD34" s="703"/>
      <c r="AE34" s="703"/>
      <c r="AF34" s="703"/>
      <c r="AH34" s="130"/>
      <c r="AK34" s="1"/>
    </row>
    <row r="35" spans="1:37" ht="12.75" customHeight="1" x14ac:dyDescent="0.25">
      <c r="A35" s="703"/>
      <c r="B35" s="853"/>
      <c r="C35" s="745" t="s">
        <v>361</v>
      </c>
      <c r="D35" s="746"/>
      <c r="E35" s="769"/>
      <c r="F35" s="748"/>
      <c r="G35" s="791" t="s">
        <v>530</v>
      </c>
      <c r="H35" s="809" t="s">
        <v>531</v>
      </c>
      <c r="I35" s="782"/>
      <c r="J35" s="810"/>
      <c r="K35" s="751"/>
      <c r="L35" s="703"/>
      <c r="M35" s="703"/>
      <c r="N35" s="158"/>
      <c r="O35" s="848" t="s">
        <v>454</v>
      </c>
      <c r="P35" s="848"/>
      <c r="Q35" s="848"/>
      <c r="R35" s="158"/>
      <c r="S35" s="158"/>
      <c r="T35" s="703"/>
      <c r="U35" s="703"/>
      <c r="AB35" s="36"/>
      <c r="AC35" s="703"/>
      <c r="AD35" s="703"/>
      <c r="AE35" s="703"/>
      <c r="AF35" s="703"/>
      <c r="AH35" s="130"/>
      <c r="AK35" s="1"/>
    </row>
    <row r="36" spans="1:37" ht="12.75" customHeight="1" thickBot="1" x14ac:dyDescent="0.3">
      <c r="A36" s="703"/>
      <c r="B36" s="776"/>
      <c r="C36" s="772" t="s">
        <v>108</v>
      </c>
      <c r="D36" s="778">
        <f>D33-D35</f>
        <v>0</v>
      </c>
      <c r="E36" s="774">
        <f>SUM(E33:E34,-E35)</f>
        <v>0</v>
      </c>
      <c r="F36" s="775"/>
      <c r="G36" s="776"/>
      <c r="H36" s="777"/>
      <c r="I36" s="778"/>
      <c r="J36" s="779">
        <f>SUM(J33:J35)</f>
        <v>0</v>
      </c>
      <c r="K36" s="780">
        <f>+J36-E36</f>
        <v>0</v>
      </c>
      <c r="L36" s="703"/>
      <c r="M36" s="703"/>
      <c r="N36" s="158"/>
      <c r="O36" s="848" t="s">
        <v>455</v>
      </c>
      <c r="P36" s="848"/>
      <c r="Q36" s="848"/>
      <c r="R36" s="158"/>
      <c r="S36" s="158"/>
      <c r="T36" s="703"/>
      <c r="U36" s="703"/>
      <c r="AB36" s="36"/>
      <c r="AC36" s="703"/>
      <c r="AD36" s="703"/>
      <c r="AE36" s="703"/>
      <c r="AF36" s="703"/>
      <c r="AH36" s="130"/>
      <c r="AK36" s="1"/>
    </row>
    <row r="37" spans="1:37" ht="12.75" customHeight="1" thickTop="1" x14ac:dyDescent="0.25">
      <c r="A37" s="703"/>
      <c r="B37" s="770" t="s">
        <v>72</v>
      </c>
      <c r="C37" s="807" t="s">
        <v>371</v>
      </c>
      <c r="D37" s="746"/>
      <c r="E37" s="747">
        <f>[4]slicing!$D$39</f>
        <v>0</v>
      </c>
      <c r="F37" s="748"/>
      <c r="G37" s="851" t="s">
        <v>321</v>
      </c>
      <c r="H37" s="809" t="s">
        <v>372</v>
      </c>
      <c r="I37" s="746"/>
      <c r="J37" s="750">
        <f>[4]slicing!H39</f>
        <v>0</v>
      </c>
      <c r="K37" s="811"/>
      <c r="L37" s="703"/>
      <c r="M37" s="703"/>
      <c r="N37" s="158"/>
      <c r="O37" s="848" t="s">
        <v>456</v>
      </c>
      <c r="P37" s="848"/>
      <c r="Q37" s="848"/>
      <c r="R37" s="158"/>
      <c r="S37" s="158"/>
      <c r="T37" s="703"/>
      <c r="U37" s="703"/>
      <c r="AB37" s="36"/>
      <c r="AC37" s="703"/>
      <c r="AD37" s="703"/>
      <c r="AE37" s="703"/>
      <c r="AF37" s="703"/>
      <c r="AH37" s="130"/>
      <c r="AK37" s="1"/>
    </row>
    <row r="38" spans="1:37" ht="12.75" customHeight="1" x14ac:dyDescent="0.25">
      <c r="A38" s="703"/>
      <c r="B38" s="770"/>
      <c r="C38" s="807"/>
      <c r="D38" s="746"/>
      <c r="E38" s="747"/>
      <c r="F38" s="748"/>
      <c r="G38" s="852"/>
      <c r="H38" s="809" t="s">
        <v>373</v>
      </c>
      <c r="I38" s="746"/>
      <c r="J38" s="750">
        <f>[4]slicing!H40</f>
        <v>0</v>
      </c>
      <c r="K38" s="811"/>
      <c r="L38" s="703"/>
      <c r="M38" s="703"/>
      <c r="N38" s="158"/>
      <c r="O38" s="848" t="s">
        <v>228</v>
      </c>
      <c r="P38" s="848"/>
      <c r="Q38" s="848"/>
      <c r="R38" s="158"/>
      <c r="S38" s="158"/>
      <c r="T38" s="703"/>
      <c r="U38" s="703"/>
      <c r="AB38" s="36"/>
      <c r="AC38" s="703"/>
      <c r="AD38" s="703"/>
      <c r="AE38" s="703"/>
      <c r="AF38" s="703"/>
      <c r="AH38" s="130"/>
      <c r="AK38" s="1"/>
    </row>
    <row r="39" spans="1:37" ht="12.75" customHeight="1" x14ac:dyDescent="0.25">
      <c r="A39" s="703"/>
      <c r="B39" s="770"/>
      <c r="C39" s="745"/>
      <c r="D39" s="746"/>
      <c r="E39" s="747"/>
      <c r="F39" s="748"/>
      <c r="G39" s="853"/>
      <c r="H39" s="749"/>
      <c r="I39" s="746"/>
      <c r="J39" s="750"/>
      <c r="K39" s="751"/>
      <c r="L39" s="703"/>
      <c r="M39" s="703"/>
      <c r="N39" s="158"/>
      <c r="O39" s="854" t="s">
        <v>236</v>
      </c>
      <c r="P39" s="848"/>
      <c r="Q39" s="848"/>
      <c r="R39" s="158"/>
      <c r="S39" s="158"/>
      <c r="T39" s="703"/>
      <c r="U39" s="703"/>
      <c r="AB39" s="36"/>
      <c r="AC39" s="703"/>
      <c r="AD39" s="703"/>
      <c r="AE39" s="703"/>
      <c r="AF39" s="703"/>
      <c r="AH39" s="130"/>
      <c r="AK39" s="1"/>
    </row>
    <row r="40" spans="1:37" ht="12.75" customHeight="1" x14ac:dyDescent="0.25">
      <c r="A40" s="703"/>
      <c r="B40" s="770"/>
      <c r="C40" s="745" t="s">
        <v>361</v>
      </c>
      <c r="D40" s="746"/>
      <c r="E40" s="769"/>
      <c r="F40" s="748"/>
      <c r="G40" s="770"/>
      <c r="H40" s="749" t="s">
        <v>542</v>
      </c>
      <c r="I40" s="746"/>
      <c r="J40" s="750">
        <f>[4]slicing!$H$42</f>
        <v>0</v>
      </c>
      <c r="K40" s="751"/>
      <c r="L40" s="703"/>
      <c r="M40" s="703"/>
      <c r="N40" s="158"/>
      <c r="O40" s="854" t="s">
        <v>457</v>
      </c>
      <c r="P40" s="854"/>
      <c r="Q40" s="854"/>
      <c r="R40" s="158"/>
      <c r="S40" s="158"/>
      <c r="T40" s="703"/>
      <c r="U40" s="703"/>
      <c r="AB40" s="36"/>
      <c r="AC40" s="703"/>
      <c r="AD40" s="703"/>
      <c r="AE40" s="703"/>
      <c r="AF40" s="703"/>
      <c r="AH40" s="130"/>
      <c r="AK40" s="1"/>
    </row>
    <row r="41" spans="1:37" ht="12.75" customHeight="1" thickBot="1" x14ac:dyDescent="0.3">
      <c r="A41" s="703"/>
      <c r="B41" s="776"/>
      <c r="C41" s="772" t="s">
        <v>108</v>
      </c>
      <c r="D41" s="778">
        <f>D37-D40</f>
        <v>0</v>
      </c>
      <c r="E41" s="774">
        <f>SUM(E37:E39,-E40)</f>
        <v>0</v>
      </c>
      <c r="F41" s="775"/>
      <c r="G41" s="776"/>
      <c r="H41" s="777" t="s">
        <v>108</v>
      </c>
      <c r="I41" s="778"/>
      <c r="J41" s="779">
        <f>SUM(J37:J40)</f>
        <v>0</v>
      </c>
      <c r="K41" s="780">
        <f>+J41-E41</f>
        <v>0</v>
      </c>
      <c r="L41" s="703"/>
      <c r="M41" s="703"/>
      <c r="N41" s="158"/>
      <c r="O41" s="854" t="s">
        <v>458</v>
      </c>
      <c r="P41" s="854"/>
      <c r="Q41" s="854"/>
      <c r="R41" s="158"/>
      <c r="S41" s="158"/>
      <c r="T41" s="703"/>
      <c r="U41" s="703"/>
      <c r="AB41" s="36"/>
      <c r="AC41" s="703"/>
      <c r="AD41" s="703"/>
      <c r="AE41" s="703"/>
      <c r="AF41" s="703"/>
      <c r="AH41" s="130"/>
      <c r="AK41" s="1"/>
    </row>
    <row r="42" spans="1:37" ht="12.75" customHeight="1" thickTop="1" x14ac:dyDescent="0.25">
      <c r="A42" s="703"/>
      <c r="B42" s="784" t="s">
        <v>1</v>
      </c>
      <c r="C42" s="807" t="s">
        <v>334</v>
      </c>
      <c r="D42" s="782"/>
      <c r="E42" s="808">
        <f>[4]slicing!$D$44</f>
        <v>1257.3</v>
      </c>
      <c r="F42" s="783"/>
      <c r="G42" s="791" t="s">
        <v>333</v>
      </c>
      <c r="H42" s="809" t="s">
        <v>534</v>
      </c>
      <c r="I42" s="782"/>
      <c r="J42" s="810">
        <f>[4]slicing!H44</f>
        <v>319.70000000000005</v>
      </c>
      <c r="K42" s="811"/>
      <c r="L42" s="703"/>
      <c r="M42" s="703"/>
      <c r="N42" s="158"/>
      <c r="O42" s="854"/>
      <c r="P42" s="854"/>
      <c r="Q42" s="854"/>
      <c r="R42" s="158"/>
      <c r="S42" s="158"/>
      <c r="T42" s="703"/>
      <c r="U42" s="703"/>
      <c r="AB42" s="36"/>
      <c r="AC42" s="703"/>
      <c r="AD42" s="703"/>
      <c r="AE42" s="703"/>
      <c r="AF42" s="703"/>
      <c r="AH42" s="130"/>
      <c r="AK42" s="1"/>
    </row>
    <row r="43" spans="1:37" ht="12.75" customHeight="1" x14ac:dyDescent="0.25">
      <c r="A43" s="703"/>
      <c r="B43" s="812"/>
      <c r="C43" s="807"/>
      <c r="D43" s="782"/>
      <c r="E43" s="808"/>
      <c r="F43" s="783"/>
      <c r="G43" s="791" t="s">
        <v>312</v>
      </c>
      <c r="H43" s="809" t="s">
        <v>332</v>
      </c>
      <c r="I43" s="782"/>
      <c r="J43" s="810">
        <f>[4]slicing!H45</f>
        <v>733.2</v>
      </c>
      <c r="K43" s="811"/>
      <c r="L43" s="703"/>
      <c r="M43" s="703"/>
      <c r="N43" s="239"/>
      <c r="O43" s="855"/>
      <c r="P43" s="855"/>
      <c r="Q43" s="855"/>
      <c r="R43" s="239"/>
      <c r="S43" s="239"/>
      <c r="T43" s="703"/>
      <c r="U43" s="703"/>
      <c r="AB43" s="36"/>
      <c r="AC43" s="703"/>
      <c r="AD43" s="703"/>
      <c r="AE43" s="703"/>
      <c r="AF43" s="703"/>
      <c r="AH43" s="130"/>
      <c r="AK43" s="1"/>
    </row>
    <row r="44" spans="1:37" ht="12.75" customHeight="1" x14ac:dyDescent="0.25">
      <c r="A44" s="703"/>
      <c r="B44" s="791"/>
      <c r="C44" s="745" t="s">
        <v>361</v>
      </c>
      <c r="D44" s="746"/>
      <c r="E44" s="769"/>
      <c r="F44" s="748"/>
      <c r="G44" s="770"/>
      <c r="H44" s="749" t="s">
        <v>370</v>
      </c>
      <c r="I44" s="746"/>
      <c r="J44" s="750">
        <f>[4]slicing!H46</f>
        <v>204.2</v>
      </c>
      <c r="K44" s="751"/>
      <c r="L44" s="703"/>
      <c r="M44" s="703"/>
      <c r="N44" s="158"/>
      <c r="O44" s="240"/>
      <c r="P44" s="240"/>
      <c r="Q44" s="240"/>
      <c r="R44" s="158"/>
      <c r="S44" s="158"/>
      <c r="T44" s="703"/>
      <c r="U44" s="703"/>
      <c r="AB44" s="36"/>
      <c r="AC44" s="703"/>
      <c r="AD44" s="703"/>
      <c r="AE44" s="703"/>
      <c r="AF44" s="703"/>
      <c r="AH44" s="130"/>
      <c r="AK44" s="1"/>
    </row>
    <row r="45" spans="1:37" ht="12.75" customHeight="1" thickBot="1" x14ac:dyDescent="0.3">
      <c r="A45" s="703"/>
      <c r="B45" s="776"/>
      <c r="C45" s="772" t="s">
        <v>108</v>
      </c>
      <c r="D45" s="778">
        <f>D42-D44</f>
        <v>0</v>
      </c>
      <c r="E45" s="774">
        <f>SUM(E42:E43,-E44)</f>
        <v>1257.3</v>
      </c>
      <c r="F45" s="775"/>
      <c r="G45" s="776"/>
      <c r="H45" s="777" t="s">
        <v>108</v>
      </c>
      <c r="I45" s="778"/>
      <c r="J45" s="779">
        <f>SUM(J42:J44)</f>
        <v>1257.1000000000001</v>
      </c>
      <c r="K45" s="780">
        <f>+J45-E45</f>
        <v>-0.1999999999998181</v>
      </c>
      <c r="L45" s="705"/>
      <c r="M45" s="703"/>
      <c r="N45" s="158"/>
      <c r="O45" s="158"/>
      <c r="P45" s="158"/>
      <c r="Q45" s="158"/>
      <c r="R45" s="158"/>
      <c r="S45" s="158"/>
      <c r="T45" s="703"/>
      <c r="U45" s="703"/>
      <c r="AB45" s="36"/>
      <c r="AC45" s="703"/>
      <c r="AD45" s="703"/>
      <c r="AE45" s="703"/>
      <c r="AF45" s="703"/>
      <c r="AH45" s="130"/>
      <c r="AK45" s="1"/>
    </row>
    <row r="46" spans="1:37" ht="12.75" customHeight="1" thickTop="1" x14ac:dyDescent="0.25">
      <c r="A46" s="703"/>
      <c r="B46" s="784" t="s">
        <v>331</v>
      </c>
      <c r="C46" s="807" t="s">
        <v>330</v>
      </c>
      <c r="D46" s="782"/>
      <c r="E46" s="808">
        <f>[4]slicing!$D$48</f>
        <v>391.8</v>
      </c>
      <c r="F46" s="783"/>
      <c r="G46" s="784" t="s">
        <v>329</v>
      </c>
      <c r="H46" s="809" t="s">
        <v>374</v>
      </c>
      <c r="I46" s="782"/>
      <c r="J46" s="810">
        <f>[4]slicing!H48</f>
        <v>219.89999999999998</v>
      </c>
      <c r="K46" s="811"/>
      <c r="L46" s="703"/>
      <c r="M46" s="703"/>
      <c r="N46" s="158"/>
      <c r="O46" s="158"/>
      <c r="P46" s="158"/>
      <c r="Q46" s="158"/>
      <c r="R46" s="158"/>
      <c r="S46" s="158"/>
      <c r="T46" s="703"/>
      <c r="U46" s="703"/>
      <c r="AB46" s="36"/>
      <c r="AC46" s="703"/>
      <c r="AD46" s="703"/>
      <c r="AE46" s="703"/>
      <c r="AF46" s="703"/>
      <c r="AH46" s="130"/>
      <c r="AK46" s="1"/>
    </row>
    <row r="47" spans="1:37" ht="12.75" customHeight="1" x14ac:dyDescent="0.25">
      <c r="A47" s="703"/>
      <c r="B47" s="812"/>
      <c r="C47" s="807"/>
      <c r="D47" s="782"/>
      <c r="E47" s="808"/>
      <c r="F47" s="783"/>
      <c r="G47" s="812"/>
      <c r="H47" s="809" t="s">
        <v>375</v>
      </c>
      <c r="I47" s="782"/>
      <c r="J47" s="810">
        <f>[4]slicing!H49</f>
        <v>59.5</v>
      </c>
      <c r="K47" s="811"/>
      <c r="L47" s="703"/>
      <c r="M47" s="703"/>
      <c r="N47" s="158"/>
      <c r="O47" s="158"/>
      <c r="P47" s="158"/>
      <c r="Q47" s="158"/>
      <c r="R47" s="158"/>
      <c r="S47" s="158"/>
      <c r="T47" s="703"/>
      <c r="U47" s="703"/>
      <c r="AB47" s="36"/>
      <c r="AC47" s="703"/>
      <c r="AD47" s="703"/>
      <c r="AE47" s="703"/>
      <c r="AF47" s="703"/>
      <c r="AH47" s="130"/>
      <c r="AK47" s="1"/>
    </row>
    <row r="48" spans="1:37" ht="12.75" customHeight="1" x14ac:dyDescent="0.25">
      <c r="A48" s="703"/>
      <c r="B48" s="812"/>
      <c r="C48" s="745"/>
      <c r="D48" s="746"/>
      <c r="E48" s="747"/>
      <c r="F48" s="748"/>
      <c r="G48" s="791"/>
      <c r="H48" s="749"/>
      <c r="I48" s="746"/>
      <c r="J48" s="750">
        <f>[4]slicing!H50</f>
        <v>0</v>
      </c>
      <c r="K48" s="751"/>
      <c r="L48" s="703"/>
      <c r="M48" s="703"/>
      <c r="N48" s="239"/>
      <c r="O48" s="158"/>
      <c r="P48" s="158"/>
      <c r="Q48" s="158"/>
      <c r="R48" s="239"/>
      <c r="S48" s="239"/>
      <c r="T48" s="703"/>
      <c r="U48" s="703"/>
      <c r="AB48" s="36"/>
      <c r="AC48" s="703"/>
      <c r="AD48" s="703"/>
      <c r="AE48" s="703"/>
      <c r="AF48" s="703"/>
      <c r="AH48" s="130"/>
      <c r="AK48" s="1"/>
    </row>
    <row r="49" spans="1:37" ht="12.75" customHeight="1" x14ac:dyDescent="0.25">
      <c r="A49" s="703"/>
      <c r="B49" s="791"/>
      <c r="C49" s="745" t="s">
        <v>361</v>
      </c>
      <c r="D49" s="746"/>
      <c r="E49" s="769"/>
      <c r="F49" s="748"/>
      <c r="G49" s="770"/>
      <c r="H49" s="749" t="s">
        <v>327</v>
      </c>
      <c r="I49" s="746"/>
      <c r="J49" s="750">
        <f>[4]slicing!H51</f>
        <v>112.19999999999999</v>
      </c>
      <c r="K49" s="751"/>
      <c r="L49" s="703"/>
      <c r="M49" s="703"/>
      <c r="N49" s="158"/>
      <c r="O49" s="239"/>
      <c r="P49" s="239"/>
      <c r="Q49" s="239"/>
      <c r="R49" s="158"/>
      <c r="S49" s="158"/>
      <c r="T49" s="703"/>
      <c r="U49" s="703"/>
      <c r="AB49" s="36"/>
      <c r="AC49" s="703"/>
      <c r="AD49" s="703"/>
      <c r="AE49" s="703"/>
      <c r="AF49" s="703"/>
      <c r="AH49" s="130"/>
      <c r="AK49" s="1"/>
    </row>
    <row r="50" spans="1:37" ht="12.75" customHeight="1" thickBot="1" x14ac:dyDescent="0.3">
      <c r="A50" s="703"/>
      <c r="B50" s="776"/>
      <c r="C50" s="772" t="s">
        <v>108</v>
      </c>
      <c r="D50" s="778">
        <f>D46-D49</f>
        <v>0</v>
      </c>
      <c r="E50" s="774">
        <f>SUM(E46:E48,-E49)</f>
        <v>391.8</v>
      </c>
      <c r="F50" s="775"/>
      <c r="G50" s="776"/>
      <c r="H50" s="777" t="s">
        <v>108</v>
      </c>
      <c r="I50" s="778"/>
      <c r="J50" s="779">
        <f>SUM(J46:J49)</f>
        <v>391.59999999999997</v>
      </c>
      <c r="K50" s="780">
        <f>+J50-E50</f>
        <v>-0.20000000000004547</v>
      </c>
      <c r="L50" s="703"/>
      <c r="M50" s="703"/>
      <c r="N50" s="158"/>
      <c r="O50" s="158"/>
      <c r="P50" s="158"/>
      <c r="Q50" s="158"/>
      <c r="R50" s="158"/>
      <c r="S50" s="158"/>
      <c r="T50" s="703"/>
      <c r="U50" s="703"/>
      <c r="AB50" s="36"/>
      <c r="AC50" s="703"/>
      <c r="AD50" s="703"/>
      <c r="AE50" s="703"/>
      <c r="AF50" s="703"/>
      <c r="AH50" s="130"/>
      <c r="AK50" s="1"/>
    </row>
    <row r="51" spans="1:37" ht="12.75" customHeight="1" thickTop="1" x14ac:dyDescent="0.25">
      <c r="A51" s="703"/>
      <c r="B51" s="851" t="s">
        <v>326</v>
      </c>
      <c r="C51" s="856" t="s">
        <v>350</v>
      </c>
      <c r="D51" s="746"/>
      <c r="E51" s="747">
        <v>78.400000000000006</v>
      </c>
      <c r="F51" s="748"/>
      <c r="G51" s="1347" t="s">
        <v>325</v>
      </c>
      <c r="H51" s="857" t="s">
        <v>376</v>
      </c>
      <c r="I51" s="746"/>
      <c r="J51" s="750">
        <v>63</v>
      </c>
      <c r="K51" s="811"/>
      <c r="L51" s="703"/>
      <c r="M51" s="703"/>
      <c r="N51" s="158"/>
      <c r="O51" s="158"/>
      <c r="P51" s="158"/>
      <c r="Q51" s="158"/>
      <c r="R51" s="158"/>
      <c r="S51" s="158"/>
      <c r="T51" s="703"/>
      <c r="U51" s="703"/>
      <c r="V51" s="703"/>
      <c r="W51" s="703"/>
      <c r="X51" s="703"/>
      <c r="Y51" s="703"/>
      <c r="Z51" s="849"/>
      <c r="AA51" s="850"/>
      <c r="AB51" s="36"/>
      <c r="AC51" s="703"/>
      <c r="AD51" s="703"/>
      <c r="AE51" s="703"/>
      <c r="AF51" s="703"/>
      <c r="AH51" s="130"/>
      <c r="AK51" s="1"/>
    </row>
    <row r="52" spans="1:37" ht="12.75" customHeight="1" x14ac:dyDescent="0.25">
      <c r="A52" s="703"/>
      <c r="B52" s="852"/>
      <c r="C52" s="745"/>
      <c r="D52" s="746"/>
      <c r="E52" s="747"/>
      <c r="F52" s="748"/>
      <c r="G52" s="1348"/>
      <c r="H52" s="749"/>
      <c r="I52" s="746"/>
      <c r="J52" s="750"/>
      <c r="K52" s="751"/>
      <c r="L52" s="703"/>
      <c r="M52" s="703"/>
      <c r="N52" s="158"/>
      <c r="O52" s="158"/>
      <c r="P52" s="158"/>
      <c r="Q52" s="158"/>
      <c r="R52" s="158"/>
      <c r="S52" s="158"/>
      <c r="T52" s="703"/>
      <c r="U52" s="703"/>
      <c r="V52" s="703"/>
      <c r="W52" s="703"/>
      <c r="X52" s="703"/>
      <c r="Y52" s="703"/>
      <c r="Z52" s="849"/>
      <c r="AA52" s="850"/>
      <c r="AB52" s="36"/>
      <c r="AC52" s="703"/>
      <c r="AD52" s="703"/>
      <c r="AE52" s="703"/>
      <c r="AF52" s="703"/>
      <c r="AH52" s="130"/>
      <c r="AK52" s="1"/>
    </row>
    <row r="53" spans="1:37" ht="12.75" customHeight="1" x14ac:dyDescent="0.25">
      <c r="A53" s="703"/>
      <c r="B53" s="853"/>
      <c r="C53" s="745" t="s">
        <v>355</v>
      </c>
      <c r="D53" s="746"/>
      <c r="E53" s="769"/>
      <c r="F53" s="748"/>
      <c r="G53" s="770" t="s">
        <v>3</v>
      </c>
      <c r="H53" s="749" t="s">
        <v>327</v>
      </c>
      <c r="I53" s="746"/>
      <c r="J53" s="750">
        <v>15.4</v>
      </c>
      <c r="K53" s="751"/>
      <c r="L53" s="703"/>
      <c r="M53" s="703"/>
      <c r="N53" s="158"/>
      <c r="O53" s="158"/>
      <c r="P53" s="158"/>
      <c r="Q53" s="158"/>
      <c r="R53" s="158"/>
      <c r="S53" s="158"/>
      <c r="T53" s="703"/>
      <c r="U53" s="703"/>
      <c r="V53" s="703"/>
      <c r="W53" s="703"/>
      <c r="X53" s="703"/>
      <c r="Y53" s="703"/>
      <c r="Z53" s="849"/>
      <c r="AA53" s="850"/>
      <c r="AB53" s="36"/>
      <c r="AC53" s="703"/>
      <c r="AD53" s="703"/>
      <c r="AE53" s="703"/>
      <c r="AF53" s="703"/>
      <c r="AH53" s="130"/>
      <c r="AK53" s="1"/>
    </row>
    <row r="54" spans="1:37" ht="12.75" customHeight="1" thickBot="1" x14ac:dyDescent="0.3">
      <c r="A54" s="703"/>
      <c r="B54" s="776"/>
      <c r="C54" s="772" t="s">
        <v>108</v>
      </c>
      <c r="D54" s="778">
        <f>D51-D53</f>
        <v>0</v>
      </c>
      <c r="E54" s="774">
        <f>SUM(E51:E52,-E53)</f>
        <v>78.400000000000006</v>
      </c>
      <c r="F54" s="775"/>
      <c r="G54" s="776"/>
      <c r="H54" s="777" t="s">
        <v>108</v>
      </c>
      <c r="I54" s="778"/>
      <c r="J54" s="779">
        <f>SUM(J51:J53)</f>
        <v>78.400000000000006</v>
      </c>
      <c r="K54" s="780">
        <f>+J54-E54</f>
        <v>0</v>
      </c>
      <c r="L54" s="703"/>
      <c r="M54" s="703"/>
      <c r="N54" s="158"/>
      <c r="O54" s="158"/>
      <c r="P54" s="158"/>
      <c r="Q54" s="158"/>
      <c r="R54" s="158"/>
      <c r="S54" s="158"/>
      <c r="T54" s="703"/>
      <c r="U54" s="703"/>
      <c r="V54" s="703"/>
      <c r="W54" s="703"/>
      <c r="X54" s="703"/>
      <c r="Y54" s="703"/>
      <c r="Z54" s="849"/>
      <c r="AA54" s="850"/>
      <c r="AB54" s="36"/>
      <c r="AC54" s="703"/>
      <c r="AD54" s="703"/>
      <c r="AE54" s="703"/>
      <c r="AF54" s="703"/>
      <c r="AH54" s="130"/>
      <c r="AK54" s="1"/>
    </row>
    <row r="55" spans="1:37" ht="12.75" customHeight="1" thickTop="1" x14ac:dyDescent="0.25">
      <c r="A55" s="703"/>
      <c r="B55" s="770" t="s">
        <v>260</v>
      </c>
      <c r="C55" s="745" t="s">
        <v>261</v>
      </c>
      <c r="D55" s="746"/>
      <c r="E55" s="747">
        <f>[4]slicing!D57</f>
        <v>2189.9</v>
      </c>
      <c r="F55" s="748"/>
      <c r="G55" s="851" t="s">
        <v>310</v>
      </c>
      <c r="H55" s="749" t="s">
        <v>538</v>
      </c>
      <c r="I55" s="746"/>
      <c r="J55" s="750">
        <f>[4]slicing!H57</f>
        <v>2075.4</v>
      </c>
      <c r="K55" s="751"/>
      <c r="L55" s="703"/>
      <c r="M55" s="703"/>
      <c r="N55" s="158"/>
      <c r="O55" s="158"/>
      <c r="P55" s="158"/>
      <c r="Q55" s="158"/>
      <c r="R55" s="158"/>
      <c r="S55" s="158"/>
      <c r="T55" s="703"/>
      <c r="U55" s="703"/>
      <c r="V55" s="703"/>
      <c r="W55" s="703"/>
      <c r="X55" s="703"/>
      <c r="Y55" s="703"/>
      <c r="Z55" s="849"/>
      <c r="AA55" s="850"/>
      <c r="AB55" s="36"/>
      <c r="AC55" s="703"/>
      <c r="AD55" s="703"/>
      <c r="AE55" s="703"/>
      <c r="AF55" s="703"/>
      <c r="AH55" s="130"/>
      <c r="AK55" s="1"/>
    </row>
    <row r="56" spans="1:37" ht="12.75" customHeight="1" x14ac:dyDescent="0.25">
      <c r="A56" s="703"/>
      <c r="B56" s="770" t="s">
        <v>312</v>
      </c>
      <c r="C56" s="745" t="s">
        <v>332</v>
      </c>
      <c r="D56" s="746"/>
      <c r="E56" s="750">
        <f>[4]slicing!D58</f>
        <v>1614.1000000000001</v>
      </c>
      <c r="F56" s="858"/>
      <c r="G56" s="853"/>
      <c r="H56" s="749"/>
      <c r="I56" s="746"/>
      <c r="J56" s="750">
        <f>[4]slicing!H58</f>
        <v>0</v>
      </c>
      <c r="K56" s="751"/>
      <c r="L56" s="703"/>
      <c r="M56" s="703"/>
      <c r="N56" s="158"/>
      <c r="O56" s="158"/>
      <c r="P56" s="158"/>
      <c r="Q56" s="158"/>
      <c r="R56" s="158"/>
      <c r="S56" s="158"/>
      <c r="T56" s="703"/>
      <c r="U56" s="703"/>
      <c r="V56" s="703"/>
      <c r="W56" s="703"/>
      <c r="X56" s="703"/>
      <c r="Y56" s="703"/>
      <c r="Z56" s="849"/>
      <c r="AA56" s="850"/>
      <c r="AB56" s="36"/>
      <c r="AC56" s="703"/>
      <c r="AD56" s="703"/>
      <c r="AE56" s="703"/>
      <c r="AF56" s="703"/>
      <c r="AH56" s="130"/>
      <c r="AK56" s="1"/>
    </row>
    <row r="57" spans="1:37" ht="12.75" customHeight="1" x14ac:dyDescent="0.25">
      <c r="A57" s="703"/>
      <c r="B57" s="770" t="s">
        <v>311</v>
      </c>
      <c r="C57" s="745" t="s">
        <v>540</v>
      </c>
      <c r="D57" s="746"/>
      <c r="E57" s="747">
        <f>[4]slicing!D59</f>
        <v>12.3</v>
      </c>
      <c r="F57" s="748"/>
      <c r="G57" s="770" t="s">
        <v>309</v>
      </c>
      <c r="H57" s="749" t="s">
        <v>539</v>
      </c>
      <c r="I57" s="746"/>
      <c r="J57" s="750">
        <f>[4]slicing!H59</f>
        <v>1740.9</v>
      </c>
      <c r="K57" s="751"/>
      <c r="L57" s="703"/>
      <c r="M57" s="703"/>
      <c r="N57" s="158"/>
      <c r="O57" s="158"/>
      <c r="P57" s="158"/>
      <c r="Q57" s="158"/>
      <c r="R57" s="158"/>
      <c r="S57" s="158"/>
      <c r="T57" s="703"/>
      <c r="U57" s="703"/>
      <c r="V57" s="703"/>
      <c r="W57" s="703"/>
      <c r="X57" s="703"/>
      <c r="Y57" s="703"/>
      <c r="Z57" s="849"/>
      <c r="AA57" s="850"/>
      <c r="AB57" s="36"/>
      <c r="AC57" s="703"/>
      <c r="AD57" s="703"/>
      <c r="AE57" s="703"/>
      <c r="AF57" s="703"/>
      <c r="AH57" s="130"/>
      <c r="AK57" s="1"/>
    </row>
    <row r="58" spans="1:37" ht="12.75" customHeight="1" thickBot="1" x14ac:dyDescent="0.3">
      <c r="A58" s="703"/>
      <c r="B58" s="776"/>
      <c r="C58" s="772" t="s">
        <v>108</v>
      </c>
      <c r="D58" s="778">
        <f>D55-D57</f>
        <v>0</v>
      </c>
      <c r="E58" s="774">
        <f>SUM(E55:E57)</f>
        <v>3816.3</v>
      </c>
      <c r="F58" s="775"/>
      <c r="G58" s="776"/>
      <c r="H58" s="777" t="s">
        <v>235</v>
      </c>
      <c r="I58" s="778"/>
      <c r="J58" s="779">
        <f>SUM(J55:J57)</f>
        <v>3816.3</v>
      </c>
      <c r="K58" s="780">
        <f>+J58-E58</f>
        <v>0</v>
      </c>
      <c r="L58" s="703"/>
      <c r="M58" s="703"/>
      <c r="N58" s="158"/>
      <c r="O58" s="158"/>
      <c r="P58" s="158"/>
      <c r="Q58" s="158"/>
      <c r="R58" s="158"/>
      <c r="S58" s="158"/>
      <c r="T58" s="703"/>
      <c r="U58" s="703"/>
      <c r="V58" s="703"/>
      <c r="W58" s="703"/>
      <c r="X58" s="703"/>
      <c r="Y58" s="703"/>
      <c r="Z58" s="849"/>
      <c r="AA58" s="850"/>
      <c r="AB58" s="36"/>
      <c r="AC58" s="703"/>
      <c r="AD58" s="703"/>
      <c r="AE58" s="703"/>
      <c r="AF58" s="703"/>
      <c r="AH58" s="130"/>
      <c r="AK58" s="1"/>
    </row>
    <row r="59" spans="1:37" ht="12.75" customHeight="1" thickTop="1" x14ac:dyDescent="0.25">
      <c r="A59" s="703"/>
      <c r="B59" s="851" t="s">
        <v>142</v>
      </c>
      <c r="C59" s="807" t="s">
        <v>336</v>
      </c>
      <c r="D59" s="782"/>
      <c r="E59" s="808">
        <f>[4]slicing!$D$69</f>
        <v>0</v>
      </c>
      <c r="F59" s="783"/>
      <c r="G59" s="781" t="s">
        <v>335</v>
      </c>
      <c r="H59" s="809" t="s">
        <v>532</v>
      </c>
      <c r="I59" s="782"/>
      <c r="J59" s="810">
        <f>[4]slicing!H69</f>
        <v>0</v>
      </c>
      <c r="K59" s="811"/>
      <c r="L59" s="703"/>
      <c r="M59" s="703"/>
      <c r="N59" s="158"/>
      <c r="O59" s="158"/>
      <c r="P59" s="158"/>
      <c r="Q59" s="158"/>
      <c r="R59" s="158"/>
      <c r="S59" s="158"/>
      <c r="T59" s="703"/>
      <c r="U59" s="703"/>
      <c r="V59" s="703"/>
      <c r="W59" s="703"/>
      <c r="X59" s="703"/>
      <c r="Y59" s="703"/>
      <c r="Z59" s="849"/>
      <c r="AA59" s="850"/>
      <c r="AB59" s="36"/>
      <c r="AC59" s="703"/>
      <c r="AD59" s="703"/>
      <c r="AE59" s="703"/>
      <c r="AF59" s="703"/>
      <c r="AH59" s="130"/>
      <c r="AK59" s="1"/>
    </row>
    <row r="60" spans="1:37" ht="12.75" customHeight="1" x14ac:dyDescent="0.25">
      <c r="A60" s="703"/>
      <c r="B60" s="852"/>
      <c r="C60" s="807"/>
      <c r="D60" s="782"/>
      <c r="E60" s="808"/>
      <c r="F60" s="783"/>
      <c r="G60" s="763"/>
      <c r="H60" s="809" t="s">
        <v>533</v>
      </c>
      <c r="I60" s="782"/>
      <c r="J60" s="810">
        <f>[4]slicing!H70</f>
        <v>0</v>
      </c>
      <c r="K60" s="811"/>
      <c r="L60" s="703"/>
      <c r="M60" s="703"/>
      <c r="N60" s="158"/>
      <c r="O60" s="158"/>
      <c r="P60" s="158"/>
      <c r="Q60" s="158"/>
      <c r="R60" s="158"/>
      <c r="S60" s="158"/>
      <c r="T60" s="703"/>
      <c r="U60" s="703"/>
      <c r="V60" s="703"/>
      <c r="W60" s="703"/>
      <c r="X60" s="703"/>
      <c r="Y60" s="703"/>
      <c r="Z60" s="849"/>
      <c r="AA60" s="850"/>
      <c r="AB60" s="36"/>
      <c r="AC60" s="703"/>
      <c r="AD60" s="703"/>
      <c r="AE60" s="703"/>
      <c r="AF60" s="703"/>
      <c r="AH60" s="130"/>
      <c r="AK60" s="1"/>
    </row>
    <row r="61" spans="1:37" ht="12.75" customHeight="1" x14ac:dyDescent="0.25">
      <c r="A61" s="703"/>
      <c r="B61" s="853"/>
      <c r="C61" s="745" t="s">
        <v>355</v>
      </c>
      <c r="D61" s="746"/>
      <c r="E61" s="769"/>
      <c r="F61" s="748"/>
      <c r="G61" s="770" t="s">
        <v>312</v>
      </c>
      <c r="H61" s="749" t="s">
        <v>332</v>
      </c>
      <c r="I61" s="746"/>
      <c r="J61" s="810">
        <f>[4]slicing!H71</f>
        <v>0</v>
      </c>
      <c r="K61" s="751"/>
      <c r="L61" s="703"/>
      <c r="M61" s="703"/>
      <c r="N61" s="158"/>
      <c r="O61" s="158"/>
      <c r="P61" s="158"/>
      <c r="Q61" s="158"/>
      <c r="R61" s="158"/>
      <c r="S61" s="158"/>
      <c r="T61" s="703"/>
      <c r="U61" s="703"/>
      <c r="V61" s="703"/>
      <c r="W61" s="703"/>
      <c r="X61" s="703"/>
      <c r="Y61" s="703"/>
      <c r="Z61" s="849"/>
      <c r="AA61" s="850"/>
      <c r="AB61" s="36"/>
      <c r="AC61" s="703"/>
      <c r="AD61" s="703"/>
      <c r="AE61" s="703"/>
      <c r="AF61" s="703"/>
      <c r="AH61" s="130"/>
      <c r="AK61" s="1"/>
    </row>
    <row r="62" spans="1:37" ht="12.75" customHeight="1" thickBot="1" x14ac:dyDescent="0.3">
      <c r="A62" s="703"/>
      <c r="B62" s="776"/>
      <c r="C62" s="772" t="s">
        <v>108</v>
      </c>
      <c r="D62" s="778">
        <f>D59-D61</f>
        <v>0</v>
      </c>
      <c r="E62" s="774">
        <f>SUM(E59:E60,-E61)</f>
        <v>0</v>
      </c>
      <c r="F62" s="775"/>
      <c r="G62" s="776"/>
      <c r="H62" s="777" t="s">
        <v>108</v>
      </c>
      <c r="I62" s="778"/>
      <c r="J62" s="779">
        <f>SUM(J59:J61)</f>
        <v>0</v>
      </c>
      <c r="K62" s="780">
        <f>+J62-E62</f>
        <v>0</v>
      </c>
      <c r="L62" s="703"/>
      <c r="M62" s="703"/>
      <c r="N62" s="158"/>
      <c r="O62" s="158"/>
      <c r="P62" s="158"/>
      <c r="Q62" s="158"/>
      <c r="R62" s="158"/>
      <c r="S62" s="158"/>
      <c r="T62" s="703"/>
      <c r="U62" s="703"/>
      <c r="V62" s="703"/>
      <c r="W62" s="703"/>
      <c r="X62" s="703"/>
      <c r="Y62" s="703"/>
      <c r="Z62" s="849"/>
      <c r="AA62" s="850"/>
      <c r="AB62" s="36"/>
      <c r="AC62" s="703"/>
      <c r="AD62" s="703"/>
      <c r="AE62" s="703"/>
      <c r="AF62" s="703"/>
      <c r="AH62" s="130"/>
      <c r="AK62" s="1"/>
    </row>
    <row r="63" spans="1:37" ht="12.75" customHeight="1" thickTop="1" x14ac:dyDescent="0.25">
      <c r="A63" s="703"/>
      <c r="B63" s="851" t="s">
        <v>55</v>
      </c>
      <c r="C63" s="745" t="s">
        <v>381</v>
      </c>
      <c r="D63" s="746"/>
      <c r="E63" s="810">
        <f>[4]slicing!$D$73</f>
        <v>122</v>
      </c>
      <c r="F63" s="859"/>
      <c r="G63" s="770" t="s">
        <v>318</v>
      </c>
      <c r="H63" s="749" t="s">
        <v>317</v>
      </c>
      <c r="I63" s="746"/>
      <c r="J63" s="810">
        <f>[4]slicing!H73</f>
        <v>88.7</v>
      </c>
      <c r="K63" s="751"/>
      <c r="L63" s="703"/>
      <c r="M63" s="703"/>
      <c r="N63" s="158"/>
      <c r="O63" s="158"/>
      <c r="P63" s="158"/>
      <c r="Q63" s="158"/>
      <c r="R63" s="158"/>
      <c r="S63" s="158"/>
      <c r="T63" s="703"/>
      <c r="U63" s="703"/>
      <c r="V63" s="703"/>
      <c r="W63" s="703"/>
      <c r="X63" s="703"/>
      <c r="Y63" s="703"/>
      <c r="Z63" s="849"/>
      <c r="AA63" s="850"/>
      <c r="AB63" s="36"/>
      <c r="AC63" s="703"/>
      <c r="AD63" s="703"/>
      <c r="AE63" s="703"/>
      <c r="AF63" s="703"/>
      <c r="AH63" s="130"/>
      <c r="AK63" s="1"/>
    </row>
    <row r="64" spans="1:37" ht="12.75" customHeight="1" x14ac:dyDescent="0.25">
      <c r="A64" s="703"/>
      <c r="B64" s="852"/>
      <c r="C64" s="745"/>
      <c r="D64" s="746"/>
      <c r="E64" s="747"/>
      <c r="F64" s="748"/>
      <c r="G64" s="770" t="s">
        <v>311</v>
      </c>
      <c r="H64" s="749" t="s">
        <v>319</v>
      </c>
      <c r="I64" s="746"/>
      <c r="J64" s="750">
        <f>[4]slicing!H74</f>
        <v>12.3</v>
      </c>
      <c r="K64" s="751"/>
      <c r="L64" s="703"/>
      <c r="M64" s="703"/>
      <c r="N64" s="158"/>
      <c r="O64" s="158"/>
      <c r="P64" s="158"/>
      <c r="Q64" s="158"/>
      <c r="R64" s="158"/>
      <c r="S64" s="158"/>
      <c r="T64" s="703"/>
      <c r="U64" s="703"/>
      <c r="V64" s="703"/>
      <c r="W64" s="703"/>
      <c r="X64" s="703"/>
      <c r="Y64" s="703"/>
      <c r="Z64" s="849"/>
      <c r="AA64" s="850"/>
      <c r="AB64" s="36"/>
      <c r="AC64" s="703"/>
      <c r="AD64" s="703"/>
      <c r="AE64" s="703"/>
      <c r="AF64" s="703"/>
      <c r="AH64" s="130"/>
      <c r="AK64" s="1"/>
    </row>
    <row r="65" spans="1:37" ht="12.75" customHeight="1" x14ac:dyDescent="0.25">
      <c r="A65" s="703"/>
      <c r="B65" s="853"/>
      <c r="C65" s="745" t="s">
        <v>355</v>
      </c>
      <c r="D65" s="746"/>
      <c r="E65" s="769"/>
      <c r="F65" s="748"/>
      <c r="G65" s="770" t="s">
        <v>5</v>
      </c>
      <c r="H65" s="749" t="s">
        <v>537</v>
      </c>
      <c r="I65" s="746"/>
      <c r="J65" s="750">
        <f>[4]slicing!H75</f>
        <v>20.8</v>
      </c>
      <c r="K65" s="751"/>
      <c r="L65" s="703"/>
      <c r="M65" s="703"/>
      <c r="N65" s="158"/>
      <c r="O65" s="158"/>
      <c r="P65" s="158"/>
      <c r="Q65" s="158"/>
      <c r="R65" s="158"/>
      <c r="S65" s="158"/>
      <c r="T65" s="703"/>
      <c r="U65" s="703"/>
      <c r="V65" s="703"/>
      <c r="W65" s="703"/>
      <c r="X65" s="703"/>
      <c r="Y65" s="703"/>
      <c r="Z65" s="849"/>
      <c r="AA65" s="850"/>
      <c r="AB65" s="36"/>
      <c r="AC65" s="703"/>
      <c r="AD65" s="703"/>
      <c r="AE65" s="703"/>
      <c r="AF65" s="703"/>
      <c r="AH65" s="130"/>
      <c r="AK65" s="1"/>
    </row>
    <row r="66" spans="1:37" ht="12.75" customHeight="1" thickBot="1" x14ac:dyDescent="0.3">
      <c r="A66" s="703"/>
      <c r="B66" s="776"/>
      <c r="C66" s="772" t="s">
        <v>108</v>
      </c>
      <c r="D66" s="778">
        <f>D63-D65</f>
        <v>0</v>
      </c>
      <c r="E66" s="774">
        <f>SUM(E63:E64,-E65)</f>
        <v>122</v>
      </c>
      <c r="F66" s="775"/>
      <c r="G66" s="776"/>
      <c r="H66" s="777" t="s">
        <v>108</v>
      </c>
      <c r="I66" s="778"/>
      <c r="J66" s="779">
        <f>SUM(J63:J65)</f>
        <v>121.8</v>
      </c>
      <c r="K66" s="780">
        <f>+J66-E66</f>
        <v>-0.20000000000000284</v>
      </c>
      <c r="L66" s="703"/>
      <c r="M66" s="703"/>
      <c r="N66" s="158"/>
      <c r="O66" s="158"/>
      <c r="P66" s="158"/>
      <c r="Q66" s="158"/>
      <c r="R66" s="158"/>
      <c r="S66" s="158"/>
      <c r="T66" s="703"/>
      <c r="U66" s="703"/>
      <c r="V66" s="703"/>
      <c r="W66" s="703"/>
      <c r="X66" s="703"/>
      <c r="Y66" s="703"/>
      <c r="Z66" s="849"/>
      <c r="AA66" s="850"/>
      <c r="AB66" s="36"/>
      <c r="AC66" s="703"/>
      <c r="AD66" s="703"/>
      <c r="AE66" s="703"/>
      <c r="AF66" s="703"/>
      <c r="AH66" s="130"/>
      <c r="AK66" s="1"/>
    </row>
    <row r="67" spans="1:37" ht="12.75" customHeight="1" thickTop="1" x14ac:dyDescent="0.25">
      <c r="A67" s="703"/>
      <c r="B67" s="791"/>
      <c r="C67" s="807" t="s">
        <v>386</v>
      </c>
      <c r="D67" s="782"/>
      <c r="E67" s="808">
        <f>[4]slicing!$D$91</f>
        <v>608.29999999999995</v>
      </c>
      <c r="F67" s="783"/>
      <c r="G67" s="784" t="s">
        <v>326</v>
      </c>
      <c r="H67" s="809" t="s">
        <v>387</v>
      </c>
      <c r="I67" s="782"/>
      <c r="J67" s="810">
        <f>[4]slicing!H91</f>
        <v>327.7</v>
      </c>
      <c r="K67" s="811"/>
      <c r="L67" s="703"/>
      <c r="M67" s="703"/>
      <c r="N67" s="158"/>
      <c r="O67" s="158"/>
      <c r="P67" s="158"/>
      <c r="Q67" s="158"/>
      <c r="R67" s="158"/>
      <c r="S67" s="158"/>
      <c r="T67" s="703"/>
      <c r="U67" s="703"/>
      <c r="V67" s="703"/>
      <c r="W67" s="703"/>
      <c r="X67" s="703"/>
      <c r="Y67" s="703"/>
      <c r="Z67" s="849"/>
      <c r="AA67" s="850"/>
      <c r="AB67" s="36"/>
      <c r="AC67" s="703"/>
      <c r="AD67" s="703"/>
      <c r="AE67" s="703"/>
      <c r="AF67" s="703"/>
      <c r="AH67" s="130"/>
      <c r="AK67" s="1"/>
    </row>
    <row r="68" spans="1:37" ht="12.75" customHeight="1" x14ac:dyDescent="0.25">
      <c r="A68" s="703"/>
      <c r="B68" s="791"/>
      <c r="C68" s="807"/>
      <c r="D68" s="782"/>
      <c r="E68" s="808"/>
      <c r="F68" s="783"/>
      <c r="G68" s="791"/>
      <c r="H68" s="809" t="s">
        <v>388</v>
      </c>
      <c r="I68" s="782"/>
      <c r="J68" s="810">
        <f>[4]slicing!H92</f>
        <v>18.600000000000001</v>
      </c>
      <c r="K68" s="811"/>
      <c r="L68" s="703"/>
      <c r="M68" s="703"/>
      <c r="N68" s="158"/>
      <c r="O68" s="158"/>
      <c r="P68" s="158"/>
      <c r="Q68" s="158"/>
      <c r="R68" s="158"/>
      <c r="S68" s="158"/>
      <c r="T68" s="703"/>
      <c r="U68" s="703"/>
      <c r="V68" s="703"/>
      <c r="W68" s="703"/>
      <c r="X68" s="703"/>
      <c r="Y68" s="703"/>
      <c r="Z68" s="849"/>
      <c r="AA68" s="850"/>
      <c r="AB68" s="36"/>
      <c r="AC68" s="703"/>
      <c r="AD68" s="703"/>
      <c r="AE68" s="703"/>
      <c r="AF68" s="703"/>
      <c r="AH68" s="130"/>
      <c r="AK68" s="1"/>
    </row>
    <row r="69" spans="1:37" ht="12.75" customHeight="1" x14ac:dyDescent="0.25">
      <c r="A69" s="703"/>
      <c r="B69" s="791"/>
      <c r="C69" s="807"/>
      <c r="D69" s="782"/>
      <c r="E69" s="808"/>
      <c r="F69" s="783"/>
      <c r="G69" s="791" t="s">
        <v>351</v>
      </c>
      <c r="H69" s="809" t="s">
        <v>238</v>
      </c>
      <c r="I69" s="782"/>
      <c r="J69" s="810">
        <f>[4]slicing!H93</f>
        <v>134.5</v>
      </c>
      <c r="K69" s="811"/>
      <c r="L69" s="703"/>
      <c r="M69" s="703"/>
      <c r="N69" s="158"/>
      <c r="O69" s="158"/>
      <c r="P69" s="158"/>
      <c r="Q69" s="158"/>
      <c r="R69" s="158"/>
      <c r="S69" s="158"/>
      <c r="T69" s="703"/>
      <c r="U69" s="703"/>
      <c r="V69" s="703"/>
      <c r="W69" s="703"/>
      <c r="X69" s="703"/>
      <c r="Y69" s="703"/>
      <c r="Z69" s="849"/>
      <c r="AA69" s="850"/>
      <c r="AB69" s="36"/>
      <c r="AC69" s="703"/>
      <c r="AD69" s="703"/>
      <c r="AE69" s="703"/>
      <c r="AF69" s="703"/>
      <c r="AH69" s="130"/>
      <c r="AK69" s="1"/>
    </row>
    <row r="70" spans="1:37" ht="12.75" customHeight="1" x14ac:dyDescent="0.25">
      <c r="A70" s="703"/>
      <c r="B70" s="770"/>
      <c r="C70" s="745"/>
      <c r="D70" s="746"/>
      <c r="E70" s="747"/>
      <c r="F70" s="748"/>
      <c r="G70" s="770" t="s">
        <v>243</v>
      </c>
      <c r="H70" s="749" t="s">
        <v>389</v>
      </c>
      <c r="I70" s="746"/>
      <c r="J70" s="750">
        <f>[4]slicing!H94</f>
        <v>63.2</v>
      </c>
      <c r="K70" s="751"/>
      <c r="L70" s="703"/>
      <c r="M70" s="703"/>
      <c r="N70" s="158"/>
      <c r="O70" s="158"/>
      <c r="P70" s="158"/>
      <c r="Q70" s="158"/>
      <c r="R70" s="158"/>
      <c r="S70" s="158"/>
      <c r="T70" s="703"/>
      <c r="U70" s="703"/>
      <c r="V70" s="703"/>
      <c r="W70" s="703"/>
      <c r="X70" s="703"/>
      <c r="Y70" s="703"/>
      <c r="Z70" s="849"/>
      <c r="AA70" s="850"/>
      <c r="AB70" s="36"/>
      <c r="AC70" s="703"/>
      <c r="AD70" s="703"/>
      <c r="AE70" s="703"/>
      <c r="AF70" s="703"/>
      <c r="AH70" s="130"/>
      <c r="AK70" s="1"/>
    </row>
    <row r="71" spans="1:37" ht="12.75" customHeight="1" x14ac:dyDescent="0.25">
      <c r="A71" s="703"/>
      <c r="B71" s="770"/>
      <c r="C71" s="745" t="s">
        <v>382</v>
      </c>
      <c r="D71" s="746"/>
      <c r="E71" s="769"/>
      <c r="F71" s="748"/>
      <c r="G71" s="770" t="s">
        <v>3</v>
      </c>
      <c r="H71" s="749" t="s">
        <v>390</v>
      </c>
      <c r="I71" s="746"/>
      <c r="J71" s="750">
        <f>[4]slicing!H95</f>
        <v>64.3</v>
      </c>
      <c r="K71" s="751"/>
      <c r="L71" s="703"/>
      <c r="M71" s="703"/>
      <c r="N71" s="158"/>
      <c r="O71" s="158"/>
      <c r="P71" s="158"/>
      <c r="Q71" s="158"/>
      <c r="R71" s="158"/>
      <c r="S71" s="158"/>
      <c r="T71" s="703"/>
      <c r="U71" s="703"/>
      <c r="V71" s="703"/>
      <c r="W71" s="703"/>
      <c r="X71" s="703"/>
      <c r="Y71" s="703"/>
      <c r="Z71" s="849"/>
      <c r="AA71" s="850"/>
      <c r="AB71" s="36"/>
      <c r="AC71" s="703"/>
      <c r="AD71" s="703"/>
      <c r="AE71" s="703"/>
      <c r="AF71" s="703"/>
      <c r="AH71" s="130"/>
      <c r="AK71" s="1"/>
    </row>
    <row r="72" spans="1:37" ht="12.75" customHeight="1" thickBot="1" x14ac:dyDescent="0.3">
      <c r="A72" s="703"/>
      <c r="B72" s="776"/>
      <c r="C72" s="772" t="s">
        <v>108</v>
      </c>
      <c r="D72" s="778">
        <f>D67-D71</f>
        <v>0</v>
      </c>
      <c r="E72" s="774">
        <f>SUM(E67:E70,-E71)</f>
        <v>608.29999999999995</v>
      </c>
      <c r="F72" s="775"/>
      <c r="G72" s="776"/>
      <c r="H72" s="777" t="s">
        <v>108</v>
      </c>
      <c r="I72" s="778"/>
      <c r="J72" s="779">
        <f>SUM(J67:J71)</f>
        <v>608.29999999999995</v>
      </c>
      <c r="K72" s="780">
        <f>+J72-E72</f>
        <v>0</v>
      </c>
      <c r="L72" s="703"/>
      <c r="M72" s="703"/>
      <c r="N72" s="860"/>
      <c r="O72" s="158"/>
      <c r="P72" s="158"/>
      <c r="Q72" s="158"/>
      <c r="R72" s="158"/>
      <c r="S72" s="158"/>
      <c r="T72" s="703"/>
      <c r="U72" s="703"/>
      <c r="V72" s="703"/>
      <c r="W72" s="703"/>
      <c r="X72" s="703"/>
      <c r="Y72" s="703"/>
      <c r="Z72" s="849"/>
      <c r="AA72" s="850"/>
      <c r="AB72" s="36"/>
      <c r="AC72" s="703"/>
      <c r="AD72" s="703"/>
      <c r="AE72" s="703"/>
      <c r="AF72" s="703"/>
      <c r="AH72" s="130"/>
      <c r="AK72" s="1"/>
    </row>
    <row r="73" spans="1:37" ht="12.75" customHeight="1" thickTop="1" x14ac:dyDescent="0.25">
      <c r="A73" s="703"/>
      <c r="B73" s="851" t="s">
        <v>4</v>
      </c>
      <c r="C73" s="807" t="s">
        <v>265</v>
      </c>
      <c r="D73" s="782"/>
      <c r="E73" s="808">
        <f>[4]slicing!$D$97</f>
        <v>0</v>
      </c>
      <c r="F73" s="783"/>
      <c r="G73" s="851" t="s">
        <v>522</v>
      </c>
      <c r="H73" s="809" t="s">
        <v>523</v>
      </c>
      <c r="I73" s="782"/>
      <c r="J73" s="810">
        <f>[4]slicing!$H$97</f>
        <v>0</v>
      </c>
      <c r="K73" s="811"/>
      <c r="L73" s="703"/>
      <c r="M73" s="703"/>
      <c r="N73" s="861"/>
      <c r="O73" s="158"/>
      <c r="P73" s="158"/>
      <c r="Q73" s="158"/>
      <c r="R73" s="158"/>
      <c r="S73" s="158"/>
      <c r="T73" s="703"/>
      <c r="U73" s="703"/>
      <c r="V73" s="703"/>
      <c r="W73" s="703"/>
      <c r="X73" s="703"/>
      <c r="Y73" s="703"/>
      <c r="Z73" s="849"/>
      <c r="AA73" s="850"/>
      <c r="AB73" s="36"/>
      <c r="AC73" s="703"/>
      <c r="AD73" s="703"/>
      <c r="AE73" s="703"/>
      <c r="AF73" s="703"/>
      <c r="AH73" s="130"/>
      <c r="AK73" s="1"/>
    </row>
    <row r="74" spans="1:37" ht="12.75" customHeight="1" x14ac:dyDescent="0.25">
      <c r="A74" s="703"/>
      <c r="B74" s="852"/>
      <c r="C74" s="807"/>
      <c r="D74" s="782"/>
      <c r="E74" s="808"/>
      <c r="F74" s="783"/>
      <c r="G74" s="852"/>
      <c r="H74" s="809"/>
      <c r="I74" s="782"/>
      <c r="J74" s="810"/>
      <c r="K74" s="811"/>
      <c r="L74" s="703"/>
      <c r="M74" s="703"/>
      <c r="N74" s="158"/>
      <c r="O74" s="158"/>
      <c r="P74" s="158"/>
      <c r="Q74" s="158"/>
      <c r="R74" s="158"/>
      <c r="S74" s="158"/>
      <c r="T74" s="703"/>
      <c r="U74" s="703"/>
      <c r="V74" s="703"/>
      <c r="W74" s="703"/>
      <c r="X74" s="703"/>
      <c r="Y74" s="703"/>
      <c r="Z74" s="849"/>
      <c r="AA74" s="850"/>
      <c r="AB74" s="36"/>
      <c r="AC74" s="703"/>
      <c r="AD74" s="703"/>
      <c r="AE74" s="703"/>
      <c r="AF74" s="703"/>
      <c r="AH74" s="130"/>
      <c r="AK74" s="1"/>
    </row>
    <row r="75" spans="1:37" ht="12.75" customHeight="1" x14ac:dyDescent="0.25">
      <c r="A75" s="703"/>
      <c r="B75" s="852"/>
      <c r="C75" s="745"/>
      <c r="D75" s="746"/>
      <c r="E75" s="747"/>
      <c r="F75" s="748"/>
      <c r="G75" s="853"/>
      <c r="H75" s="749"/>
      <c r="I75" s="746"/>
      <c r="J75" s="750"/>
      <c r="K75" s="751"/>
      <c r="L75" s="703"/>
      <c r="M75" s="703"/>
      <c r="N75" s="158"/>
      <c r="O75" s="158"/>
      <c r="P75" s="158"/>
      <c r="Q75" s="158"/>
      <c r="R75" s="158"/>
      <c r="S75" s="158"/>
      <c r="T75" s="703"/>
      <c r="U75" s="703"/>
      <c r="V75" s="703"/>
      <c r="W75" s="703"/>
      <c r="X75" s="703"/>
      <c r="Y75" s="703"/>
      <c r="Z75" s="849"/>
      <c r="AA75" s="850"/>
      <c r="AB75" s="36"/>
      <c r="AC75" s="703"/>
      <c r="AD75" s="703"/>
      <c r="AE75" s="703"/>
      <c r="AF75" s="703"/>
      <c r="AH75" s="130"/>
      <c r="AK75" s="1"/>
    </row>
    <row r="76" spans="1:37" ht="12.75" customHeight="1" x14ac:dyDescent="0.25">
      <c r="A76" s="703"/>
      <c r="B76" s="853"/>
      <c r="C76" s="745" t="s">
        <v>382</v>
      </c>
      <c r="D76" s="746"/>
      <c r="E76" s="769"/>
      <c r="F76" s="748"/>
      <c r="G76" s="770" t="s">
        <v>521</v>
      </c>
      <c r="H76" s="749" t="s">
        <v>520</v>
      </c>
      <c r="I76" s="782"/>
      <c r="J76" s="810">
        <f>[4]slicing!$H$98</f>
        <v>0</v>
      </c>
      <c r="K76" s="751"/>
      <c r="L76" s="703"/>
      <c r="M76" s="703"/>
      <c r="N76" s="158"/>
      <c r="O76" s="158"/>
      <c r="P76" s="158"/>
      <c r="Q76" s="158"/>
      <c r="R76" s="158"/>
      <c r="S76" s="158"/>
      <c r="T76" s="703"/>
      <c r="U76" s="703"/>
      <c r="V76" s="703"/>
      <c r="W76" s="703"/>
      <c r="X76" s="703"/>
      <c r="Y76" s="703"/>
      <c r="Z76" s="849"/>
      <c r="AA76" s="850"/>
      <c r="AB76" s="36"/>
      <c r="AC76" s="703"/>
      <c r="AD76" s="703"/>
      <c r="AE76" s="703"/>
      <c r="AF76" s="703"/>
      <c r="AH76" s="130"/>
      <c r="AK76" s="1"/>
    </row>
    <row r="77" spans="1:37" ht="12.75" customHeight="1" thickBot="1" x14ac:dyDescent="0.3">
      <c r="A77" s="703"/>
      <c r="B77" s="776"/>
      <c r="C77" s="772" t="s">
        <v>108</v>
      </c>
      <c r="D77" s="778">
        <f>D73-D76</f>
        <v>0</v>
      </c>
      <c r="E77" s="774">
        <f>SUM(E73:E75,-E76)</f>
        <v>0</v>
      </c>
      <c r="F77" s="775"/>
      <c r="G77" s="776"/>
      <c r="H77" s="777" t="s">
        <v>108</v>
      </c>
      <c r="I77" s="778"/>
      <c r="J77" s="779">
        <f>SUM(J73:J76)</f>
        <v>0</v>
      </c>
      <c r="K77" s="780">
        <f>+J77-E77</f>
        <v>0</v>
      </c>
      <c r="L77" s="703"/>
      <c r="M77" s="703"/>
      <c r="N77" s="158"/>
      <c r="O77" s="158"/>
      <c r="P77" s="158"/>
      <c r="Q77" s="158"/>
      <c r="R77" s="158"/>
      <c r="S77" s="158"/>
      <c r="T77" s="703"/>
      <c r="U77" s="703"/>
      <c r="V77" s="703"/>
      <c r="W77" s="703"/>
      <c r="X77" s="703"/>
      <c r="Y77" s="703"/>
      <c r="Z77" s="849"/>
      <c r="AA77" s="850"/>
      <c r="AB77" s="36"/>
      <c r="AC77" s="703"/>
      <c r="AD77" s="703"/>
      <c r="AE77" s="703"/>
      <c r="AF77" s="703"/>
      <c r="AH77" s="130"/>
      <c r="AK77" s="1"/>
    </row>
    <row r="78" spans="1:37" ht="12.75" customHeight="1" thickTop="1" x14ac:dyDescent="0.25">
      <c r="A78" s="703"/>
      <c r="B78" s="851" t="s">
        <v>12</v>
      </c>
      <c r="C78" s="745" t="s">
        <v>13</v>
      </c>
      <c r="D78" s="782"/>
      <c r="E78" s="808"/>
      <c r="F78" s="783"/>
      <c r="G78" s="851" t="s">
        <v>12</v>
      </c>
      <c r="H78" s="749" t="s">
        <v>519</v>
      </c>
      <c r="I78" s="782"/>
      <c r="J78" s="810"/>
      <c r="K78" s="751"/>
      <c r="L78" s="703"/>
      <c r="M78" s="703"/>
      <c r="N78" s="158"/>
      <c r="O78" s="158"/>
      <c r="P78" s="158"/>
      <c r="Q78" s="158"/>
      <c r="R78" s="158"/>
      <c r="S78" s="158"/>
      <c r="T78" s="703"/>
      <c r="U78" s="703"/>
      <c r="V78" s="703"/>
      <c r="W78" s="703"/>
      <c r="X78" s="703"/>
      <c r="Y78" s="703"/>
      <c r="Z78" s="849"/>
      <c r="AA78" s="850"/>
      <c r="AB78" s="36"/>
      <c r="AC78" s="703"/>
      <c r="AD78" s="703"/>
      <c r="AE78" s="703"/>
      <c r="AF78" s="703"/>
      <c r="AH78" s="130"/>
      <c r="AK78" s="1"/>
    </row>
    <row r="79" spans="1:37" ht="12.75" customHeight="1" x14ac:dyDescent="0.25">
      <c r="A79" s="703"/>
      <c r="B79" s="852"/>
      <c r="C79" s="807"/>
      <c r="D79" s="782"/>
      <c r="E79" s="808"/>
      <c r="F79" s="783"/>
      <c r="G79" s="852"/>
      <c r="H79" s="809"/>
      <c r="I79" s="782"/>
      <c r="J79" s="810"/>
      <c r="K79" s="811"/>
      <c r="L79" s="703"/>
      <c r="M79" s="703"/>
      <c r="N79" s="158"/>
      <c r="O79" s="158"/>
      <c r="P79" s="158"/>
      <c r="Q79" s="158"/>
      <c r="R79" s="158"/>
      <c r="S79" s="158"/>
      <c r="T79" s="703"/>
      <c r="U79" s="703"/>
      <c r="V79" s="703"/>
      <c r="W79" s="703"/>
      <c r="X79" s="703"/>
      <c r="Y79" s="703"/>
      <c r="Z79" s="849"/>
      <c r="AA79" s="850"/>
      <c r="AB79" s="36"/>
      <c r="AC79" s="703"/>
      <c r="AD79" s="703"/>
      <c r="AE79" s="703"/>
      <c r="AF79" s="703"/>
      <c r="AH79" s="130"/>
      <c r="AK79" s="1"/>
    </row>
    <row r="80" spans="1:37" ht="12.75" customHeight="1" x14ac:dyDescent="0.25">
      <c r="A80" s="703"/>
      <c r="B80" s="852"/>
      <c r="C80" s="745"/>
      <c r="D80" s="746"/>
      <c r="E80" s="747"/>
      <c r="F80" s="748"/>
      <c r="G80" s="853"/>
      <c r="H80" s="749"/>
      <c r="I80" s="746"/>
      <c r="J80" s="750"/>
      <c r="K80" s="751"/>
      <c r="L80" s="703"/>
      <c r="M80" s="703"/>
      <c r="N80" s="158"/>
      <c r="O80" s="158"/>
      <c r="P80" s="158"/>
      <c r="Q80" s="158"/>
      <c r="R80" s="158"/>
      <c r="S80" s="158"/>
      <c r="T80" s="703"/>
      <c r="U80" s="703"/>
      <c r="V80" s="703"/>
      <c r="W80" s="703"/>
      <c r="X80" s="703"/>
      <c r="Y80" s="703"/>
      <c r="Z80" s="849"/>
      <c r="AA80" s="850"/>
      <c r="AB80" s="36"/>
      <c r="AC80" s="703"/>
      <c r="AD80" s="703"/>
      <c r="AE80" s="703"/>
      <c r="AF80" s="703"/>
      <c r="AH80" s="130"/>
      <c r="AK80" s="1"/>
    </row>
    <row r="81" spans="1:37" ht="12.75" customHeight="1" x14ac:dyDescent="0.25">
      <c r="A81" s="703"/>
      <c r="B81" s="853"/>
      <c r="C81" s="745" t="s">
        <v>382</v>
      </c>
      <c r="D81" s="746"/>
      <c r="E81" s="769"/>
      <c r="F81" s="748"/>
      <c r="G81" s="770" t="s">
        <v>521</v>
      </c>
      <c r="H81" s="749" t="s">
        <v>518</v>
      </c>
      <c r="I81" s="746"/>
      <c r="J81" s="750"/>
      <c r="K81" s="751"/>
      <c r="L81" s="703"/>
      <c r="M81" s="703"/>
      <c r="N81" s="158"/>
      <c r="O81" s="158"/>
      <c r="P81" s="158"/>
      <c r="Q81" s="158"/>
      <c r="R81" s="158"/>
      <c r="S81" s="158"/>
      <c r="T81" s="703"/>
      <c r="U81" s="703"/>
      <c r="V81" s="703"/>
      <c r="W81" s="703"/>
      <c r="X81" s="703"/>
      <c r="Y81" s="703"/>
      <c r="Z81" s="849"/>
      <c r="AA81" s="850"/>
      <c r="AB81" s="36"/>
      <c r="AC81" s="703"/>
      <c r="AD81" s="703"/>
      <c r="AE81" s="703"/>
      <c r="AF81" s="703"/>
      <c r="AH81" s="130"/>
      <c r="AK81" s="1"/>
    </row>
    <row r="82" spans="1:37" ht="12.75" customHeight="1" thickBot="1" x14ac:dyDescent="0.3">
      <c r="A82" s="703"/>
      <c r="B82" s="776"/>
      <c r="C82" s="772" t="s">
        <v>108</v>
      </c>
      <c r="D82" s="778">
        <f>D78-D81</f>
        <v>0</v>
      </c>
      <c r="E82" s="774">
        <f>SUM(E78:E80,-E81)</f>
        <v>0</v>
      </c>
      <c r="F82" s="775"/>
      <c r="G82" s="776"/>
      <c r="H82" s="777" t="s">
        <v>108</v>
      </c>
      <c r="I82" s="778"/>
      <c r="J82" s="779">
        <f>SUM(J78:J81)</f>
        <v>0</v>
      </c>
      <c r="K82" s="780">
        <f>+J82-E82</f>
        <v>0</v>
      </c>
      <c r="L82" s="703"/>
      <c r="M82" s="703"/>
      <c r="N82" s="158"/>
      <c r="O82" s="158"/>
      <c r="P82" s="158"/>
      <c r="Q82" s="158"/>
      <c r="R82" s="158"/>
      <c r="S82" s="158"/>
      <c r="T82" s="703"/>
      <c r="U82" s="703"/>
      <c r="V82" s="703"/>
      <c r="W82" s="703"/>
      <c r="X82" s="703"/>
      <c r="Y82" s="703"/>
      <c r="Z82" s="849"/>
      <c r="AA82" s="850"/>
      <c r="AB82" s="36"/>
      <c r="AC82" s="703"/>
      <c r="AD82" s="703"/>
      <c r="AE82" s="703"/>
      <c r="AF82" s="703"/>
      <c r="AH82" s="130"/>
      <c r="AK82" s="1"/>
    </row>
    <row r="83" spans="1:37" ht="12.75" customHeight="1" thickTop="1" x14ac:dyDescent="0.25">
      <c r="A83" s="703"/>
      <c r="B83" s="862"/>
      <c r="C83" s="863" t="s">
        <v>383</v>
      </c>
      <c r="D83" s="746"/>
      <c r="E83" s="747"/>
      <c r="F83" s="748"/>
      <c r="G83" s="864"/>
      <c r="H83" s="865" t="s">
        <v>378</v>
      </c>
      <c r="I83" s="746"/>
      <c r="J83" s="750"/>
      <c r="K83" s="866"/>
      <c r="L83" s="703"/>
      <c r="M83" s="703"/>
      <c r="N83" s="158"/>
      <c r="O83" s="158"/>
      <c r="P83" s="158"/>
      <c r="Q83" s="158"/>
      <c r="R83" s="158"/>
      <c r="S83" s="158"/>
      <c r="T83" s="703"/>
      <c r="U83" s="703"/>
      <c r="V83" s="703"/>
      <c r="W83" s="703"/>
      <c r="X83" s="703"/>
      <c r="Y83" s="703"/>
      <c r="Z83" s="849"/>
      <c r="AA83" s="850"/>
      <c r="AB83" s="36"/>
      <c r="AC83" s="703"/>
      <c r="AD83" s="703"/>
      <c r="AE83" s="703"/>
      <c r="AF83" s="703"/>
      <c r="AH83" s="130"/>
      <c r="AK83" s="1"/>
    </row>
    <row r="84" spans="1:37" ht="12.75" customHeight="1" x14ac:dyDescent="0.25">
      <c r="A84" s="703"/>
      <c r="B84" s="862"/>
      <c r="C84" s="863"/>
      <c r="D84" s="746"/>
      <c r="E84" s="747"/>
      <c r="F84" s="748"/>
      <c r="G84" s="864"/>
      <c r="H84" s="867" t="s">
        <v>213</v>
      </c>
      <c r="I84" s="746"/>
      <c r="J84" s="750"/>
      <c r="K84" s="868"/>
      <c r="L84" s="703"/>
      <c r="M84" s="703"/>
      <c r="N84" s="158"/>
      <c r="O84" s="158"/>
      <c r="P84" s="158"/>
      <c r="Q84" s="158"/>
      <c r="R84" s="158"/>
      <c r="S84" s="158"/>
      <c r="T84" s="703"/>
      <c r="U84" s="703"/>
      <c r="V84" s="703"/>
      <c r="W84" s="703"/>
      <c r="X84" s="703"/>
      <c r="Y84" s="703"/>
      <c r="Z84" s="849"/>
      <c r="AA84" s="850"/>
      <c r="AB84" s="36"/>
      <c r="AC84" s="703"/>
      <c r="AD84" s="703"/>
      <c r="AE84" s="703"/>
      <c r="AF84" s="703"/>
      <c r="AH84" s="130"/>
      <c r="AK84" s="1"/>
    </row>
    <row r="85" spans="1:37" ht="12.75" customHeight="1" x14ac:dyDescent="0.25">
      <c r="A85" s="703"/>
      <c r="B85" s="862"/>
      <c r="C85" s="863" t="s">
        <v>382</v>
      </c>
      <c r="D85" s="746"/>
      <c r="E85" s="747"/>
      <c r="F85" s="748"/>
      <c r="G85" s="864"/>
      <c r="H85" s="867"/>
      <c r="I85" s="746"/>
      <c r="J85" s="750"/>
      <c r="K85" s="868"/>
      <c r="L85" s="703"/>
      <c r="M85" s="703"/>
      <c r="N85" s="158"/>
      <c r="O85" s="158"/>
      <c r="P85" s="158"/>
      <c r="Q85" s="158"/>
      <c r="R85" s="158"/>
      <c r="S85" s="158"/>
      <c r="T85" s="703"/>
      <c r="U85" s="703"/>
      <c r="V85" s="703"/>
      <c r="W85" s="703"/>
      <c r="X85" s="703"/>
      <c r="Y85" s="703"/>
      <c r="Z85" s="849"/>
      <c r="AA85" s="850"/>
      <c r="AB85" s="36"/>
      <c r="AC85" s="703"/>
      <c r="AD85" s="703"/>
      <c r="AE85" s="703"/>
      <c r="AF85" s="703"/>
      <c r="AH85" s="130"/>
      <c r="AK85" s="1"/>
    </row>
    <row r="86" spans="1:37" ht="12.75" customHeight="1" thickBot="1" x14ac:dyDescent="0.3">
      <c r="A86" s="703"/>
      <c r="B86" s="869"/>
      <c r="C86" s="870" t="s">
        <v>108</v>
      </c>
      <c r="D86" s="871">
        <f>D83-D85</f>
        <v>0</v>
      </c>
      <c r="E86" s="774">
        <f>SUM(E83:E84,-E85)</f>
        <v>0</v>
      </c>
      <c r="F86" s="872"/>
      <c r="G86" s="873"/>
      <c r="H86" s="874" t="s">
        <v>108</v>
      </c>
      <c r="I86" s="871"/>
      <c r="J86" s="875">
        <f>+J83+J85+J84</f>
        <v>0</v>
      </c>
      <c r="K86" s="780">
        <f>+J86-E86</f>
        <v>0</v>
      </c>
      <c r="L86" s="703"/>
      <c r="M86" s="703"/>
      <c r="N86" s="158"/>
      <c r="O86" s="158"/>
      <c r="P86" s="158"/>
      <c r="Q86" s="158"/>
      <c r="R86" s="158"/>
      <c r="S86" s="158"/>
      <c r="T86" s="703"/>
      <c r="U86" s="703"/>
      <c r="V86" s="703"/>
      <c r="W86" s="703"/>
      <c r="X86" s="703"/>
      <c r="Y86" s="703"/>
      <c r="Z86" s="849"/>
      <c r="AA86" s="850"/>
      <c r="AB86" s="36"/>
      <c r="AC86" s="703"/>
      <c r="AD86" s="703"/>
      <c r="AE86" s="703"/>
      <c r="AF86" s="703"/>
      <c r="AH86" s="130"/>
      <c r="AK86" s="1"/>
    </row>
    <row r="87" spans="1:37" ht="12.75" customHeight="1" thickTop="1" x14ac:dyDescent="0.25">
      <c r="A87" s="703"/>
      <c r="B87" s="876"/>
      <c r="C87" s="877" t="s">
        <v>384</v>
      </c>
      <c r="D87" s="782"/>
      <c r="E87" s="808"/>
      <c r="F87" s="783"/>
      <c r="G87" s="878"/>
      <c r="H87" s="879" t="s">
        <v>385</v>
      </c>
      <c r="I87" s="782"/>
      <c r="J87" s="810"/>
      <c r="K87" s="866"/>
      <c r="L87" s="703"/>
      <c r="M87" s="703"/>
      <c r="N87" s="158"/>
      <c r="O87" s="158"/>
      <c r="P87" s="158"/>
      <c r="Q87" s="158"/>
      <c r="R87" s="158"/>
      <c r="S87" s="158"/>
      <c r="T87" s="703"/>
      <c r="U87" s="703"/>
      <c r="V87" s="703"/>
      <c r="W87" s="703"/>
      <c r="X87" s="703"/>
      <c r="Y87" s="703"/>
      <c r="Z87" s="849"/>
      <c r="AA87" s="850"/>
      <c r="AB87" s="36"/>
      <c r="AC87" s="703"/>
      <c r="AD87" s="703"/>
      <c r="AE87" s="703"/>
      <c r="AF87" s="703"/>
      <c r="AH87" s="130"/>
      <c r="AK87" s="1"/>
    </row>
    <row r="88" spans="1:37" ht="12.75" customHeight="1" x14ac:dyDescent="0.25">
      <c r="A88" s="703"/>
      <c r="B88" s="876"/>
      <c r="C88" s="877"/>
      <c r="D88" s="782"/>
      <c r="E88" s="808"/>
      <c r="F88" s="783"/>
      <c r="G88" s="878"/>
      <c r="H88" s="880"/>
      <c r="I88" s="782"/>
      <c r="J88" s="810"/>
      <c r="K88" s="866"/>
      <c r="L88" s="703"/>
      <c r="M88" s="703"/>
      <c r="N88" s="158"/>
      <c r="O88" s="158"/>
      <c r="P88" s="158"/>
      <c r="Q88" s="158"/>
      <c r="R88" s="158"/>
      <c r="S88" s="158"/>
      <c r="T88" s="703"/>
      <c r="U88" s="703"/>
      <c r="V88" s="703"/>
      <c r="W88" s="703"/>
      <c r="X88" s="703"/>
      <c r="Y88" s="703"/>
      <c r="Z88" s="849"/>
      <c r="AA88" s="850"/>
      <c r="AB88" s="36"/>
      <c r="AC88" s="703"/>
      <c r="AD88" s="703"/>
      <c r="AE88" s="703"/>
      <c r="AF88" s="703"/>
      <c r="AH88" s="130"/>
      <c r="AK88" s="1"/>
    </row>
    <row r="89" spans="1:37" ht="12.75" customHeight="1" x14ac:dyDescent="0.25">
      <c r="A89" s="703"/>
      <c r="B89" s="862"/>
      <c r="C89" s="863"/>
      <c r="D89" s="746"/>
      <c r="E89" s="747"/>
      <c r="F89" s="748"/>
      <c r="G89" s="864"/>
      <c r="H89" s="867"/>
      <c r="I89" s="746"/>
      <c r="J89" s="750"/>
      <c r="K89" s="868"/>
      <c r="L89" s="703"/>
      <c r="M89" s="703"/>
      <c r="N89" s="158"/>
      <c r="O89" s="158"/>
      <c r="P89" s="158"/>
      <c r="Q89" s="158"/>
      <c r="R89" s="158"/>
      <c r="S89" s="158"/>
      <c r="T89" s="703"/>
      <c r="U89" s="703"/>
      <c r="V89" s="703"/>
      <c r="W89" s="703"/>
      <c r="X89" s="703"/>
      <c r="Y89" s="703"/>
      <c r="Z89" s="849"/>
      <c r="AA89" s="850"/>
      <c r="AB89" s="36"/>
      <c r="AC89" s="703"/>
      <c r="AD89" s="703"/>
      <c r="AE89" s="703"/>
      <c r="AF89" s="703"/>
      <c r="AH89" s="130"/>
      <c r="AK89" s="1"/>
    </row>
    <row r="90" spans="1:37" ht="12.75" customHeight="1" x14ac:dyDescent="0.25">
      <c r="A90" s="703"/>
      <c r="B90" s="862"/>
      <c r="C90" s="863" t="s">
        <v>382</v>
      </c>
      <c r="D90" s="746"/>
      <c r="E90" s="747"/>
      <c r="F90" s="748"/>
      <c r="G90" s="864"/>
      <c r="H90" s="867"/>
      <c r="I90" s="746"/>
      <c r="J90" s="750"/>
      <c r="K90" s="868"/>
      <c r="L90" s="703"/>
      <c r="M90" s="703"/>
      <c r="N90" s="158"/>
      <c r="O90" s="158"/>
      <c r="P90" s="158"/>
      <c r="Q90" s="158"/>
      <c r="R90" s="158"/>
      <c r="S90" s="158"/>
      <c r="T90" s="703"/>
      <c r="U90" s="703"/>
      <c r="V90" s="703"/>
      <c r="W90" s="703"/>
      <c r="X90" s="703"/>
      <c r="Y90" s="703"/>
      <c r="Z90" s="849"/>
      <c r="AA90" s="850"/>
      <c r="AB90" s="36"/>
      <c r="AC90" s="703"/>
      <c r="AD90" s="703"/>
      <c r="AE90" s="703"/>
      <c r="AF90" s="703"/>
      <c r="AH90" s="130"/>
      <c r="AK90" s="1"/>
    </row>
    <row r="91" spans="1:37" ht="12.75" customHeight="1" thickBot="1" x14ac:dyDescent="0.3">
      <c r="A91" s="703"/>
      <c r="B91" s="869"/>
      <c r="C91" s="870" t="s">
        <v>108</v>
      </c>
      <c r="D91" s="871">
        <f>D87-D90</f>
        <v>0</v>
      </c>
      <c r="E91" s="774">
        <f>SUM(E87:E89,-E90)</f>
        <v>0</v>
      </c>
      <c r="F91" s="872"/>
      <c r="G91" s="873"/>
      <c r="H91" s="874" t="s">
        <v>108</v>
      </c>
      <c r="I91" s="871"/>
      <c r="J91" s="875">
        <f>J87+J88+J89+J90</f>
        <v>0</v>
      </c>
      <c r="K91" s="780">
        <f>+J91-E91</f>
        <v>0</v>
      </c>
      <c r="L91" s="703"/>
      <c r="M91" s="703"/>
      <c r="N91" s="158"/>
      <c r="O91" s="158"/>
      <c r="P91" s="158"/>
      <c r="Q91" s="158"/>
      <c r="R91" s="158"/>
      <c r="S91" s="158"/>
      <c r="T91" s="703"/>
      <c r="U91" s="703"/>
      <c r="V91" s="703"/>
      <c r="W91" s="703"/>
      <c r="X91" s="703"/>
      <c r="Y91" s="703"/>
      <c r="Z91" s="849"/>
      <c r="AA91" s="850"/>
      <c r="AB91" s="36"/>
      <c r="AC91" s="703"/>
      <c r="AD91" s="703"/>
      <c r="AE91" s="703"/>
      <c r="AF91" s="703"/>
      <c r="AH91" s="130"/>
      <c r="AK91" s="1"/>
    </row>
    <row r="92" spans="1:37" ht="12.75" customHeight="1" thickTop="1" x14ac:dyDescent="0.25">
      <c r="A92" s="703"/>
      <c r="B92" s="876"/>
      <c r="C92" s="877" t="s">
        <v>391</v>
      </c>
      <c r="D92" s="782"/>
      <c r="E92" s="808"/>
      <c r="F92" s="783"/>
      <c r="G92" s="878"/>
      <c r="H92" s="880" t="s">
        <v>392</v>
      </c>
      <c r="I92" s="782"/>
      <c r="J92" s="810"/>
      <c r="K92" s="866"/>
      <c r="L92" s="703"/>
      <c r="M92" s="703"/>
      <c r="N92" s="158"/>
      <c r="O92" s="158"/>
      <c r="P92" s="158"/>
      <c r="Q92" s="158"/>
      <c r="R92" s="158"/>
      <c r="S92" s="158"/>
      <c r="T92" s="703"/>
      <c r="U92" s="703"/>
      <c r="V92" s="703"/>
      <c r="W92" s="703"/>
      <c r="X92" s="703"/>
      <c r="Y92" s="703"/>
      <c r="Z92" s="849"/>
      <c r="AA92" s="850"/>
      <c r="AB92" s="36"/>
      <c r="AC92" s="703"/>
      <c r="AD92" s="703"/>
      <c r="AE92" s="703"/>
      <c r="AF92" s="703"/>
      <c r="AH92" s="130"/>
      <c r="AK92" s="1"/>
    </row>
    <row r="93" spans="1:37" ht="12.75" customHeight="1" x14ac:dyDescent="0.25">
      <c r="A93" s="703"/>
      <c r="B93" s="876"/>
      <c r="C93" s="877"/>
      <c r="D93" s="782"/>
      <c r="E93" s="808"/>
      <c r="F93" s="783"/>
      <c r="G93" s="878"/>
      <c r="H93" s="867"/>
      <c r="I93" s="782"/>
      <c r="J93" s="810"/>
      <c r="K93" s="866"/>
      <c r="L93" s="703"/>
      <c r="M93" s="703"/>
      <c r="N93" s="158"/>
      <c r="O93" s="158"/>
      <c r="P93" s="158"/>
      <c r="Q93" s="158"/>
      <c r="R93" s="158"/>
      <c r="S93" s="158"/>
      <c r="T93" s="703"/>
      <c r="U93" s="703"/>
      <c r="V93" s="703"/>
      <c r="W93" s="703"/>
      <c r="X93" s="703"/>
      <c r="Y93" s="703"/>
      <c r="Z93" s="849"/>
      <c r="AA93" s="850"/>
      <c r="AB93" s="36"/>
      <c r="AC93" s="703"/>
      <c r="AD93" s="703"/>
      <c r="AE93" s="703"/>
      <c r="AF93" s="703"/>
      <c r="AH93" s="130"/>
      <c r="AK93" s="1"/>
    </row>
    <row r="94" spans="1:37" ht="12.75" customHeight="1" x14ac:dyDescent="0.25">
      <c r="A94" s="703"/>
      <c r="B94" s="862"/>
      <c r="C94" s="863"/>
      <c r="D94" s="746"/>
      <c r="E94" s="747"/>
      <c r="F94" s="748"/>
      <c r="G94" s="864"/>
      <c r="H94" s="867" t="s">
        <v>241</v>
      </c>
      <c r="I94" s="746"/>
      <c r="J94" s="750"/>
      <c r="K94" s="868"/>
      <c r="L94" s="703"/>
      <c r="M94" s="703"/>
      <c r="N94" s="158"/>
      <c r="O94" s="158"/>
      <c r="P94" s="158"/>
      <c r="Q94" s="158"/>
      <c r="R94" s="158"/>
      <c r="S94" s="158"/>
      <c r="T94" s="703"/>
      <c r="U94" s="703"/>
      <c r="V94" s="703"/>
      <c r="W94" s="703"/>
      <c r="X94" s="703"/>
      <c r="Y94" s="703"/>
      <c r="Z94" s="849"/>
      <c r="AA94" s="850"/>
      <c r="AB94" s="36"/>
      <c r="AC94" s="703"/>
      <c r="AD94" s="703"/>
      <c r="AE94" s="703"/>
      <c r="AF94" s="703"/>
      <c r="AH94" s="130"/>
      <c r="AK94" s="1"/>
    </row>
    <row r="95" spans="1:37" ht="12.75" customHeight="1" x14ac:dyDescent="0.25">
      <c r="A95" s="703"/>
      <c r="B95" s="862"/>
      <c r="C95" s="863" t="s">
        <v>382</v>
      </c>
      <c r="D95" s="746"/>
      <c r="E95" s="747"/>
      <c r="F95" s="748"/>
      <c r="G95" s="864"/>
      <c r="H95" s="867" t="s">
        <v>365</v>
      </c>
      <c r="I95" s="746"/>
      <c r="J95" s="750"/>
      <c r="K95" s="868"/>
      <c r="L95" s="703"/>
      <c r="M95" s="703"/>
      <c r="N95" s="158"/>
      <c r="O95" s="158"/>
      <c r="P95" s="158"/>
      <c r="Q95" s="158"/>
      <c r="R95" s="158"/>
      <c r="S95" s="158"/>
      <c r="T95" s="703"/>
      <c r="U95" s="703"/>
      <c r="V95" s="703"/>
      <c r="W95" s="703"/>
      <c r="X95" s="703"/>
      <c r="Y95" s="703"/>
      <c r="Z95" s="849"/>
      <c r="AA95" s="850"/>
      <c r="AB95" s="36"/>
      <c r="AC95" s="703"/>
      <c r="AD95" s="703"/>
      <c r="AE95" s="703"/>
      <c r="AF95" s="703"/>
      <c r="AH95" s="130"/>
      <c r="AK95" s="1"/>
    </row>
    <row r="96" spans="1:37" ht="12.75" customHeight="1" thickBot="1" x14ac:dyDescent="0.3">
      <c r="A96" s="703"/>
      <c r="B96" s="869"/>
      <c r="C96" s="870" t="s">
        <v>108</v>
      </c>
      <c r="D96" s="871">
        <f>D92-D95</f>
        <v>0</v>
      </c>
      <c r="E96" s="774">
        <f>SUM(E92:E94,-E95)</f>
        <v>0</v>
      </c>
      <c r="F96" s="872"/>
      <c r="G96" s="873"/>
      <c r="H96" s="874" t="s">
        <v>108</v>
      </c>
      <c r="I96" s="871"/>
      <c r="J96" s="875">
        <f>J92+J93+J94+J95</f>
        <v>0</v>
      </c>
      <c r="K96" s="780">
        <f>+J96-E96</f>
        <v>0</v>
      </c>
      <c r="L96" s="703"/>
      <c r="M96" s="703"/>
      <c r="N96" s="158"/>
      <c r="O96" s="158"/>
      <c r="P96" s="158"/>
      <c r="Q96" s="158"/>
      <c r="R96" s="158"/>
      <c r="S96" s="158"/>
      <c r="T96" s="703"/>
      <c r="U96" s="703"/>
      <c r="V96" s="703"/>
      <c r="W96" s="703"/>
      <c r="X96" s="703"/>
      <c r="Y96" s="703"/>
      <c r="Z96" s="849"/>
      <c r="AA96" s="850"/>
      <c r="AB96" s="36"/>
      <c r="AC96" s="703"/>
      <c r="AD96" s="703"/>
      <c r="AE96" s="703"/>
      <c r="AF96" s="703"/>
      <c r="AH96" s="130"/>
      <c r="AK96" s="1"/>
    </row>
    <row r="97" spans="1:37" ht="12.75" customHeight="1" thickTop="1" x14ac:dyDescent="0.25">
      <c r="A97" s="703"/>
      <c r="B97" s="876"/>
      <c r="C97" s="877" t="s">
        <v>369</v>
      </c>
      <c r="D97" s="782"/>
      <c r="E97" s="808"/>
      <c r="F97" s="783"/>
      <c r="G97" s="878"/>
      <c r="H97" s="880" t="s">
        <v>18</v>
      </c>
      <c r="I97" s="782"/>
      <c r="J97" s="810"/>
      <c r="K97" s="881"/>
      <c r="L97" s="703"/>
      <c r="M97" s="703"/>
      <c r="N97" s="158"/>
      <c r="O97" s="158"/>
      <c r="P97" s="158"/>
      <c r="Q97" s="158"/>
      <c r="R97" s="158"/>
      <c r="S97" s="158"/>
      <c r="T97" s="703"/>
      <c r="U97" s="703"/>
      <c r="V97" s="703"/>
      <c r="W97" s="703"/>
      <c r="X97" s="703"/>
      <c r="Y97" s="703"/>
      <c r="Z97" s="849"/>
      <c r="AA97" s="850"/>
      <c r="AB97" s="36"/>
      <c r="AC97" s="703"/>
      <c r="AD97" s="703"/>
      <c r="AE97" s="703"/>
      <c r="AF97" s="703"/>
      <c r="AH97" s="130"/>
      <c r="AK97" s="1"/>
    </row>
    <row r="98" spans="1:37" ht="12.75" customHeight="1" x14ac:dyDescent="0.25">
      <c r="A98" s="703"/>
      <c r="B98" s="862"/>
      <c r="C98" s="863"/>
      <c r="D98" s="746"/>
      <c r="E98" s="747"/>
      <c r="F98" s="748"/>
      <c r="G98" s="864"/>
      <c r="H98" s="867" t="s">
        <v>370</v>
      </c>
      <c r="I98" s="746"/>
      <c r="J98" s="750"/>
      <c r="K98" s="868"/>
      <c r="L98" s="703"/>
      <c r="M98" s="703"/>
      <c r="N98" s="158"/>
      <c r="O98" s="158"/>
      <c r="P98" s="158"/>
      <c r="Q98" s="158"/>
      <c r="R98" s="158"/>
      <c r="S98" s="158"/>
      <c r="T98" s="703"/>
      <c r="U98" s="703"/>
      <c r="V98" s="703"/>
      <c r="W98" s="703"/>
      <c r="X98" s="703"/>
      <c r="Y98" s="703"/>
      <c r="Z98" s="849"/>
      <c r="AA98" s="850"/>
      <c r="AB98" s="36"/>
      <c r="AC98" s="703"/>
      <c r="AD98" s="703"/>
      <c r="AE98" s="703"/>
      <c r="AF98" s="703"/>
      <c r="AH98" s="130"/>
      <c r="AK98" s="1"/>
    </row>
    <row r="99" spans="1:37" ht="12.75" customHeight="1" x14ac:dyDescent="0.25">
      <c r="A99" s="703"/>
      <c r="B99" s="862"/>
      <c r="C99" s="863" t="s">
        <v>355</v>
      </c>
      <c r="D99" s="746"/>
      <c r="E99" s="747"/>
      <c r="F99" s="748"/>
      <c r="G99" s="864"/>
      <c r="H99" s="867" t="s">
        <v>241</v>
      </c>
      <c r="I99" s="746"/>
      <c r="J99" s="750"/>
      <c r="K99" s="868"/>
      <c r="L99" s="703"/>
      <c r="M99" s="703"/>
      <c r="N99" s="158"/>
      <c r="O99" s="158"/>
      <c r="P99" s="158"/>
      <c r="Q99" s="158"/>
      <c r="R99" s="158"/>
      <c r="S99" s="158"/>
      <c r="T99" s="703"/>
      <c r="U99" s="703"/>
      <c r="V99" s="703"/>
      <c r="W99" s="703"/>
      <c r="X99" s="703"/>
      <c r="Y99" s="703"/>
      <c r="Z99" s="849"/>
      <c r="AA99" s="850"/>
      <c r="AB99" s="36"/>
      <c r="AC99" s="703"/>
      <c r="AD99" s="703"/>
      <c r="AE99" s="703"/>
      <c r="AF99" s="703"/>
      <c r="AH99" s="130"/>
      <c r="AK99" s="1"/>
    </row>
    <row r="100" spans="1:37" ht="12.75" customHeight="1" thickBot="1" x14ac:dyDescent="0.3">
      <c r="A100" s="703"/>
      <c r="B100" s="869"/>
      <c r="C100" s="870" t="s">
        <v>108</v>
      </c>
      <c r="D100" s="871">
        <f>D97-D99</f>
        <v>0</v>
      </c>
      <c r="E100" s="774">
        <f>SUM(E97:E98,-E99)</f>
        <v>0</v>
      </c>
      <c r="F100" s="872"/>
      <c r="G100" s="873"/>
      <c r="H100" s="874" t="s">
        <v>108</v>
      </c>
      <c r="I100" s="871"/>
      <c r="J100" s="875">
        <f>+J97+J98+J99</f>
        <v>0</v>
      </c>
      <c r="K100" s="780">
        <f>+J100-E100</f>
        <v>0</v>
      </c>
      <c r="L100" s="703"/>
      <c r="M100" s="703"/>
      <c r="N100" s="158"/>
      <c r="O100" s="158"/>
      <c r="P100" s="158"/>
      <c r="Q100" s="158"/>
      <c r="R100" s="158"/>
      <c r="S100" s="158"/>
      <c r="T100" s="703"/>
      <c r="U100" s="703"/>
      <c r="V100" s="703"/>
      <c r="W100" s="703"/>
      <c r="X100" s="703"/>
      <c r="Y100" s="703"/>
      <c r="Z100" s="849"/>
      <c r="AA100" s="850"/>
      <c r="AB100" s="36"/>
      <c r="AC100" s="703"/>
      <c r="AD100" s="703"/>
      <c r="AE100" s="703"/>
      <c r="AF100" s="703"/>
      <c r="AH100" s="130"/>
      <c r="AK100" s="1"/>
    </row>
    <row r="101" spans="1:37" ht="12.75" customHeight="1" thickTop="1" x14ac:dyDescent="0.25">
      <c r="A101" s="703"/>
      <c r="B101" s="876"/>
      <c r="C101" s="877" t="s">
        <v>377</v>
      </c>
      <c r="D101" s="746"/>
      <c r="E101" s="747"/>
      <c r="F101" s="783"/>
      <c r="G101" s="878"/>
      <c r="H101" s="880" t="s">
        <v>378</v>
      </c>
      <c r="I101" s="782"/>
      <c r="J101" s="810"/>
      <c r="K101" s="866"/>
      <c r="L101" s="703"/>
      <c r="M101" s="703"/>
      <c r="N101" s="158"/>
      <c r="O101" s="158"/>
      <c r="P101" s="158"/>
      <c r="Q101" s="158"/>
      <c r="R101" s="158"/>
      <c r="S101" s="158"/>
      <c r="T101" s="703"/>
      <c r="U101" s="703"/>
      <c r="V101" s="703"/>
      <c r="W101" s="703"/>
      <c r="X101" s="703"/>
      <c r="Y101" s="703"/>
      <c r="Z101" s="849"/>
      <c r="AA101" s="850"/>
      <c r="AB101" s="36"/>
      <c r="AC101" s="703"/>
      <c r="AD101" s="703"/>
      <c r="AE101" s="703"/>
      <c r="AF101" s="703"/>
      <c r="AH101" s="130"/>
      <c r="AK101" s="1"/>
    </row>
    <row r="102" spans="1:37" ht="12.75" customHeight="1" x14ac:dyDescent="0.25">
      <c r="A102" s="703"/>
      <c r="B102" s="862"/>
      <c r="C102" s="863"/>
      <c r="D102" s="746"/>
      <c r="E102" s="747"/>
      <c r="F102" s="748"/>
      <c r="G102" s="864"/>
      <c r="H102" s="880" t="s">
        <v>213</v>
      </c>
      <c r="I102" s="782"/>
      <c r="J102" s="810"/>
      <c r="K102" s="868"/>
      <c r="L102" s="703"/>
      <c r="M102" s="703"/>
      <c r="N102" s="158"/>
      <c r="O102" s="158"/>
      <c r="P102" s="158"/>
      <c r="Q102" s="158"/>
      <c r="R102" s="158"/>
      <c r="S102" s="158"/>
      <c r="T102" s="703"/>
      <c r="U102" s="703"/>
      <c r="V102" s="703"/>
      <c r="W102" s="703"/>
      <c r="X102" s="703"/>
      <c r="Y102" s="703"/>
      <c r="Z102" s="849"/>
      <c r="AA102" s="850"/>
      <c r="AB102" s="36"/>
      <c r="AC102" s="703"/>
      <c r="AD102" s="703"/>
      <c r="AE102" s="703"/>
      <c r="AF102" s="703"/>
      <c r="AH102" s="130"/>
      <c r="AK102" s="1"/>
    </row>
    <row r="103" spans="1:37" ht="12.75" customHeight="1" x14ac:dyDescent="0.25">
      <c r="A103" s="703"/>
      <c r="B103" s="862"/>
      <c r="C103" s="863" t="s">
        <v>355</v>
      </c>
      <c r="D103" s="746"/>
      <c r="E103" s="747"/>
      <c r="F103" s="748"/>
      <c r="G103" s="864"/>
      <c r="H103" s="867"/>
      <c r="I103" s="746"/>
      <c r="J103" s="810"/>
      <c r="K103" s="868"/>
      <c r="L103" s="703"/>
      <c r="M103" s="703"/>
      <c r="N103" s="158"/>
      <c r="O103" s="158"/>
      <c r="P103" s="158"/>
      <c r="Q103" s="158"/>
      <c r="R103" s="158"/>
      <c r="S103" s="158"/>
      <c r="T103" s="703"/>
      <c r="U103" s="703"/>
      <c r="V103" s="703"/>
      <c r="W103" s="703"/>
      <c r="X103" s="703"/>
      <c r="Y103" s="703"/>
      <c r="Z103" s="849"/>
      <c r="AA103" s="850"/>
      <c r="AB103" s="36"/>
      <c r="AC103" s="703"/>
      <c r="AD103" s="703"/>
      <c r="AE103" s="703"/>
      <c r="AF103" s="703"/>
      <c r="AH103" s="130"/>
      <c r="AK103" s="1"/>
    </row>
    <row r="104" spans="1:37" ht="12.75" customHeight="1" thickBot="1" x14ac:dyDescent="0.3">
      <c r="A104" s="703"/>
      <c r="B104" s="869"/>
      <c r="C104" s="870" t="s">
        <v>108</v>
      </c>
      <c r="D104" s="871">
        <f>D101-D103</f>
        <v>0</v>
      </c>
      <c r="E104" s="774">
        <f>SUM(E101:E102,-E103)</f>
        <v>0</v>
      </c>
      <c r="F104" s="872"/>
      <c r="G104" s="873"/>
      <c r="H104" s="874" t="s">
        <v>108</v>
      </c>
      <c r="I104" s="871"/>
      <c r="J104" s="875">
        <f>SUM(J101:J103)</f>
        <v>0</v>
      </c>
      <c r="K104" s="780">
        <f>+J104-E104</f>
        <v>0</v>
      </c>
      <c r="L104" s="703"/>
      <c r="M104" s="703"/>
      <c r="N104" s="158"/>
      <c r="O104" s="158"/>
      <c r="P104" s="158"/>
      <c r="Q104" s="158"/>
      <c r="R104" s="158"/>
      <c r="S104" s="158"/>
      <c r="T104" s="703"/>
      <c r="U104" s="703"/>
      <c r="V104" s="703"/>
      <c r="W104" s="703"/>
      <c r="X104" s="703"/>
      <c r="Y104" s="703"/>
      <c r="Z104" s="849"/>
      <c r="AA104" s="850"/>
      <c r="AB104" s="36"/>
      <c r="AC104" s="703"/>
      <c r="AD104" s="703"/>
      <c r="AE104" s="703"/>
      <c r="AF104" s="703"/>
      <c r="AH104" s="130"/>
      <c r="AK104" s="1"/>
    </row>
    <row r="105" spans="1:37" ht="12.75" customHeight="1" thickTop="1" x14ac:dyDescent="0.25">
      <c r="A105" s="703"/>
      <c r="B105" s="876"/>
      <c r="C105" s="877" t="s">
        <v>350</v>
      </c>
      <c r="D105" s="782"/>
      <c r="E105" s="808"/>
      <c r="F105" s="783"/>
      <c r="G105" s="878"/>
      <c r="H105" s="880" t="s">
        <v>379</v>
      </c>
      <c r="I105" s="782"/>
      <c r="J105" s="810"/>
      <c r="K105" s="866"/>
      <c r="L105" s="703"/>
      <c r="M105" s="703"/>
      <c r="N105" s="158"/>
      <c r="O105" s="158"/>
      <c r="P105" s="158"/>
      <c r="Q105" s="158"/>
      <c r="R105" s="158"/>
      <c r="S105" s="158"/>
      <c r="T105" s="703"/>
      <c r="U105" s="703"/>
      <c r="V105" s="703"/>
      <c r="W105" s="703"/>
      <c r="X105" s="703"/>
      <c r="Y105" s="703"/>
      <c r="Z105" s="849"/>
      <c r="AA105" s="850"/>
      <c r="AB105" s="36"/>
      <c r="AC105" s="703"/>
      <c r="AD105" s="703"/>
      <c r="AE105" s="703"/>
      <c r="AF105" s="703"/>
      <c r="AH105" s="130"/>
      <c r="AK105" s="1"/>
    </row>
    <row r="106" spans="1:37" ht="12.75" customHeight="1" x14ac:dyDescent="0.25">
      <c r="A106" s="703"/>
      <c r="B106" s="876"/>
      <c r="C106" s="877"/>
      <c r="D106" s="782"/>
      <c r="E106" s="808"/>
      <c r="F106" s="783"/>
      <c r="G106" s="878"/>
      <c r="H106" s="880" t="s">
        <v>370</v>
      </c>
      <c r="I106" s="782"/>
      <c r="J106" s="810"/>
      <c r="K106" s="866"/>
      <c r="L106" s="703"/>
      <c r="M106" s="703"/>
      <c r="N106" s="158"/>
      <c r="O106" s="158"/>
      <c r="P106" s="158"/>
      <c r="Q106" s="158"/>
      <c r="R106" s="158"/>
      <c r="S106" s="158"/>
      <c r="T106" s="703"/>
      <c r="U106" s="703"/>
      <c r="V106" s="703"/>
      <c r="W106" s="703"/>
      <c r="X106" s="703"/>
      <c r="Y106" s="703"/>
      <c r="Z106" s="849"/>
      <c r="AA106" s="850"/>
      <c r="AB106" s="36"/>
      <c r="AC106" s="703"/>
      <c r="AD106" s="703"/>
      <c r="AE106" s="703"/>
      <c r="AF106" s="703"/>
      <c r="AH106" s="130"/>
      <c r="AK106" s="1"/>
    </row>
    <row r="107" spans="1:37" ht="12.75" customHeight="1" x14ac:dyDescent="0.25">
      <c r="A107" s="703"/>
      <c r="B107" s="862"/>
      <c r="C107" s="863" t="s">
        <v>355</v>
      </c>
      <c r="D107" s="746"/>
      <c r="E107" s="747"/>
      <c r="F107" s="748"/>
      <c r="G107" s="864"/>
      <c r="H107" s="867" t="s">
        <v>380</v>
      </c>
      <c r="I107" s="746"/>
      <c r="J107" s="750"/>
      <c r="K107" s="868"/>
      <c r="L107" s="703"/>
      <c r="M107" s="703"/>
      <c r="N107" s="158"/>
      <c r="O107" s="158"/>
      <c r="P107" s="158"/>
      <c r="Q107" s="158"/>
      <c r="R107" s="158"/>
      <c r="S107" s="158"/>
      <c r="T107" s="703"/>
      <c r="U107" s="703"/>
      <c r="V107" s="703"/>
      <c r="W107" s="703"/>
      <c r="X107" s="703"/>
      <c r="Y107" s="703"/>
      <c r="Z107" s="849"/>
      <c r="AA107" s="850"/>
      <c r="AB107" s="36"/>
      <c r="AC107" s="703"/>
      <c r="AD107" s="703"/>
      <c r="AE107" s="703"/>
      <c r="AF107" s="703"/>
      <c r="AH107" s="130"/>
      <c r="AK107" s="1"/>
    </row>
    <row r="108" spans="1:37" ht="12.75" customHeight="1" thickBot="1" x14ac:dyDescent="0.3">
      <c r="A108" s="703"/>
      <c r="B108" s="869"/>
      <c r="C108" s="870" t="s">
        <v>108</v>
      </c>
      <c r="D108" s="871">
        <f>D105-D107</f>
        <v>0</v>
      </c>
      <c r="E108" s="774">
        <f>SUM(E105:E106,-E107)</f>
        <v>0</v>
      </c>
      <c r="F108" s="872"/>
      <c r="G108" s="873"/>
      <c r="H108" s="874" t="s">
        <v>108</v>
      </c>
      <c r="I108" s="871"/>
      <c r="J108" s="875">
        <f>J105+J106+J107</f>
        <v>0</v>
      </c>
      <c r="K108" s="780">
        <f>+J108-E108</f>
        <v>0</v>
      </c>
      <c r="L108" s="703"/>
      <c r="M108" s="703"/>
      <c r="N108" s="158"/>
      <c r="O108" s="158"/>
      <c r="P108" s="158"/>
      <c r="Q108" s="158"/>
      <c r="R108" s="158"/>
      <c r="S108" s="158"/>
      <c r="T108" s="703"/>
      <c r="U108" s="703"/>
      <c r="V108" s="703"/>
      <c r="W108" s="703"/>
      <c r="X108" s="703"/>
      <c r="Y108" s="703"/>
      <c r="Z108" s="849"/>
      <c r="AA108" s="850"/>
      <c r="AB108" s="36"/>
      <c r="AC108" s="703"/>
      <c r="AD108" s="703"/>
      <c r="AE108" s="703"/>
      <c r="AF108" s="703"/>
      <c r="AH108" s="130"/>
      <c r="AK108" s="1"/>
    </row>
    <row r="109" spans="1:37" ht="12.75" customHeight="1" thickTop="1" x14ac:dyDescent="0.25">
      <c r="A109" s="703"/>
      <c r="B109" s="876"/>
      <c r="C109" s="877" t="s">
        <v>58</v>
      </c>
      <c r="D109" s="782"/>
      <c r="E109" s="808">
        <v>0</v>
      </c>
      <c r="F109" s="783"/>
      <c r="G109" s="878"/>
      <c r="H109" s="880" t="s">
        <v>541</v>
      </c>
      <c r="I109" s="782"/>
      <c r="J109" s="810">
        <v>0</v>
      </c>
      <c r="K109" s="866"/>
      <c r="L109" s="703"/>
      <c r="M109" s="703"/>
      <c r="N109" s="158"/>
      <c r="O109" s="158"/>
      <c r="P109" s="158"/>
      <c r="Q109" s="158"/>
      <c r="R109" s="158"/>
      <c r="S109" s="158"/>
      <c r="T109" s="703"/>
      <c r="U109" s="703"/>
      <c r="V109" s="703"/>
      <c r="W109" s="703"/>
      <c r="X109" s="703"/>
      <c r="Y109" s="703"/>
      <c r="Z109" s="849"/>
      <c r="AA109" s="850"/>
      <c r="AB109" s="36"/>
      <c r="AC109" s="703"/>
      <c r="AD109" s="703"/>
      <c r="AE109" s="703"/>
      <c r="AF109" s="703"/>
      <c r="AH109" s="130"/>
      <c r="AK109" s="1"/>
    </row>
    <row r="110" spans="1:37" ht="12.75" customHeight="1" x14ac:dyDescent="0.25">
      <c r="A110" s="703"/>
      <c r="B110" s="876"/>
      <c r="C110" s="877"/>
      <c r="D110" s="782"/>
      <c r="E110" s="808"/>
      <c r="F110" s="783"/>
      <c r="G110" s="878"/>
      <c r="H110" s="880" t="s">
        <v>531</v>
      </c>
      <c r="I110" s="782"/>
      <c r="J110" s="810"/>
      <c r="K110" s="866"/>
      <c r="L110" s="703"/>
      <c r="M110" s="703"/>
      <c r="N110" s="158"/>
      <c r="O110" s="158"/>
      <c r="P110" s="158"/>
      <c r="Q110" s="158"/>
      <c r="R110" s="158"/>
      <c r="S110" s="158"/>
      <c r="T110" s="703"/>
      <c r="U110" s="703"/>
      <c r="V110" s="703"/>
      <c r="W110" s="703"/>
      <c r="X110" s="703"/>
      <c r="Y110" s="703"/>
      <c r="Z110" s="849"/>
      <c r="AA110" s="850"/>
      <c r="AB110" s="36"/>
      <c r="AC110" s="703"/>
      <c r="AD110" s="703"/>
      <c r="AE110" s="703"/>
      <c r="AF110" s="703"/>
      <c r="AH110" s="130"/>
      <c r="AK110" s="1"/>
    </row>
    <row r="111" spans="1:37" ht="12.75" customHeight="1" thickBot="1" x14ac:dyDescent="0.3">
      <c r="A111" s="703"/>
      <c r="B111" s="882"/>
      <c r="C111" s="883" t="s">
        <v>108</v>
      </c>
      <c r="D111" s="884">
        <f>D109-D110</f>
        <v>0</v>
      </c>
      <c r="E111" s="885">
        <f>+E109-E110</f>
        <v>0</v>
      </c>
      <c r="F111" s="886"/>
      <c r="G111" s="887"/>
      <c r="H111" s="888" t="s">
        <v>108</v>
      </c>
      <c r="I111" s="884"/>
      <c r="J111" s="889">
        <f>+J109+J110</f>
        <v>0</v>
      </c>
      <c r="K111" s="780">
        <f>+J111-E111</f>
        <v>0</v>
      </c>
      <c r="L111" s="703"/>
      <c r="M111" s="703"/>
      <c r="N111" s="158"/>
      <c r="O111" s="158"/>
      <c r="P111" s="158"/>
      <c r="Q111" s="158"/>
      <c r="R111" s="158"/>
      <c r="S111" s="158"/>
      <c r="T111" s="703"/>
      <c r="U111" s="703"/>
      <c r="V111" s="703"/>
      <c r="W111" s="703"/>
      <c r="X111" s="703"/>
      <c r="Y111" s="703"/>
      <c r="Z111" s="849"/>
      <c r="AA111" s="850"/>
      <c r="AB111" s="36"/>
      <c r="AC111" s="703"/>
      <c r="AD111" s="703"/>
      <c r="AE111" s="703"/>
      <c r="AF111" s="703"/>
      <c r="AH111" s="130"/>
      <c r="AK111" s="1"/>
    </row>
    <row r="112" spans="1:37" ht="12.75" customHeight="1" x14ac:dyDescent="0.25">
      <c r="A112" s="703"/>
      <c r="B112" s="42"/>
      <c r="C112" s="890"/>
      <c r="D112" s="703"/>
      <c r="E112" s="703"/>
      <c r="F112" s="703"/>
      <c r="G112" s="42"/>
      <c r="H112" s="158"/>
      <c r="I112" s="703"/>
      <c r="J112" s="891"/>
      <c r="K112" s="892"/>
      <c r="L112" s="703"/>
      <c r="M112" s="703"/>
      <c r="N112" s="158"/>
      <c r="O112" s="158"/>
      <c r="P112" s="158"/>
      <c r="Q112" s="158"/>
      <c r="R112" s="158"/>
      <c r="S112" s="158"/>
      <c r="T112" s="703"/>
      <c r="U112" s="703"/>
      <c r="V112" s="703"/>
      <c r="W112" s="703"/>
      <c r="X112" s="703"/>
      <c r="Y112" s="703"/>
      <c r="Z112" s="703"/>
      <c r="AA112" s="703"/>
      <c r="AB112" s="36"/>
      <c r="AC112" s="703"/>
      <c r="AD112" s="703"/>
      <c r="AE112" s="703"/>
      <c r="AF112" s="703"/>
      <c r="AH112" s="130"/>
      <c r="AK112" s="1"/>
    </row>
    <row r="113" spans="1:37" ht="12.75" customHeight="1" x14ac:dyDescent="0.25">
      <c r="A113" s="703"/>
      <c r="B113" s="42"/>
      <c r="C113" s="890"/>
      <c r="D113" s="703"/>
      <c r="E113" s="703"/>
      <c r="F113" s="703"/>
      <c r="G113" s="42"/>
      <c r="H113" s="158"/>
      <c r="I113" s="703"/>
      <c r="J113" s="703"/>
      <c r="K113" s="708"/>
      <c r="L113" s="703"/>
      <c r="M113" s="703"/>
      <c r="N113" s="40"/>
      <c r="O113" s="158"/>
      <c r="P113" s="158"/>
      <c r="Q113" s="158"/>
      <c r="R113" s="40"/>
      <c r="S113" s="40"/>
      <c r="T113" s="703"/>
      <c r="U113" s="703"/>
      <c r="V113" s="703"/>
      <c r="W113" s="703"/>
      <c r="X113" s="703"/>
      <c r="Y113" s="703"/>
      <c r="Z113" s="703"/>
      <c r="AA113" s="703"/>
      <c r="AB113" s="36"/>
      <c r="AC113" s="703"/>
      <c r="AD113" s="703"/>
      <c r="AE113" s="703"/>
      <c r="AF113" s="703"/>
      <c r="AH113" s="130"/>
      <c r="AK113" s="1"/>
    </row>
    <row r="114" spans="1:37" ht="12.75" customHeight="1" x14ac:dyDescent="0.25">
      <c r="A114" s="703"/>
      <c r="B114" s="42"/>
      <c r="C114" s="890"/>
      <c r="D114" s="703"/>
      <c r="E114" s="703"/>
      <c r="F114" s="703"/>
      <c r="G114" s="42"/>
      <c r="H114" s="893" t="s">
        <v>393</v>
      </c>
      <c r="I114" s="703"/>
      <c r="J114" s="703"/>
      <c r="K114" s="708"/>
      <c r="L114" s="703"/>
      <c r="M114" s="703"/>
      <c r="N114" s="703"/>
      <c r="O114" s="703"/>
      <c r="P114" s="703"/>
      <c r="Q114" s="703"/>
      <c r="R114" s="703"/>
      <c r="S114" s="703"/>
      <c r="T114" s="703"/>
      <c r="U114" s="703"/>
      <c r="V114" s="703"/>
      <c r="W114" s="703"/>
      <c r="X114" s="703"/>
      <c r="Y114" s="703"/>
      <c r="Z114" s="703"/>
      <c r="AA114" s="703"/>
      <c r="AB114" s="703"/>
      <c r="AC114" s="703"/>
      <c r="AD114" s="703"/>
      <c r="AE114" s="703"/>
      <c r="AF114" s="703"/>
      <c r="AH114" s="130"/>
      <c r="AK114" s="1"/>
    </row>
    <row r="115" spans="1:37" ht="12.75" customHeight="1" x14ac:dyDescent="0.25">
      <c r="A115" s="703"/>
      <c r="B115" s="42"/>
      <c r="C115" s="894"/>
      <c r="D115" s="703"/>
      <c r="E115" s="703"/>
      <c r="F115" s="703"/>
      <c r="G115" s="42"/>
      <c r="H115" s="40" t="s">
        <v>394</v>
      </c>
      <c r="I115" s="703"/>
      <c r="J115" s="703"/>
      <c r="K115" s="708"/>
      <c r="L115" s="703"/>
      <c r="M115" s="703"/>
      <c r="N115" s="703"/>
      <c r="O115" s="703"/>
      <c r="P115" s="703"/>
      <c r="Q115" s="703"/>
      <c r="R115" s="703"/>
      <c r="S115" s="703"/>
      <c r="T115" s="703"/>
      <c r="U115" s="703"/>
      <c r="V115" s="703"/>
      <c r="W115" s="703"/>
      <c r="X115" s="703"/>
      <c r="Y115" s="703"/>
      <c r="Z115" s="703"/>
      <c r="AA115" s="703"/>
      <c r="AB115" s="703"/>
      <c r="AC115" s="703"/>
      <c r="AD115" s="703"/>
      <c r="AE115" s="703"/>
      <c r="AF115" s="703"/>
      <c r="AH115" s="130"/>
      <c r="AK115" s="1"/>
    </row>
    <row r="116" spans="1:37" ht="12.75" customHeight="1" x14ac:dyDescent="0.25">
      <c r="A116" s="703"/>
      <c r="B116" s="42"/>
      <c r="C116" s="890"/>
      <c r="D116" s="703"/>
      <c r="E116" s="703"/>
      <c r="F116" s="703"/>
      <c r="G116" s="42"/>
      <c r="H116" s="40" t="s">
        <v>395</v>
      </c>
      <c r="I116" s="703"/>
      <c r="J116" s="703"/>
      <c r="K116" s="708"/>
      <c r="L116" s="703"/>
      <c r="M116" s="703"/>
      <c r="N116" s="703"/>
      <c r="O116" s="703"/>
      <c r="P116" s="703"/>
      <c r="Q116" s="703"/>
      <c r="R116" s="703"/>
      <c r="S116" s="703"/>
      <c r="T116" s="703"/>
      <c r="U116" s="703"/>
      <c r="V116" s="703"/>
      <c r="W116" s="703"/>
      <c r="X116" s="703"/>
      <c r="Y116" s="703"/>
      <c r="Z116" s="703"/>
      <c r="AA116" s="703"/>
      <c r="AB116" s="703"/>
      <c r="AC116" s="703"/>
      <c r="AD116" s="703"/>
      <c r="AE116" s="703"/>
      <c r="AF116" s="703"/>
      <c r="AH116" s="130"/>
      <c r="AK116" s="1"/>
    </row>
    <row r="117" spans="1:37" ht="12.75" customHeight="1" x14ac:dyDescent="0.25">
      <c r="A117" s="703"/>
      <c r="B117" s="42"/>
      <c r="C117" s="890"/>
      <c r="D117" s="703"/>
      <c r="E117" s="703"/>
      <c r="F117" s="703"/>
      <c r="G117" s="42"/>
      <c r="H117" s="40" t="s">
        <v>396</v>
      </c>
      <c r="I117" s="703"/>
      <c r="J117" s="703"/>
      <c r="K117" s="895"/>
      <c r="L117" s="703"/>
      <c r="M117" s="703"/>
      <c r="N117" s="703"/>
      <c r="O117" s="703"/>
      <c r="P117" s="703"/>
      <c r="Q117" s="703"/>
      <c r="R117" s="703"/>
      <c r="S117" s="703"/>
      <c r="T117" s="703"/>
      <c r="U117" s="703"/>
      <c r="V117" s="703"/>
      <c r="W117" s="703"/>
      <c r="X117" s="703"/>
      <c r="Y117" s="703"/>
      <c r="Z117" s="703"/>
      <c r="AA117" s="703"/>
      <c r="AB117" s="703"/>
      <c r="AC117" s="703"/>
      <c r="AD117" s="703"/>
      <c r="AE117" s="703"/>
      <c r="AF117" s="703"/>
      <c r="AH117" s="130"/>
      <c r="AK117" s="1"/>
    </row>
  </sheetData>
  <mergeCells count="29">
    <mergeCell ref="B3:C3"/>
    <mergeCell ref="G51:G52"/>
    <mergeCell ref="G5:K5"/>
    <mergeCell ref="B5:E5"/>
    <mergeCell ref="O30:Q30"/>
    <mergeCell ref="P26:P27"/>
    <mergeCell ref="Q26:Q27"/>
    <mergeCell ref="O26:O27"/>
    <mergeCell ref="O3:S3"/>
    <mergeCell ref="N2:S2"/>
    <mergeCell ref="V4:AA4"/>
    <mergeCell ref="N23:O23"/>
    <mergeCell ref="V17:AA17"/>
    <mergeCell ref="N11:S11"/>
    <mergeCell ref="N10:S10"/>
    <mergeCell ref="N4:S4"/>
    <mergeCell ref="N5:S5"/>
    <mergeCell ref="N8:N9"/>
    <mergeCell ref="O8:O9"/>
    <mergeCell ref="Q6:Q7"/>
    <mergeCell ref="S6:S7"/>
    <mergeCell ref="P6:P7"/>
    <mergeCell ref="R6:R7"/>
    <mergeCell ref="AB17:AB18"/>
    <mergeCell ref="AC17:AC18"/>
    <mergeCell ref="V1:AF1"/>
    <mergeCell ref="AB4:AB5"/>
    <mergeCell ref="AC4:AC5"/>
    <mergeCell ref="AF2:AK3"/>
  </mergeCells>
  <dataValidations disablePrompts="1" count="1">
    <dataValidation type="custom" errorStyle="information" allowBlank="1" showInputMessage="1" showErrorMessage="1" error="DO NOT EDIT THIS SPACE._x000a_(Use this SPACE for COMMON PRODUCTS Slicing)_x000a__x000a_Editable Space to key-in other slicing is provided below. Thanks_x000a__x000a_" sqref="G32:G51 G53:G82 H32:H82 G31:H31 G109:H111 G6:H29 B109:C111 B6:C82" xr:uid="{00000000-0002-0000-0600-000000000000}">
      <formula1>"&lt;&gt;@@@????????""""""@@@""""""@@"</formula1>
    </dataValidation>
  </dataValidations>
  <pageMargins left="0.25" right="0.25" top="0.75" bottom="0.75" header="0.3" footer="0.3"/>
  <pageSetup paperSize="9" scale="48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NewDeboningLeg"/>
  <dimension ref="A1:BE81"/>
  <sheetViews>
    <sheetView showGridLines="0" tabSelected="1" zoomScale="70" zoomScaleNormal="70" workbookViewId="0">
      <pane xSplit="5" topLeftCell="AF1" activePane="topRight" state="frozen"/>
      <selection activeCell="A47" sqref="A47:XFD47"/>
      <selection pane="topRight" activeCell="AL8" sqref="AL8"/>
    </sheetView>
  </sheetViews>
  <sheetFormatPr defaultColWidth="8.7109375" defaultRowHeight="14.1" customHeight="1" outlineLevelRow="1" outlineLevelCol="1" x14ac:dyDescent="0.25"/>
  <cols>
    <col min="1" max="1" width="4.28515625" style="1149" customWidth="1"/>
    <col min="2" max="2" width="9.140625" style="1149" bestFit="1" customWidth="1"/>
    <col min="3" max="3" width="33.42578125" style="1149" bestFit="1" customWidth="1"/>
    <col min="4" max="4" width="10.7109375" style="1149" customWidth="1"/>
    <col min="5" max="5" width="21.140625" style="1149" customWidth="1"/>
    <col min="6" max="6" width="10.7109375" hidden="1" customWidth="1"/>
    <col min="7" max="9" width="10.7109375" style="1149" customWidth="1"/>
    <col min="10" max="10" width="17.5703125" style="1149" customWidth="1"/>
    <col min="11" max="11" width="10.7109375" style="1149" customWidth="1"/>
    <col min="12" max="12" width="13.42578125" style="1149" customWidth="1"/>
    <col min="13" max="13" width="13.28515625" style="1149" customWidth="1"/>
    <col min="14" max="14" width="9.7109375" style="1149" customWidth="1"/>
    <col min="15" max="15" width="29.28515625" style="1149" bestFit="1" customWidth="1"/>
    <col min="16" max="17" width="9.7109375" style="1149" customWidth="1"/>
    <col min="18" max="18" width="11.5703125" style="1149" bestFit="1" customWidth="1"/>
    <col min="19" max="19" width="9.7109375" style="1149" customWidth="1"/>
    <col min="20" max="20" width="11.5703125" style="1149" bestFit="1" customWidth="1"/>
    <col min="21" max="21" width="9.7109375" style="1149" customWidth="1"/>
    <col min="22" max="22" width="12.85546875" style="1149" bestFit="1" customWidth="1"/>
    <col min="23" max="27" width="9.7109375" style="1149" customWidth="1"/>
    <col min="28" max="28" width="12" style="1149" customWidth="1"/>
    <col min="29" max="34" width="9.7109375" style="1149" customWidth="1"/>
    <col min="35" max="35" width="9.7109375" hidden="1" customWidth="1"/>
    <col min="36" max="36" width="9.7109375" style="1149" customWidth="1"/>
    <col min="37" max="37" width="9.7109375" customWidth="1" outlineLevel="1"/>
    <col min="38" max="38" width="11.5703125" customWidth="1" outlineLevel="1"/>
    <col min="39" max="39" width="10.5703125" customWidth="1" outlineLevel="1"/>
    <col min="40" max="47" width="9.7109375" customWidth="1" outlineLevel="1"/>
    <col min="48" max="48" width="9.7109375" style="1149" customWidth="1"/>
    <col min="49" max="49" width="12.28515625" style="1149" customWidth="1"/>
    <col min="50" max="56" width="9.7109375" style="1149" customWidth="1"/>
    <col min="57" max="82" width="8.7109375" style="1149" customWidth="1"/>
    <col min="83" max="16384" width="8.7109375" style="1149"/>
  </cols>
  <sheetData>
    <row r="1" spans="1:56" ht="42.75" customHeight="1" thickBot="1" x14ac:dyDescent="0.3">
      <c r="A1" s="1166"/>
      <c r="B1" s="1167"/>
      <c r="C1" s="1168"/>
      <c r="D1" s="1169"/>
      <c r="E1" s="1365" t="s">
        <v>1198</v>
      </c>
      <c r="F1" s="1366"/>
      <c r="G1" s="1178" t="s">
        <v>11</v>
      </c>
      <c r="H1" s="1179" t="s">
        <v>513</v>
      </c>
      <c r="I1" s="1180" t="s">
        <v>169</v>
      </c>
      <c r="J1" s="1168"/>
      <c r="K1" s="1167" t="s">
        <v>638</v>
      </c>
      <c r="L1" s="1167" t="s">
        <v>596</v>
      </c>
      <c r="M1" s="1167" t="s">
        <v>594</v>
      </c>
      <c r="N1" s="1167"/>
      <c r="O1" s="1168"/>
      <c r="P1" s="1181" t="s">
        <v>55</v>
      </c>
      <c r="Q1" s="1181" t="s">
        <v>3</v>
      </c>
      <c r="R1" s="1181" t="s">
        <v>6</v>
      </c>
      <c r="S1" s="1181" t="s">
        <v>260</v>
      </c>
      <c r="T1" s="1181" t="s">
        <v>5</v>
      </c>
      <c r="U1" s="1181" t="s">
        <v>56</v>
      </c>
      <c r="V1" s="1182"/>
      <c r="W1" s="1168"/>
      <c r="X1" s="1168"/>
      <c r="Y1" s="1168"/>
      <c r="Z1" s="1168"/>
      <c r="AA1" s="1168"/>
      <c r="AB1" s="1168"/>
      <c r="AC1" s="1168"/>
      <c r="AD1" s="1168"/>
      <c r="AE1" s="1168"/>
      <c r="AF1" s="1168"/>
      <c r="AG1" s="1168"/>
      <c r="AH1" s="1168"/>
      <c r="AI1" s="928"/>
      <c r="AJ1" s="1168"/>
      <c r="AK1" s="928"/>
      <c r="AL1" s="948"/>
      <c r="AM1" s="928"/>
      <c r="AN1" s="928"/>
      <c r="AO1" s="1013"/>
      <c r="AP1" s="1013"/>
      <c r="AQ1" s="1013"/>
      <c r="AR1" s="1013"/>
      <c r="AS1" s="1013" t="s">
        <v>1202</v>
      </c>
      <c r="AT1" s="1013"/>
      <c r="AU1" s="928"/>
      <c r="AV1" s="1168"/>
      <c r="AW1" s="1168"/>
      <c r="AX1" s="1168"/>
      <c r="AY1" s="1168"/>
      <c r="AZ1" s="1168"/>
      <c r="BA1" s="1168"/>
      <c r="BB1" s="1168"/>
      <c r="BC1" s="1168"/>
      <c r="BD1" s="1168"/>
    </row>
    <row r="2" spans="1:56" ht="15" customHeight="1" thickTop="1" x14ac:dyDescent="0.25">
      <c r="A2" s="1096"/>
      <c r="B2" s="1100"/>
      <c r="C2" s="1101" t="s">
        <v>935</v>
      </c>
      <c r="D2" s="1170">
        <f>'Pork Breaking'!E20/'Pork Breaking'!D20</f>
        <v>8.9830324909747308</v>
      </c>
      <c r="E2" s="1367" t="s">
        <v>1195</v>
      </c>
      <c r="F2" s="1368"/>
      <c r="G2" s="1120">
        <f>'Pork Leg Deboning'!E5</f>
        <v>1108</v>
      </c>
      <c r="H2" s="1183">
        <f>'Pork Leg Deboning'!F5</f>
        <v>9953.2000000000007</v>
      </c>
      <c r="I2" s="1121">
        <v>1</v>
      </c>
      <c r="J2" s="1132"/>
      <c r="K2" s="1100">
        <f>G3</f>
        <v>1108</v>
      </c>
      <c r="L2" s="1100">
        <f>H3</f>
        <v>9959.2000000000007</v>
      </c>
      <c r="M2" s="1100">
        <f>'Pork Leg Deboning'!F43</f>
        <v>6367.8</v>
      </c>
      <c r="N2" s="1100"/>
      <c r="O2" s="1101" t="s">
        <v>633</v>
      </c>
      <c r="P2" s="1100">
        <f>'Pork Leg Deboning'!$F$55</f>
        <v>122</v>
      </c>
      <c r="Q2" s="1100">
        <f>'Pork Leg Deboning'!F47</f>
        <v>995.7</v>
      </c>
      <c r="R2" s="1100">
        <f>'Pork Leg Deboning'!F51</f>
        <v>1082.5</v>
      </c>
      <c r="S2" s="1100">
        <f>'Pork Leg Deboning'!F53</f>
        <v>400</v>
      </c>
      <c r="T2" s="1100">
        <f>'Pork Leg Deboning'!F49</f>
        <v>991.2</v>
      </c>
      <c r="U2" s="1100"/>
      <c r="V2" s="1100">
        <f>SUM(P2:U2)</f>
        <v>3591.3999999999996</v>
      </c>
      <c r="W2" s="1100"/>
      <c r="X2" s="1375" t="s">
        <v>599</v>
      </c>
      <c r="Y2" s="1375"/>
      <c r="Z2" s="1375"/>
      <c r="AA2" s="1184"/>
      <c r="AB2" s="1128"/>
      <c r="AC2" s="1369" t="s">
        <v>1555</v>
      </c>
      <c r="AD2" s="1369"/>
      <c r="AE2" s="1369"/>
      <c r="AF2" s="1369"/>
      <c r="AG2" s="1369"/>
      <c r="AH2" s="1369"/>
      <c r="AI2" s="1370"/>
      <c r="AJ2" s="1369"/>
      <c r="AK2" s="127"/>
      <c r="AL2" s="1381" t="s">
        <v>632</v>
      </c>
      <c r="AM2" s="1381"/>
      <c r="AN2" s="103"/>
      <c r="AO2" s="1373" t="s">
        <v>1205</v>
      </c>
      <c r="AP2" s="1373"/>
      <c r="AQ2" s="1373"/>
      <c r="AR2" s="1373"/>
      <c r="AS2" s="1373"/>
      <c r="AT2" s="1373"/>
      <c r="AU2" s="1373"/>
      <c r="AV2" s="1184"/>
      <c r="AW2" s="1375" t="s">
        <v>1556</v>
      </c>
      <c r="AX2" s="1375"/>
      <c r="AY2" s="1375"/>
      <c r="AZ2" s="1375"/>
      <c r="BA2" s="1375"/>
      <c r="BB2" s="1375"/>
      <c r="BC2" s="1375"/>
      <c r="BD2" s="1375"/>
    </row>
    <row r="3" spans="1:56" ht="15" customHeight="1" x14ac:dyDescent="0.25">
      <c r="A3" s="1096"/>
      <c r="B3" s="1100"/>
      <c r="C3" s="1101" t="s">
        <v>936</v>
      </c>
      <c r="D3" s="1170">
        <f>IF('Pork Breaking'!E19=0,0,'Pork Breaking'!E19/'Pork Breaking'!D19)</f>
        <v>0</v>
      </c>
      <c r="E3" s="1377" t="s">
        <v>1196</v>
      </c>
      <c r="F3" s="1378"/>
      <c r="G3" s="1120">
        <f>'Pork Leg Deboning'!E43</f>
        <v>1108</v>
      </c>
      <c r="H3" s="1183">
        <f>'Pork Leg Deboning'!F43+'Pork Leg Deboning'!F57</f>
        <v>9959.2000000000007</v>
      </c>
      <c r="I3" s="1121">
        <f>I2+I4</f>
        <v>0.99939717879676893</v>
      </c>
      <c r="J3" s="1132"/>
      <c r="K3" s="1126">
        <f>'New Deboning Leg'!K41</f>
        <v>1108</v>
      </c>
      <c r="L3" s="1126">
        <f>'New Deboning Leg'!L41</f>
        <v>9959.2000000000007</v>
      </c>
      <c r="M3" s="1126">
        <f>'New Deboning Leg'!M41</f>
        <v>6367.8</v>
      </c>
      <c r="N3" s="1100"/>
      <c r="O3" s="1101" t="s">
        <v>634</v>
      </c>
      <c r="P3" s="1126">
        <f>'New Deboning Leg'!P41</f>
        <v>122</v>
      </c>
      <c r="Q3" s="1126">
        <f>'New Deboning Leg'!Q41</f>
        <v>995.69999999999993</v>
      </c>
      <c r="R3" s="1126">
        <f>'New Deboning Leg'!R41</f>
        <v>1082.5</v>
      </c>
      <c r="S3" s="1126">
        <f>'New Deboning Leg'!S41</f>
        <v>400</v>
      </c>
      <c r="T3" s="1126">
        <f>'New Deboning Leg'!T41</f>
        <v>991.19999999999993</v>
      </c>
      <c r="U3" s="1126">
        <f>'New Deboning Leg'!U41</f>
        <v>0</v>
      </c>
      <c r="V3" s="1126">
        <f>SUM(P3:U3)</f>
        <v>3591.3999999999996</v>
      </c>
      <c r="W3" s="1100"/>
      <c r="X3" s="1375"/>
      <c r="Y3" s="1375"/>
      <c r="Z3" s="1375"/>
      <c r="AA3" s="1184"/>
      <c r="AB3" s="1128"/>
      <c r="AC3" s="1369"/>
      <c r="AD3" s="1369"/>
      <c r="AE3" s="1369"/>
      <c r="AF3" s="1369"/>
      <c r="AG3" s="1369"/>
      <c r="AH3" s="1369"/>
      <c r="AI3" s="1370"/>
      <c r="AJ3" s="1369"/>
      <c r="AK3" s="127"/>
      <c r="AL3" s="1382"/>
      <c r="AM3" s="1382"/>
      <c r="AN3" s="103"/>
      <c r="AO3" s="1373"/>
      <c r="AP3" s="1373"/>
      <c r="AQ3" s="1373"/>
      <c r="AR3" s="1373"/>
      <c r="AS3" s="1373"/>
      <c r="AT3" s="1373"/>
      <c r="AU3" s="1373"/>
      <c r="AV3" s="1184"/>
      <c r="AW3" s="1375"/>
      <c r="AX3" s="1375"/>
      <c r="AY3" s="1375"/>
      <c r="AZ3" s="1375"/>
      <c r="BA3" s="1375"/>
      <c r="BB3" s="1375"/>
      <c r="BC3" s="1375"/>
      <c r="BD3" s="1375"/>
    </row>
    <row r="4" spans="1:56" ht="15" customHeight="1" thickBot="1" x14ac:dyDescent="0.3">
      <c r="A4" s="1096"/>
      <c r="B4" s="1100"/>
      <c r="C4" s="1101" t="s">
        <v>1206</v>
      </c>
      <c r="D4" s="1103"/>
      <c r="E4" s="1379" t="s">
        <v>620</v>
      </c>
      <c r="F4" s="1380"/>
      <c r="G4" s="1130">
        <f>G2-G3</f>
        <v>0</v>
      </c>
      <c r="H4" s="1130">
        <f t="shared" ref="H4" si="0">H2-H3</f>
        <v>-6</v>
      </c>
      <c r="I4" s="1131">
        <f>H4/H2</f>
        <v>-6.0282120323112162E-4</v>
      </c>
      <c r="J4" s="1132"/>
      <c r="K4" s="1130">
        <f>K2-K3</f>
        <v>0</v>
      </c>
      <c r="L4" s="1130">
        <f>L2-L3</f>
        <v>0</v>
      </c>
      <c r="M4" s="1131">
        <f>M2-M3</f>
        <v>0</v>
      </c>
      <c r="N4" s="1101"/>
      <c r="O4" s="1101" t="s">
        <v>635</v>
      </c>
      <c r="P4" s="1133">
        <f t="shared" ref="P4:V4" si="1">P2-P3</f>
        <v>0</v>
      </c>
      <c r="Q4" s="1133">
        <f t="shared" si="1"/>
        <v>0</v>
      </c>
      <c r="R4" s="1133">
        <f t="shared" si="1"/>
        <v>0</v>
      </c>
      <c r="S4" s="1133">
        <f t="shared" si="1"/>
        <v>0</v>
      </c>
      <c r="T4" s="1133">
        <f t="shared" si="1"/>
        <v>0</v>
      </c>
      <c r="U4" s="1133">
        <f t="shared" si="1"/>
        <v>0</v>
      </c>
      <c r="V4" s="1133">
        <f t="shared" si="1"/>
        <v>0</v>
      </c>
      <c r="W4" s="1101"/>
      <c r="X4" s="1375"/>
      <c r="Y4" s="1375"/>
      <c r="Z4" s="1375"/>
      <c r="AA4" s="1184"/>
      <c r="AB4" s="1128"/>
      <c r="AC4" s="1369"/>
      <c r="AD4" s="1369"/>
      <c r="AE4" s="1369"/>
      <c r="AF4" s="1369"/>
      <c r="AG4" s="1369"/>
      <c r="AH4" s="1369"/>
      <c r="AI4" s="1370"/>
      <c r="AJ4" s="1369"/>
      <c r="AK4" s="127"/>
      <c r="AL4" s="1382"/>
      <c r="AM4" s="1382"/>
      <c r="AN4" s="103"/>
      <c r="AO4" s="1373"/>
      <c r="AP4" s="1373"/>
      <c r="AQ4" s="1373"/>
      <c r="AR4" s="1373"/>
      <c r="AS4" s="1373"/>
      <c r="AT4" s="1373"/>
      <c r="AU4" s="1373"/>
      <c r="AV4" s="1184"/>
      <c r="AW4" s="1375"/>
      <c r="AX4" s="1375"/>
      <c r="AY4" s="1375"/>
      <c r="AZ4" s="1375"/>
      <c r="BA4" s="1375"/>
      <c r="BB4" s="1375"/>
      <c r="BC4" s="1375"/>
      <c r="BD4" s="1375"/>
    </row>
    <row r="5" spans="1:56" ht="26.25" customHeight="1" thickTop="1" thickBot="1" x14ac:dyDescent="0.3">
      <c r="A5" s="1104"/>
      <c r="B5" s="1171" t="s">
        <v>625</v>
      </c>
      <c r="C5" s="1171"/>
      <c r="D5" s="1172"/>
      <c r="E5" s="1171"/>
      <c r="F5" s="85"/>
      <c r="G5" s="1171"/>
      <c r="H5" s="1185"/>
      <c r="I5" s="1171"/>
      <c r="J5" s="1105"/>
      <c r="K5" s="1105"/>
      <c r="L5" s="1105"/>
      <c r="M5" s="1105"/>
      <c r="N5" s="1105"/>
      <c r="O5" s="1105"/>
      <c r="P5" s="1105"/>
      <c r="Q5" s="1105"/>
      <c r="R5" s="1105"/>
      <c r="S5" s="1105"/>
      <c r="T5" s="1105"/>
      <c r="U5" s="1105"/>
      <c r="V5" s="1105"/>
      <c r="W5" s="1105"/>
      <c r="X5" s="1376"/>
      <c r="Y5" s="1376"/>
      <c r="Z5" s="1376"/>
      <c r="AA5" s="1186"/>
      <c r="AB5" s="1137"/>
      <c r="AC5" s="1371"/>
      <c r="AD5" s="1371"/>
      <c r="AE5" s="1371"/>
      <c r="AF5" s="1371"/>
      <c r="AG5" s="1371"/>
      <c r="AH5" s="1371"/>
      <c r="AI5" s="1372"/>
      <c r="AJ5" s="1371"/>
      <c r="AK5" s="128"/>
      <c r="AL5" s="1383"/>
      <c r="AM5" s="1383"/>
      <c r="AN5" s="104"/>
      <c r="AO5" s="1374"/>
      <c r="AP5" s="1374"/>
      <c r="AQ5" s="1374"/>
      <c r="AR5" s="1374"/>
      <c r="AS5" s="1374"/>
      <c r="AT5" s="1374"/>
      <c r="AU5" s="1374"/>
      <c r="AV5" s="1186"/>
      <c r="AW5" s="1376"/>
      <c r="AX5" s="1376"/>
      <c r="AY5" s="1376"/>
      <c r="AZ5" s="1376"/>
      <c r="BA5" s="1376"/>
      <c r="BB5" s="1376"/>
      <c r="BC5" s="1376"/>
      <c r="BD5" s="1376"/>
    </row>
    <row r="6" spans="1:56" ht="16.5" thickTop="1" thickBot="1" x14ac:dyDescent="0.3">
      <c r="A6" s="1173"/>
      <c r="B6" s="1140"/>
      <c r="C6" s="1140"/>
      <c r="D6" s="1174"/>
      <c r="E6" s="1140"/>
      <c r="F6" s="56"/>
      <c r="G6" s="1140"/>
      <c r="H6" s="1187"/>
      <c r="I6" s="1140"/>
      <c r="J6" s="1140"/>
      <c r="K6" s="1140"/>
      <c r="L6" s="1140"/>
      <c r="M6" s="1140"/>
      <c r="N6" s="1140"/>
      <c r="O6" s="1140"/>
      <c r="P6" s="1188" t="s">
        <v>55</v>
      </c>
      <c r="Q6" s="1188" t="s">
        <v>3</v>
      </c>
      <c r="R6" s="1188" t="s">
        <v>6</v>
      </c>
      <c r="S6" s="1188" t="s">
        <v>260</v>
      </c>
      <c r="T6" s="1188" t="s">
        <v>5</v>
      </c>
      <c r="U6" s="1188" t="s">
        <v>56</v>
      </c>
      <c r="V6" s="1188"/>
      <c r="W6" s="1140"/>
      <c r="X6" s="1140"/>
      <c r="Y6" s="1188"/>
      <c r="Z6" s="1140"/>
      <c r="AA6" s="1140"/>
      <c r="AB6" s="1188"/>
      <c r="AC6" s="1140" t="s">
        <v>55</v>
      </c>
      <c r="AD6" s="1140" t="s">
        <v>3</v>
      </c>
      <c r="AE6" s="1140" t="s">
        <v>6</v>
      </c>
      <c r="AF6" s="1188" t="s">
        <v>260</v>
      </c>
      <c r="AG6" s="1188" t="s">
        <v>5</v>
      </c>
      <c r="AH6" s="1188" t="s">
        <v>56</v>
      </c>
      <c r="AI6" s="59"/>
      <c r="AJ6" s="1188"/>
      <c r="AK6" s="59"/>
      <c r="AL6" s="949"/>
      <c r="AM6" s="56"/>
      <c r="AN6" s="59"/>
      <c r="AO6" s="59" t="s">
        <v>55</v>
      </c>
      <c r="AP6" s="59" t="s">
        <v>3</v>
      </c>
      <c r="AQ6" s="56" t="s">
        <v>6</v>
      </c>
      <c r="AR6" s="56" t="s">
        <v>260</v>
      </c>
      <c r="AS6" s="56" t="s">
        <v>5</v>
      </c>
      <c r="AT6" s="56" t="s">
        <v>56</v>
      </c>
      <c r="AU6" s="59"/>
      <c r="AV6" s="1188"/>
      <c r="AW6" s="1188"/>
      <c r="AX6" s="1188" t="s">
        <v>55</v>
      </c>
      <c r="AY6" s="1188" t="s">
        <v>3</v>
      </c>
      <c r="AZ6" s="1188" t="s">
        <v>6</v>
      </c>
      <c r="BA6" s="1188" t="s">
        <v>260</v>
      </c>
      <c r="BB6" s="1140" t="s">
        <v>5</v>
      </c>
      <c r="BC6" s="1140" t="s">
        <v>56</v>
      </c>
      <c r="BD6" s="1140"/>
    </row>
    <row r="7" spans="1:56" ht="67.5" customHeight="1" thickTop="1" x14ac:dyDescent="0.25">
      <c r="A7" s="1175"/>
      <c r="B7" s="1176" t="s">
        <v>8</v>
      </c>
      <c r="C7" s="1176" t="s">
        <v>9</v>
      </c>
      <c r="D7" s="1177" t="s">
        <v>57</v>
      </c>
      <c r="E7" s="1176" t="s">
        <v>586</v>
      </c>
      <c r="F7" s="60" t="s">
        <v>637</v>
      </c>
      <c r="G7" s="1176" t="s">
        <v>636</v>
      </c>
      <c r="H7" s="1189" t="s">
        <v>258</v>
      </c>
      <c r="I7" s="1176" t="s">
        <v>587</v>
      </c>
      <c r="J7" s="1176" t="s">
        <v>588</v>
      </c>
      <c r="K7" s="1176" t="s">
        <v>593</v>
      </c>
      <c r="L7" s="1176" t="s">
        <v>596</v>
      </c>
      <c r="M7" s="1176" t="s">
        <v>594</v>
      </c>
      <c r="N7" s="1190"/>
      <c r="O7" s="1177" t="s">
        <v>588</v>
      </c>
      <c r="P7" s="1176" t="s">
        <v>61</v>
      </c>
      <c r="Q7" s="1176" t="s">
        <v>58</v>
      </c>
      <c r="R7" s="1176" t="s">
        <v>60</v>
      </c>
      <c r="S7" s="1176" t="s">
        <v>261</v>
      </c>
      <c r="T7" s="1176" t="s">
        <v>59</v>
      </c>
      <c r="U7" s="1191" t="s">
        <v>246</v>
      </c>
      <c r="V7" s="1192" t="s">
        <v>597</v>
      </c>
      <c r="W7" s="1190"/>
      <c r="X7" s="1193" t="s">
        <v>598</v>
      </c>
      <c r="Y7" s="1193" t="s">
        <v>623</v>
      </c>
      <c r="Z7" s="1193" t="s">
        <v>622</v>
      </c>
      <c r="AA7" s="1200"/>
      <c r="AB7" s="1193" t="s">
        <v>614</v>
      </c>
      <c r="AC7" s="1176" t="s">
        <v>61</v>
      </c>
      <c r="AD7" s="1176" t="s">
        <v>58</v>
      </c>
      <c r="AE7" s="1176" t="s">
        <v>60</v>
      </c>
      <c r="AF7" s="1176" t="s">
        <v>261</v>
      </c>
      <c r="AG7" s="1176" t="s">
        <v>59</v>
      </c>
      <c r="AH7" s="1176" t="s">
        <v>246</v>
      </c>
      <c r="AI7" s="60" t="s">
        <v>641</v>
      </c>
      <c r="AJ7" s="1176" t="s">
        <v>595</v>
      </c>
      <c r="AK7" s="83"/>
      <c r="AL7" s="950" t="s">
        <v>600</v>
      </c>
      <c r="AM7" s="64" t="s">
        <v>1192</v>
      </c>
      <c r="AN7" s="63"/>
      <c r="AO7" s="60" t="s">
        <v>61</v>
      </c>
      <c r="AP7" s="60" t="s">
        <v>58</v>
      </c>
      <c r="AQ7" s="61" t="s">
        <v>60</v>
      </c>
      <c r="AR7" s="61" t="s">
        <v>261</v>
      </c>
      <c r="AS7" s="60" t="s">
        <v>59</v>
      </c>
      <c r="AT7" s="61" t="s">
        <v>246</v>
      </c>
      <c r="AU7" s="62" t="s">
        <v>595</v>
      </c>
      <c r="AV7" s="1190"/>
      <c r="AW7" s="1176" t="s">
        <v>614</v>
      </c>
      <c r="AX7" s="1176" t="s">
        <v>61</v>
      </c>
      <c r="AY7" s="1176" t="s">
        <v>58</v>
      </c>
      <c r="AZ7" s="1176" t="s">
        <v>60</v>
      </c>
      <c r="BA7" s="1176" t="s">
        <v>261</v>
      </c>
      <c r="BB7" s="1191" t="s">
        <v>59</v>
      </c>
      <c r="BC7" s="1191" t="s">
        <v>246</v>
      </c>
      <c r="BD7" s="1176" t="s">
        <v>595</v>
      </c>
    </row>
    <row r="8" spans="1:56" customFormat="1" ht="14.1" customHeight="1" x14ac:dyDescent="0.25">
      <c r="A8" s="70"/>
      <c r="B8" s="66" t="s">
        <v>65</v>
      </c>
      <c r="C8" s="135" t="s">
        <v>225</v>
      </c>
      <c r="D8" s="1006" t="s">
        <v>64</v>
      </c>
      <c r="E8" s="66" t="s">
        <v>101</v>
      </c>
      <c r="F8" s="66"/>
      <c r="G8" s="66">
        <f>_xlfn.IFNA(INDEX(NewRecipeTable[Percentage Yield],MATCH(E8,NewRecipeTable[ShortCode],0)),0)</f>
        <v>58.02</v>
      </c>
      <c r="H8" s="261">
        <v>1570</v>
      </c>
      <c r="I8" s="66" t="str">
        <f t="array" ref="I8:I38">IF(E8:E38=_xlfn.IFNA(INDEX('Pork Leg Deboning'!$D$8:$D$42,MATCH($E$8:$E$38,'Pork Leg Deboning'!$D$8:$D$42,0)),0),"Yes","No")</f>
        <v>No</v>
      </c>
      <c r="J8" s="66" t="s">
        <v>244</v>
      </c>
      <c r="K8" s="133">
        <f>SUMIFS('Pork Leg Deboning'!$E$8:$E$42,'Pork Leg Deboning'!$D$8:$D$42,'New Deboning Leg'!$E8,'Pork Leg Deboning'!$E$8:$E$42,"&gt;0")</f>
        <v>0</v>
      </c>
      <c r="L8" s="66">
        <f>$D$2*K8</f>
        <v>0</v>
      </c>
      <c r="M8" s="133">
        <f>SUMIFS('Pork Leg Deboning'!$F$8:$F$42,'Pork Leg Deboning'!$D$8:$D$42,'New Deboning Leg'!$E8,'Pork Leg Deboning'!$E$8:$E$42,"&gt;0")</f>
        <v>0</v>
      </c>
      <c r="N8" s="69"/>
      <c r="O8" s="92" t="s">
        <v>639</v>
      </c>
      <c r="P8" s="71">
        <f t="array" ref="P8:U38">IF(P2:U2=0,0,ABS(IF(P47:U77=0,0,P47:U77/P79:U79*P2:U2)--AO8:AT38))</f>
        <v>0</v>
      </c>
      <c r="Q8" s="71">
        <v>0</v>
      </c>
      <c r="R8" s="66">
        <v>0</v>
      </c>
      <c r="S8" s="71">
        <v>0</v>
      </c>
      <c r="T8" s="66">
        <v>0</v>
      </c>
      <c r="U8" s="135">
        <v>0</v>
      </c>
      <c r="V8" s="151">
        <f t="shared" ref="V8:V20" si="2">SUM(P8:U8)</f>
        <v>0</v>
      </c>
      <c r="W8" s="69"/>
      <c r="X8" s="133">
        <f>IFERROR(($M8/$L8*100),)</f>
        <v>0</v>
      </c>
      <c r="Y8" s="133">
        <f t="shared" ref="Y8:Y38" si="3">IF($M8&lt;&gt;0,$G8,0)</f>
        <v>0</v>
      </c>
      <c r="Z8" s="133">
        <f t="shared" ref="Z8:Z20" si="4">Y8-X8</f>
        <v>0</v>
      </c>
      <c r="AA8" s="69"/>
      <c r="AB8" s="133">
        <f t="shared" ref="AB8:AB38" si="5">IF($M8&lt;&gt;0,$G8,0)</f>
        <v>0</v>
      </c>
      <c r="AC8" s="66">
        <f t="array" ref="AC8:AH38">IF($K8:$K38=0,0,(SUMIFS(NewRecipeList!$G$2:$G$1148,NewRecipeList!$A$2:$A$1148,'New Deboning Leg'!$D8:$D38,NewRecipeList!$C$2:$C$1148,'New Deboning Leg'!AC$6:AH$6)))</f>
        <v>0</v>
      </c>
      <c r="AD8" s="66">
        <v>0</v>
      </c>
      <c r="AE8" s="66">
        <v>0</v>
      </c>
      <c r="AF8" s="66">
        <v>0</v>
      </c>
      <c r="AG8" s="66">
        <v>0</v>
      </c>
      <c r="AH8" s="66">
        <v>0</v>
      </c>
      <c r="AI8" s="66">
        <f>SUMIF($P$2:$U$2,"&lt;&gt;"&amp;"",AC8:AH8)</f>
        <v>0</v>
      </c>
      <c r="AJ8" s="66">
        <f>SUM(Y8,AC8:AH8)</f>
        <v>0</v>
      </c>
      <c r="AK8" s="69"/>
      <c r="AL8" s="934">
        <f>L8-X8</f>
        <v>0</v>
      </c>
      <c r="AM8" s="952"/>
      <c r="AN8" s="69"/>
      <c r="AO8" s="66">
        <f t="array" ref="AO8:AT38">AO47:AT77</f>
        <v>0</v>
      </c>
      <c r="AP8" s="66">
        <v>0</v>
      </c>
      <c r="AQ8" s="66">
        <v>0</v>
      </c>
      <c r="AR8" s="66">
        <v>0</v>
      </c>
      <c r="AS8" s="133">
        <v>0</v>
      </c>
      <c r="AT8" s="946">
        <v>0</v>
      </c>
      <c r="AU8" s="947">
        <f>SUM(AO8:AT8)</f>
        <v>0</v>
      </c>
      <c r="AV8" s="1011"/>
      <c r="AW8" s="66">
        <f>IF($M8&lt;0,0,IF($M8=0,0,($M8/$L8*100)))</f>
        <v>0</v>
      </c>
      <c r="AX8" s="66">
        <f t="shared" ref="AX8:AX38" si="6">IF(P8=0,0,(P8/$L8*100))</f>
        <v>0</v>
      </c>
      <c r="AY8" s="66">
        <f t="shared" ref="AY8:AY38" si="7">IF(Q8=0,0,(Q8/$L8*100))</f>
        <v>0</v>
      </c>
      <c r="AZ8" s="66">
        <f t="shared" ref="AZ8:AZ38" si="8">IF(R8=0,0,(R8/$L8*100))</f>
        <v>0</v>
      </c>
      <c r="BA8" s="66">
        <f t="shared" ref="BA8:BA38" si="9">IF(S8=0,0,(S8/$L8*100))</f>
        <v>0</v>
      </c>
      <c r="BB8" s="66">
        <f t="shared" ref="BB8:BB38" si="10">IF(T8=0,0,(T8/$L8*100))</f>
        <v>0</v>
      </c>
      <c r="BC8" s="66">
        <f t="shared" ref="BC8:BC38" si="11">IF(U8=0,0,(U8/$L8*100))</f>
        <v>0</v>
      </c>
      <c r="BD8" s="133">
        <f>SUM(AW8:BC8)</f>
        <v>0</v>
      </c>
    </row>
    <row r="9" spans="1:56" customFormat="1" ht="14.1" customHeight="1" x14ac:dyDescent="0.25">
      <c r="A9" s="70"/>
      <c r="B9" s="133" t="s">
        <v>66</v>
      </c>
      <c r="C9" s="1005" t="s">
        <v>1222</v>
      </c>
      <c r="D9" s="1007" t="s">
        <v>1220</v>
      </c>
      <c r="E9" s="133" t="s">
        <v>1498</v>
      </c>
      <c r="F9" s="66"/>
      <c r="G9" s="66">
        <f>_xlfn.IFNA(INDEX(NewRecipeTable[Percentage Yield],MATCH(E9,NewRecipeTable[ShortCode],0)),0)</f>
        <v>16.690000000000001</v>
      </c>
      <c r="H9" s="134">
        <v>1570</v>
      </c>
      <c r="I9" s="66" t="str">
        <v>No</v>
      </c>
      <c r="J9" s="133" t="s">
        <v>244</v>
      </c>
      <c r="K9" s="133">
        <f>SUMIFS('Pork Leg Deboning'!$E$8:$E$42,'Pork Leg Deboning'!$D$8:$D$42,'New Deboning Leg'!$E9,'Pork Leg Deboning'!$E$8:$E$42,"&gt;0")</f>
        <v>0</v>
      </c>
      <c r="L9" s="66">
        <f t="shared" ref="L9:L38" si="12">$D$2*K9</f>
        <v>0</v>
      </c>
      <c r="M9" s="133">
        <f>SUMIFS('Pork Leg Deboning'!$F$8:$F$42,'Pork Leg Deboning'!$D$8:$D$42,'New Deboning Leg'!$E9,'Pork Leg Deboning'!$E$8:$E$42,"&gt;0")</f>
        <v>0</v>
      </c>
      <c r="N9" s="69"/>
      <c r="O9" s="92" t="s">
        <v>639</v>
      </c>
      <c r="P9" s="71">
        <v>0</v>
      </c>
      <c r="Q9" s="71">
        <v>0</v>
      </c>
      <c r="R9" s="66">
        <v>0</v>
      </c>
      <c r="S9" s="71">
        <v>0</v>
      </c>
      <c r="T9" s="66">
        <v>0</v>
      </c>
      <c r="U9" s="135">
        <v>0</v>
      </c>
      <c r="V9" s="151">
        <f t="shared" si="2"/>
        <v>0</v>
      </c>
      <c r="W9" s="69"/>
      <c r="X9" s="133">
        <f t="shared" ref="X9:X38" si="13">IFERROR(($M9/$L9*100),)</f>
        <v>0</v>
      </c>
      <c r="Y9" s="133">
        <f t="shared" si="3"/>
        <v>0</v>
      </c>
      <c r="Z9" s="133">
        <f t="shared" si="4"/>
        <v>0</v>
      </c>
      <c r="AA9" s="69"/>
      <c r="AB9" s="133">
        <f t="shared" si="5"/>
        <v>0</v>
      </c>
      <c r="AC9" s="66">
        <v>0</v>
      </c>
      <c r="AD9" s="66">
        <v>0</v>
      </c>
      <c r="AE9" s="66">
        <v>0</v>
      </c>
      <c r="AF9" s="66">
        <v>0</v>
      </c>
      <c r="AG9" s="66">
        <v>0</v>
      </c>
      <c r="AH9" s="66">
        <v>0</v>
      </c>
      <c r="AI9" s="66">
        <f t="shared" ref="AI9:AI20" si="14">SUMIF($P$2:$U$2,"&lt;&gt;"&amp;"",AC9:AH9)</f>
        <v>0</v>
      </c>
      <c r="AJ9" s="66">
        <f t="shared" ref="AJ9:AJ38" si="15">SUM(Y9,AC9:AH9)</f>
        <v>0</v>
      </c>
      <c r="AK9" s="69"/>
      <c r="AL9" s="934">
        <f t="shared" ref="AL9:AL38" si="16">L9-X9</f>
        <v>0</v>
      </c>
      <c r="AM9" s="952"/>
      <c r="AN9" s="69"/>
      <c r="AO9" s="66">
        <v>0</v>
      </c>
      <c r="AP9" s="66">
        <v>0</v>
      </c>
      <c r="AQ9" s="66">
        <v>0</v>
      </c>
      <c r="AR9" s="66">
        <v>0</v>
      </c>
      <c r="AS9" s="133">
        <v>0</v>
      </c>
      <c r="AT9" s="946">
        <v>0</v>
      </c>
      <c r="AU9" s="151">
        <f t="shared" ref="AU9:AU20" si="17">SUM(AO9:AT9)</f>
        <v>0</v>
      </c>
      <c r="AV9" s="1011"/>
      <c r="AW9" s="66">
        <f t="shared" ref="AW9:AW38" si="18">IF($M9&lt;0,0,IF($M9=0,0,($M9/$L9*100)))</f>
        <v>0</v>
      </c>
      <c r="AX9" s="66">
        <f t="shared" si="6"/>
        <v>0</v>
      </c>
      <c r="AY9" s="66">
        <f t="shared" si="7"/>
        <v>0</v>
      </c>
      <c r="AZ9" s="66">
        <f t="shared" si="8"/>
        <v>0</v>
      </c>
      <c r="BA9" s="66">
        <f t="shared" si="9"/>
        <v>0</v>
      </c>
      <c r="BB9" s="66">
        <f t="shared" si="10"/>
        <v>0</v>
      </c>
      <c r="BC9" s="66">
        <f t="shared" si="11"/>
        <v>0</v>
      </c>
      <c r="BD9" s="133">
        <f t="shared" ref="BD9:BD38" si="19">SUM(AW9:BC9)</f>
        <v>0</v>
      </c>
    </row>
    <row r="10" spans="1:56" ht="14.1" customHeight="1" x14ac:dyDescent="0.25">
      <c r="A10" s="1119"/>
      <c r="B10" s="1151" t="s">
        <v>68</v>
      </c>
      <c r="C10" s="1194" t="s">
        <v>69</v>
      </c>
      <c r="D10" s="1195" t="s">
        <v>67</v>
      </c>
      <c r="E10" s="1151" t="s">
        <v>102</v>
      </c>
      <c r="F10" s="66"/>
      <c r="G10" s="1154">
        <f>_xlfn.IFNA(INDEX(NewRecipeTable[Percentage Yield],MATCH(E10,NewRecipeTable[ShortCode],0)),0)</f>
        <v>58.02</v>
      </c>
      <c r="H10" s="1196">
        <v>1570</v>
      </c>
      <c r="I10" s="1154" t="str">
        <v>Yes</v>
      </c>
      <c r="J10" s="1151" t="s">
        <v>244</v>
      </c>
      <c r="K10" s="1151">
        <f>SUMIFS('Pork Leg Deboning'!$E$8:$E$42,'Pork Leg Deboning'!$D$8:$D$42,'New Deboning Leg'!$E10,'Pork Leg Deboning'!$E$8:$E$42,"&gt;0")</f>
        <v>10</v>
      </c>
      <c r="L10" s="1154">
        <f t="shared" si="12"/>
        <v>89.830324909747304</v>
      </c>
      <c r="M10" s="1151">
        <f>SUMIFS('Pork Leg Deboning'!$F$8:$F$42,'Pork Leg Deboning'!$D$8:$D$42,'New Deboning Leg'!$E10,'Pork Leg Deboning'!$E$8:$E$42,"&gt;0")</f>
        <v>50</v>
      </c>
      <c r="N10" s="1142"/>
      <c r="O10" s="1155" t="s">
        <v>639</v>
      </c>
      <c r="P10" s="1156">
        <v>1.0158188941348434</v>
      </c>
      <c r="Q10" s="1156">
        <v>11.231077357144192</v>
      </c>
      <c r="R10" s="1154">
        <v>7.3314735268355165</v>
      </c>
      <c r="S10" s="1156">
        <v>3.894011717132543</v>
      </c>
      <c r="T10" s="1154">
        <v>8.6338541676135687</v>
      </c>
      <c r="U10" s="1197">
        <v>0</v>
      </c>
      <c r="V10" s="1198">
        <f t="shared" si="2"/>
        <v>32.106235662860662</v>
      </c>
      <c r="W10" s="1142"/>
      <c r="X10" s="1151">
        <f t="shared" si="13"/>
        <v>55.660491098340223</v>
      </c>
      <c r="Y10" s="1151">
        <f t="shared" si="3"/>
        <v>58.02</v>
      </c>
      <c r="Z10" s="1151">
        <f t="shared" si="4"/>
        <v>2.3595089016597797</v>
      </c>
      <c r="AA10" s="1142"/>
      <c r="AB10" s="1151">
        <f t="shared" si="5"/>
        <v>58.02</v>
      </c>
      <c r="AC10" s="1154">
        <v>1.0900000000000001</v>
      </c>
      <c r="AD10" s="1154">
        <v>13.72</v>
      </c>
      <c r="AE10" s="1154">
        <v>12.28</v>
      </c>
      <c r="AF10" s="1154">
        <v>3.27</v>
      </c>
      <c r="AG10" s="1154">
        <v>11.49</v>
      </c>
      <c r="AH10" s="1154">
        <v>0.13</v>
      </c>
      <c r="AI10" s="66">
        <f t="shared" si="14"/>
        <v>41.85</v>
      </c>
      <c r="AJ10" s="1154">
        <f>SUM(Y10,AC10:AH10)</f>
        <v>100</v>
      </c>
      <c r="AK10" s="69"/>
      <c r="AL10" s="934">
        <f t="shared" si="16"/>
        <v>34.169833811407081</v>
      </c>
      <c r="AM10" s="952"/>
      <c r="AN10" s="69"/>
      <c r="AO10" s="66">
        <v>0</v>
      </c>
      <c r="AP10" s="66">
        <v>0</v>
      </c>
      <c r="AQ10" s="66">
        <v>0</v>
      </c>
      <c r="AR10" s="66">
        <v>0</v>
      </c>
      <c r="AS10" s="133">
        <v>0</v>
      </c>
      <c r="AT10" s="946">
        <v>0</v>
      </c>
      <c r="AU10" s="151">
        <f t="shared" si="17"/>
        <v>0</v>
      </c>
      <c r="AV10" s="1199"/>
      <c r="AW10" s="1154">
        <f t="shared" si="18"/>
        <v>55.660491098340223</v>
      </c>
      <c r="AX10" s="1154">
        <f t="shared" si="6"/>
        <v>1.1308195702903652</v>
      </c>
      <c r="AY10" s="1154">
        <f t="shared" si="7"/>
        <v>12.502545625241895</v>
      </c>
      <c r="AZ10" s="1154">
        <f t="shared" si="8"/>
        <v>8.1614683395629051</v>
      </c>
      <c r="BA10" s="1154">
        <f t="shared" si="9"/>
        <v>4.3348520903657688</v>
      </c>
      <c r="BB10" s="1154">
        <f t="shared" si="10"/>
        <v>9.6112912608164542</v>
      </c>
      <c r="BC10" s="1154">
        <f t="shared" si="11"/>
        <v>0</v>
      </c>
      <c r="BD10" s="1151">
        <f t="shared" si="19"/>
        <v>91.401467984617611</v>
      </c>
    </row>
    <row r="11" spans="1:56" customFormat="1" ht="14.1" customHeight="1" x14ac:dyDescent="0.25">
      <c r="A11" s="70"/>
      <c r="B11" s="133" t="s">
        <v>68</v>
      </c>
      <c r="C11" s="1005" t="s">
        <v>69</v>
      </c>
      <c r="D11" s="1007" t="s">
        <v>1255</v>
      </c>
      <c r="E11" s="133" t="s">
        <v>1499</v>
      </c>
      <c r="F11" s="66"/>
      <c r="G11" s="66">
        <f>_xlfn.IFNA(INDEX(NewRecipeTable[Percentage Yield],MATCH(E11,NewRecipeTable[ShortCode],0)),0)</f>
        <v>31.42</v>
      </c>
      <c r="H11" s="134">
        <v>1570</v>
      </c>
      <c r="I11" s="66" t="str">
        <v>No</v>
      </c>
      <c r="J11" s="133" t="s">
        <v>244</v>
      </c>
      <c r="K11" s="133">
        <f>SUMIFS('Pork Leg Deboning'!$E$8:$E$42,'Pork Leg Deboning'!$D$8:$D$42,'New Deboning Leg'!$E11,'Pork Leg Deboning'!$E$8:$E$42,"&gt;0")</f>
        <v>0</v>
      </c>
      <c r="L11" s="66">
        <f t="shared" si="12"/>
        <v>0</v>
      </c>
      <c r="M11" s="133">
        <f>SUMIFS('Pork Leg Deboning'!$F$8:$F$42,'Pork Leg Deboning'!$D$8:$D$42,'New Deboning Leg'!$E11,'Pork Leg Deboning'!$E$8:$E$42,"&gt;0")</f>
        <v>0</v>
      </c>
      <c r="N11" s="69"/>
      <c r="O11" s="92" t="s">
        <v>639</v>
      </c>
      <c r="P11" s="71">
        <v>0</v>
      </c>
      <c r="Q11" s="71">
        <v>0</v>
      </c>
      <c r="R11" s="66">
        <v>0</v>
      </c>
      <c r="S11" s="71">
        <v>0</v>
      </c>
      <c r="T11" s="66">
        <v>0</v>
      </c>
      <c r="U11" s="135">
        <v>0</v>
      </c>
      <c r="V11" s="151">
        <f t="shared" si="2"/>
        <v>0</v>
      </c>
      <c r="W11" s="69"/>
      <c r="X11" s="133">
        <f t="shared" si="13"/>
        <v>0</v>
      </c>
      <c r="Y11" s="133">
        <f t="shared" si="3"/>
        <v>0</v>
      </c>
      <c r="Z11" s="133">
        <f t="shared" si="4"/>
        <v>0</v>
      </c>
      <c r="AA11" s="69"/>
      <c r="AB11" s="133">
        <f t="shared" si="5"/>
        <v>0</v>
      </c>
      <c r="AC11" s="66">
        <v>0</v>
      </c>
      <c r="AD11" s="66">
        <v>0</v>
      </c>
      <c r="AE11" s="66">
        <v>0</v>
      </c>
      <c r="AF11" s="66">
        <v>0</v>
      </c>
      <c r="AG11" s="66">
        <v>0</v>
      </c>
      <c r="AH11" s="66">
        <v>0</v>
      </c>
      <c r="AI11" s="66">
        <f t="shared" si="14"/>
        <v>0</v>
      </c>
      <c r="AJ11" s="66">
        <f t="shared" si="15"/>
        <v>0</v>
      </c>
      <c r="AK11" s="69"/>
      <c r="AL11" s="934">
        <f t="shared" si="16"/>
        <v>0</v>
      </c>
      <c r="AM11" s="952"/>
      <c r="AN11" s="69"/>
      <c r="AO11" s="66">
        <v>0</v>
      </c>
      <c r="AP11" s="66">
        <v>0</v>
      </c>
      <c r="AQ11" s="66">
        <v>0</v>
      </c>
      <c r="AR11" s="66">
        <v>0</v>
      </c>
      <c r="AS11" s="133">
        <v>0</v>
      </c>
      <c r="AT11" s="946">
        <v>0</v>
      </c>
      <c r="AU11" s="151">
        <f t="shared" si="17"/>
        <v>0</v>
      </c>
      <c r="AV11" s="1011"/>
      <c r="AW11" s="66">
        <f t="shared" si="18"/>
        <v>0</v>
      </c>
      <c r="AX11" s="66">
        <f t="shared" si="6"/>
        <v>0</v>
      </c>
      <c r="AY11" s="66">
        <f t="shared" si="7"/>
        <v>0</v>
      </c>
      <c r="AZ11" s="66">
        <f t="shared" si="8"/>
        <v>0</v>
      </c>
      <c r="BA11" s="66">
        <f t="shared" si="9"/>
        <v>0</v>
      </c>
      <c r="BB11" s="66">
        <f t="shared" si="10"/>
        <v>0</v>
      </c>
      <c r="BC11" s="66">
        <f t="shared" si="11"/>
        <v>0</v>
      </c>
      <c r="BD11" s="133">
        <f t="shared" si="19"/>
        <v>0</v>
      </c>
    </row>
    <row r="12" spans="1:56" customFormat="1" ht="14.1" customHeight="1" x14ac:dyDescent="0.25">
      <c r="A12" s="70"/>
      <c r="B12" s="133" t="s">
        <v>68</v>
      </c>
      <c r="C12" s="1005" t="s">
        <v>69</v>
      </c>
      <c r="D12" s="1007" t="s">
        <v>1270</v>
      </c>
      <c r="E12" s="133" t="s">
        <v>1500</v>
      </c>
      <c r="F12" s="66"/>
      <c r="G12" s="66">
        <f>_xlfn.IFNA(INDEX(NewRecipeTable[Percentage Yield],MATCH(E12,NewRecipeTable[ShortCode],0)),0)</f>
        <v>48.95</v>
      </c>
      <c r="H12" s="134">
        <v>1570</v>
      </c>
      <c r="I12" s="66" t="str">
        <v>No</v>
      </c>
      <c r="J12" s="133" t="s">
        <v>244</v>
      </c>
      <c r="K12" s="133">
        <f>SUMIFS('Pork Leg Deboning'!$E$8:$E$42,'Pork Leg Deboning'!$D$8:$D$42,'New Deboning Leg'!$E12,'Pork Leg Deboning'!$E$8:$E$42,"&gt;0")</f>
        <v>0</v>
      </c>
      <c r="L12" s="66">
        <f t="shared" si="12"/>
        <v>0</v>
      </c>
      <c r="M12" s="133">
        <f>SUMIFS('Pork Leg Deboning'!$F$8:$F$42,'Pork Leg Deboning'!$D$8:$D$42,'New Deboning Leg'!$E12,'Pork Leg Deboning'!$E$8:$E$42,"&gt;0")</f>
        <v>0</v>
      </c>
      <c r="N12" s="69"/>
      <c r="O12" s="92" t="s">
        <v>639</v>
      </c>
      <c r="P12" s="71">
        <v>0</v>
      </c>
      <c r="Q12" s="71">
        <v>0</v>
      </c>
      <c r="R12" s="66">
        <v>0</v>
      </c>
      <c r="S12" s="71">
        <v>0</v>
      </c>
      <c r="T12" s="66">
        <v>0</v>
      </c>
      <c r="U12" s="135">
        <v>0</v>
      </c>
      <c r="V12" s="151">
        <f t="shared" si="2"/>
        <v>0</v>
      </c>
      <c r="W12" s="69"/>
      <c r="X12" s="133">
        <f t="shared" si="13"/>
        <v>0</v>
      </c>
      <c r="Y12" s="133">
        <f t="shared" si="3"/>
        <v>0</v>
      </c>
      <c r="Z12" s="133">
        <f t="shared" si="4"/>
        <v>0</v>
      </c>
      <c r="AA12" s="69"/>
      <c r="AB12" s="133">
        <f t="shared" si="5"/>
        <v>0</v>
      </c>
      <c r="AC12" s="66">
        <v>0</v>
      </c>
      <c r="AD12" s="66">
        <v>0</v>
      </c>
      <c r="AE12" s="66">
        <v>0</v>
      </c>
      <c r="AF12" s="66">
        <v>0</v>
      </c>
      <c r="AG12" s="66">
        <v>0</v>
      </c>
      <c r="AH12" s="66">
        <v>0</v>
      </c>
      <c r="AI12" s="66">
        <f t="shared" si="14"/>
        <v>0</v>
      </c>
      <c r="AJ12" s="66">
        <f t="shared" si="15"/>
        <v>0</v>
      </c>
      <c r="AK12" s="69"/>
      <c r="AL12" s="934">
        <f t="shared" si="16"/>
        <v>0</v>
      </c>
      <c r="AM12" s="952"/>
      <c r="AN12" s="69"/>
      <c r="AO12" s="66">
        <v>0</v>
      </c>
      <c r="AP12" s="66">
        <v>0</v>
      </c>
      <c r="AQ12" s="66">
        <v>0</v>
      </c>
      <c r="AR12" s="66">
        <v>0</v>
      </c>
      <c r="AS12" s="133">
        <v>0</v>
      </c>
      <c r="AT12" s="946">
        <v>0</v>
      </c>
      <c r="AU12" s="151">
        <f t="shared" si="17"/>
        <v>0</v>
      </c>
      <c r="AV12" s="1011"/>
      <c r="AW12" s="66">
        <f t="shared" si="18"/>
        <v>0</v>
      </c>
      <c r="AX12" s="66">
        <f t="shared" si="6"/>
        <v>0</v>
      </c>
      <c r="AY12" s="66">
        <f t="shared" si="7"/>
        <v>0</v>
      </c>
      <c r="AZ12" s="66">
        <f t="shared" si="8"/>
        <v>0</v>
      </c>
      <c r="BA12" s="66">
        <f t="shared" si="9"/>
        <v>0</v>
      </c>
      <c r="BB12" s="66">
        <f t="shared" si="10"/>
        <v>0</v>
      </c>
      <c r="BC12" s="66">
        <f t="shared" si="11"/>
        <v>0</v>
      </c>
      <c r="BD12" s="133">
        <f t="shared" si="19"/>
        <v>0</v>
      </c>
    </row>
    <row r="13" spans="1:56" ht="14.1" customHeight="1" x14ac:dyDescent="0.25">
      <c r="A13" s="1119"/>
      <c r="B13" s="1151" t="s">
        <v>72</v>
      </c>
      <c r="C13" s="1194" t="s">
        <v>251</v>
      </c>
      <c r="D13" s="1195" t="s">
        <v>71</v>
      </c>
      <c r="E13" s="1151" t="s">
        <v>103</v>
      </c>
      <c r="F13" s="66"/>
      <c r="G13" s="1154">
        <f>_xlfn.IFNA(INDEX(NewRecipeTable[Percentage Yield],MATCH(E13,NewRecipeTable[ShortCode],0)),0)</f>
        <v>79.16</v>
      </c>
      <c r="H13" s="1196">
        <v>1570</v>
      </c>
      <c r="I13" s="1154" t="str">
        <v>Yes</v>
      </c>
      <c r="J13" s="1151" t="s">
        <v>244</v>
      </c>
      <c r="K13" s="1151">
        <f>SUMIFS('Pork Leg Deboning'!$E$8:$E$42,'Pork Leg Deboning'!$D$8:$D$42,'New Deboning Leg'!$E13,'Pork Leg Deboning'!$E$8:$E$42,"&gt;0")</f>
        <v>102</v>
      </c>
      <c r="L13" s="1154">
        <f t="shared" si="12"/>
        <v>916.26931407942254</v>
      </c>
      <c r="M13" s="1151">
        <f>SUMIFS('Pork Leg Deboning'!$F$8:$F$42,'Pork Leg Deboning'!$D$8:$D$42,'New Deboning Leg'!$E13,'Pork Leg Deboning'!$E$8:$E$42,"&gt;0")</f>
        <v>715.7</v>
      </c>
      <c r="N13" s="1142"/>
      <c r="O13" s="1155" t="s">
        <v>639</v>
      </c>
      <c r="P13" s="1156">
        <v>9.5067788615333129</v>
      </c>
      <c r="Q13" s="1156">
        <v>84.423249848557958</v>
      </c>
      <c r="R13" s="1154">
        <v>34.044606215760624</v>
      </c>
      <c r="S13" s="1156">
        <v>30.369183336339706</v>
      </c>
      <c r="T13" s="1154">
        <v>11.344621190952379</v>
      </c>
      <c r="U13" s="1197">
        <v>0</v>
      </c>
      <c r="V13" s="1198">
        <f t="shared" si="2"/>
        <v>169.68843945314399</v>
      </c>
      <c r="W13" s="1142"/>
      <c r="X13" s="1151">
        <f t="shared" si="13"/>
        <v>78.110222508004114</v>
      </c>
      <c r="Y13" s="1151">
        <f t="shared" si="3"/>
        <v>79.16</v>
      </c>
      <c r="Z13" s="1151">
        <f t="shared" si="4"/>
        <v>1.0497774919958829</v>
      </c>
      <c r="AA13" s="1142"/>
      <c r="AB13" s="1151">
        <f t="shared" si="5"/>
        <v>79.16</v>
      </c>
      <c r="AC13" s="1154">
        <v>1</v>
      </c>
      <c r="AD13" s="1154">
        <v>10.11</v>
      </c>
      <c r="AE13" s="1154">
        <v>5.59</v>
      </c>
      <c r="AF13" s="1154">
        <v>2.5</v>
      </c>
      <c r="AG13" s="1154">
        <v>1.48</v>
      </c>
      <c r="AH13" s="1154">
        <v>0.15</v>
      </c>
      <c r="AI13" s="66">
        <f t="shared" si="14"/>
        <v>20.68</v>
      </c>
      <c r="AJ13" s="1154">
        <f t="shared" si="15"/>
        <v>99.990000000000009</v>
      </c>
      <c r="AK13" s="69"/>
      <c r="AL13" s="934">
        <f t="shared" si="16"/>
        <v>838.15909157141846</v>
      </c>
      <c r="AM13" s="952"/>
      <c r="AN13" s="69"/>
      <c r="AO13" s="66">
        <v>0</v>
      </c>
      <c r="AP13" s="66">
        <v>0</v>
      </c>
      <c r="AQ13" s="66">
        <v>0</v>
      </c>
      <c r="AR13" s="66">
        <v>0</v>
      </c>
      <c r="AS13" s="133">
        <v>0</v>
      </c>
      <c r="AT13" s="946">
        <v>0</v>
      </c>
      <c r="AU13" s="151">
        <f t="shared" si="17"/>
        <v>0</v>
      </c>
      <c r="AV13" s="1199"/>
      <c r="AW13" s="1154">
        <f t="shared" si="18"/>
        <v>78.110222508004114</v>
      </c>
      <c r="AX13" s="1154">
        <f t="shared" si="6"/>
        <v>1.0375529023456156</v>
      </c>
      <c r="AY13" s="1154">
        <f t="shared" si="7"/>
        <v>9.2138030327227707</v>
      </c>
      <c r="AZ13" s="1154">
        <f t="shared" si="8"/>
        <v>3.7155676494487104</v>
      </c>
      <c r="BA13" s="1154">
        <f t="shared" si="9"/>
        <v>3.3144385465807815</v>
      </c>
      <c r="BB13" s="1154">
        <f t="shared" si="10"/>
        <v>1.2381317388491113</v>
      </c>
      <c r="BC13" s="1154">
        <f t="shared" si="11"/>
        <v>0</v>
      </c>
      <c r="BD13" s="1151">
        <f t="shared" si="19"/>
        <v>96.629716377951084</v>
      </c>
    </row>
    <row r="14" spans="1:56" customFormat="1" ht="14.1" customHeight="1" x14ac:dyDescent="0.25">
      <c r="A14" s="70"/>
      <c r="B14" s="133" t="s">
        <v>72</v>
      </c>
      <c r="C14" s="1005" t="s">
        <v>251</v>
      </c>
      <c r="D14" s="1007" t="s">
        <v>1232</v>
      </c>
      <c r="E14" s="133" t="s">
        <v>1501</v>
      </c>
      <c r="F14" s="66"/>
      <c r="G14" s="66">
        <f>_xlfn.IFNA(INDEX(NewRecipeTable[Percentage Yield],MATCH(E14,NewRecipeTable[ShortCode],0)),0)</f>
        <v>71.45</v>
      </c>
      <c r="H14" s="134">
        <v>1570</v>
      </c>
      <c r="I14" s="66" t="str">
        <v>No</v>
      </c>
      <c r="J14" s="133" t="s">
        <v>244</v>
      </c>
      <c r="K14" s="133">
        <f>SUMIFS('Pork Leg Deboning'!$E$8:$E$42,'Pork Leg Deboning'!$D$8:$D$42,'New Deboning Leg'!$E14,'Pork Leg Deboning'!$E$8:$E$42,"&gt;0")</f>
        <v>0</v>
      </c>
      <c r="L14" s="66">
        <f t="shared" si="12"/>
        <v>0</v>
      </c>
      <c r="M14" s="133">
        <f>SUMIFS('Pork Leg Deboning'!$F$8:$F$42,'Pork Leg Deboning'!$D$8:$D$42,'New Deboning Leg'!$E14,'Pork Leg Deboning'!$E$8:$E$42,"&gt;0")</f>
        <v>0</v>
      </c>
      <c r="N14" s="69"/>
      <c r="O14" s="92" t="s">
        <v>639</v>
      </c>
      <c r="P14" s="71">
        <v>0</v>
      </c>
      <c r="Q14" s="71">
        <v>0</v>
      </c>
      <c r="R14" s="66">
        <v>0</v>
      </c>
      <c r="S14" s="71">
        <v>0</v>
      </c>
      <c r="T14" s="66">
        <v>0</v>
      </c>
      <c r="U14" s="135">
        <v>0</v>
      </c>
      <c r="V14" s="151">
        <f t="shared" si="2"/>
        <v>0</v>
      </c>
      <c r="W14" s="69"/>
      <c r="X14" s="133">
        <f t="shared" si="13"/>
        <v>0</v>
      </c>
      <c r="Y14" s="133">
        <f t="shared" si="3"/>
        <v>0</v>
      </c>
      <c r="Z14" s="133">
        <f t="shared" si="4"/>
        <v>0</v>
      </c>
      <c r="AA14" s="69"/>
      <c r="AB14" s="133">
        <f t="shared" si="5"/>
        <v>0</v>
      </c>
      <c r="AC14" s="66">
        <v>0</v>
      </c>
      <c r="AD14" s="66">
        <v>0</v>
      </c>
      <c r="AE14" s="66">
        <v>0</v>
      </c>
      <c r="AF14" s="66">
        <v>0</v>
      </c>
      <c r="AG14" s="66">
        <v>0</v>
      </c>
      <c r="AH14" s="66">
        <v>0</v>
      </c>
      <c r="AI14" s="66">
        <f t="shared" si="14"/>
        <v>0</v>
      </c>
      <c r="AJ14" s="66">
        <f t="shared" si="15"/>
        <v>0</v>
      </c>
      <c r="AK14" s="69"/>
      <c r="AL14" s="934">
        <f t="shared" si="16"/>
        <v>0</v>
      </c>
      <c r="AM14" s="952"/>
      <c r="AN14" s="69"/>
      <c r="AO14" s="66">
        <v>0</v>
      </c>
      <c r="AP14" s="66">
        <v>0</v>
      </c>
      <c r="AQ14" s="66">
        <v>0</v>
      </c>
      <c r="AR14" s="66">
        <v>0</v>
      </c>
      <c r="AS14" s="133">
        <v>0</v>
      </c>
      <c r="AT14" s="946">
        <v>0</v>
      </c>
      <c r="AU14" s="151">
        <f t="shared" si="17"/>
        <v>0</v>
      </c>
      <c r="AV14" s="1011"/>
      <c r="AW14" s="66">
        <f t="shared" si="18"/>
        <v>0</v>
      </c>
      <c r="AX14" s="66">
        <f t="shared" si="6"/>
        <v>0</v>
      </c>
      <c r="AY14" s="66">
        <f t="shared" si="7"/>
        <v>0</v>
      </c>
      <c r="AZ14" s="66">
        <f t="shared" si="8"/>
        <v>0</v>
      </c>
      <c r="BA14" s="66">
        <f t="shared" si="9"/>
        <v>0</v>
      </c>
      <c r="BB14" s="66">
        <f t="shared" si="10"/>
        <v>0</v>
      </c>
      <c r="BC14" s="66">
        <f t="shared" si="11"/>
        <v>0</v>
      </c>
      <c r="BD14" s="133">
        <f t="shared" si="19"/>
        <v>0</v>
      </c>
    </row>
    <row r="15" spans="1:56" customFormat="1" ht="14.1" customHeight="1" x14ac:dyDescent="0.25">
      <c r="A15" s="70"/>
      <c r="B15" s="133" t="s">
        <v>1264</v>
      </c>
      <c r="C15" s="1005" t="s">
        <v>1265</v>
      </c>
      <c r="D15" s="1007" t="s">
        <v>1262</v>
      </c>
      <c r="E15" s="133" t="s">
        <v>1502</v>
      </c>
      <c r="F15" s="66"/>
      <c r="G15" s="66">
        <f>_xlfn.IFNA(INDEX(NewRecipeTable[Percentage Yield],MATCH(E15,NewRecipeTable[ShortCode],0)),0)</f>
        <v>94.112799999999993</v>
      </c>
      <c r="H15" s="134">
        <v>1570</v>
      </c>
      <c r="I15" s="66" t="str">
        <v>No</v>
      </c>
      <c r="J15" s="133" t="s">
        <v>244</v>
      </c>
      <c r="K15" s="133">
        <f>SUMIFS('Pork Leg Deboning'!$E$8:$E$42,'Pork Leg Deboning'!$D$8:$D$42,'New Deboning Leg'!$E15,'Pork Leg Deboning'!$E$8:$E$42,"&gt;0")</f>
        <v>0</v>
      </c>
      <c r="L15" s="66">
        <f t="shared" si="12"/>
        <v>0</v>
      </c>
      <c r="M15" s="133">
        <f>SUMIFS('Pork Leg Deboning'!$F$8:$F$42,'Pork Leg Deboning'!$D$8:$D$42,'New Deboning Leg'!$E15,'Pork Leg Deboning'!$E$8:$E$42,"&gt;0")</f>
        <v>0</v>
      </c>
      <c r="N15" s="69"/>
      <c r="O15" s="92" t="s">
        <v>639</v>
      </c>
      <c r="P15" s="71">
        <v>0</v>
      </c>
      <c r="Q15" s="71">
        <v>0</v>
      </c>
      <c r="R15" s="66">
        <v>0</v>
      </c>
      <c r="S15" s="71">
        <v>0</v>
      </c>
      <c r="T15" s="66">
        <v>0</v>
      </c>
      <c r="U15" s="135">
        <v>0</v>
      </c>
      <c r="V15" s="151">
        <f t="shared" si="2"/>
        <v>0</v>
      </c>
      <c r="W15" s="69"/>
      <c r="X15" s="133">
        <f t="shared" si="13"/>
        <v>0</v>
      </c>
      <c r="Y15" s="133">
        <f t="shared" si="3"/>
        <v>0</v>
      </c>
      <c r="Z15" s="133">
        <f t="shared" si="4"/>
        <v>0</v>
      </c>
      <c r="AA15" s="69"/>
      <c r="AB15" s="133">
        <f t="shared" si="5"/>
        <v>0</v>
      </c>
      <c r="AC15" s="66">
        <v>0</v>
      </c>
      <c r="AD15" s="66">
        <v>0</v>
      </c>
      <c r="AE15" s="66">
        <v>0</v>
      </c>
      <c r="AF15" s="66">
        <v>0</v>
      </c>
      <c r="AG15" s="66">
        <v>0</v>
      </c>
      <c r="AH15" s="66">
        <v>0</v>
      </c>
      <c r="AI15" s="66">
        <f t="shared" si="14"/>
        <v>0</v>
      </c>
      <c r="AJ15" s="66">
        <f t="shared" si="15"/>
        <v>0</v>
      </c>
      <c r="AK15" s="69"/>
      <c r="AL15" s="934">
        <f t="shared" si="16"/>
        <v>0</v>
      </c>
      <c r="AM15" s="952"/>
      <c r="AN15" s="69"/>
      <c r="AO15" s="66">
        <v>0</v>
      </c>
      <c r="AP15" s="66">
        <v>0</v>
      </c>
      <c r="AQ15" s="66">
        <v>0</v>
      </c>
      <c r="AR15" s="66">
        <v>0</v>
      </c>
      <c r="AS15" s="133">
        <v>0</v>
      </c>
      <c r="AT15" s="946">
        <v>0</v>
      </c>
      <c r="AU15" s="151">
        <f t="shared" si="17"/>
        <v>0</v>
      </c>
      <c r="AV15" s="1011"/>
      <c r="AW15" s="66">
        <f t="shared" si="18"/>
        <v>0</v>
      </c>
      <c r="AX15" s="66">
        <f t="shared" si="6"/>
        <v>0</v>
      </c>
      <c r="AY15" s="66">
        <f t="shared" si="7"/>
        <v>0</v>
      </c>
      <c r="AZ15" s="66">
        <f t="shared" si="8"/>
        <v>0</v>
      </c>
      <c r="BA15" s="66">
        <f t="shared" si="9"/>
        <v>0</v>
      </c>
      <c r="BB15" s="66">
        <f t="shared" si="10"/>
        <v>0</v>
      </c>
      <c r="BC15" s="66">
        <f t="shared" si="11"/>
        <v>0</v>
      </c>
      <c r="BD15" s="133">
        <f t="shared" si="19"/>
        <v>0</v>
      </c>
    </row>
    <row r="16" spans="1:56" ht="14.1" customHeight="1" x14ac:dyDescent="0.25">
      <c r="A16" s="1119"/>
      <c r="B16" s="1151" t="s">
        <v>74</v>
      </c>
      <c r="C16" s="1194" t="s">
        <v>75</v>
      </c>
      <c r="D16" s="1195" t="s">
        <v>73</v>
      </c>
      <c r="E16" s="1151" t="s">
        <v>104</v>
      </c>
      <c r="F16" s="66"/>
      <c r="G16" s="1154">
        <f>_xlfn.IFNA(INDEX(NewRecipeTable[Percentage Yield],MATCH(E16,NewRecipeTable[ShortCode],0)),0)</f>
        <v>70.040000000000006</v>
      </c>
      <c r="H16" s="1196">
        <v>1570</v>
      </c>
      <c r="I16" s="1154" t="str">
        <v>Yes</v>
      </c>
      <c r="J16" s="1151" t="s">
        <v>244</v>
      </c>
      <c r="K16" s="1151">
        <f>SUMIFS('Pork Leg Deboning'!$E$8:$E$42,'Pork Leg Deboning'!$D$8:$D$42,'New Deboning Leg'!$E16,'Pork Leg Deboning'!$E$8:$E$42,"&gt;0")</f>
        <v>20</v>
      </c>
      <c r="L16" s="1154">
        <f t="shared" si="12"/>
        <v>179.66064981949461</v>
      </c>
      <c r="M16" s="1151">
        <f>SUMIFS('Pork Leg Deboning'!$F$8:$F$42,'Pork Leg Deboning'!$D$8:$D$42,'New Deboning Leg'!$E16,'Pork Leg Deboning'!$E$8:$E$42,"&gt;0")</f>
        <v>103.9</v>
      </c>
      <c r="N16" s="1142"/>
      <c r="O16" s="1155" t="s">
        <v>639</v>
      </c>
      <c r="P16" s="1156">
        <v>2.3298598489331273</v>
      </c>
      <c r="Q16" s="1156">
        <v>27.291845414518029</v>
      </c>
      <c r="R16" s="1154">
        <v>7.5464027181759725</v>
      </c>
      <c r="S16" s="1156">
        <v>8.3834380699122626</v>
      </c>
      <c r="T16" s="1154">
        <v>3.0056933568715642</v>
      </c>
      <c r="U16" s="1197">
        <v>0</v>
      </c>
      <c r="V16" s="1198">
        <f t="shared" si="2"/>
        <v>48.55723940841095</v>
      </c>
      <c r="W16" s="1142"/>
      <c r="X16" s="1151">
        <f t="shared" si="13"/>
        <v>57.83125025117549</v>
      </c>
      <c r="Y16" s="1151">
        <f t="shared" si="3"/>
        <v>70.040000000000006</v>
      </c>
      <c r="Z16" s="1151">
        <f t="shared" si="4"/>
        <v>12.208749748824516</v>
      </c>
      <c r="AA16" s="1142"/>
      <c r="AB16" s="1151">
        <f t="shared" si="5"/>
        <v>70.040000000000006</v>
      </c>
      <c r="AC16" s="1154">
        <v>1.25</v>
      </c>
      <c r="AD16" s="1154">
        <v>16.670000000000002</v>
      </c>
      <c r="AE16" s="1154">
        <v>6.32</v>
      </c>
      <c r="AF16" s="1154">
        <v>3.52</v>
      </c>
      <c r="AG16" s="1154">
        <v>2</v>
      </c>
      <c r="AH16" s="1154">
        <v>0.2</v>
      </c>
      <c r="AI16" s="66">
        <f t="shared" si="14"/>
        <v>29.76</v>
      </c>
      <c r="AJ16" s="1154">
        <f t="shared" si="15"/>
        <v>100</v>
      </c>
      <c r="AK16" s="69"/>
      <c r="AL16" s="934">
        <f t="shared" si="16"/>
        <v>121.82939956831912</v>
      </c>
      <c r="AM16" s="952"/>
      <c r="AN16" s="69"/>
      <c r="AO16" s="66">
        <v>0</v>
      </c>
      <c r="AP16" s="66">
        <v>0</v>
      </c>
      <c r="AQ16" s="66">
        <v>0</v>
      </c>
      <c r="AR16" s="66">
        <v>0</v>
      </c>
      <c r="AS16" s="133">
        <v>0</v>
      </c>
      <c r="AT16" s="946">
        <v>0</v>
      </c>
      <c r="AU16" s="151">
        <f t="shared" si="17"/>
        <v>0</v>
      </c>
      <c r="AV16" s="1199"/>
      <c r="AW16" s="1154">
        <f t="shared" si="18"/>
        <v>57.83125025117549</v>
      </c>
      <c r="AX16" s="1154">
        <f t="shared" si="6"/>
        <v>1.2968114338192263</v>
      </c>
      <c r="AY16" s="1154">
        <f t="shared" si="7"/>
        <v>15.190775187520583</v>
      </c>
      <c r="AZ16" s="1154">
        <f t="shared" si="8"/>
        <v>4.2003648131952422</v>
      </c>
      <c r="BA16" s="1154">
        <f t="shared" si="9"/>
        <v>4.6662628006383811</v>
      </c>
      <c r="BB16" s="1154">
        <f t="shared" si="10"/>
        <v>1.6729836833449006</v>
      </c>
      <c r="BC16" s="1154">
        <f t="shared" si="11"/>
        <v>0</v>
      </c>
      <c r="BD16" s="1151">
        <f t="shared" si="19"/>
        <v>84.858448169693816</v>
      </c>
    </row>
    <row r="17" spans="1:57" customFormat="1" ht="14.1" customHeight="1" x14ac:dyDescent="0.25">
      <c r="A17" s="70"/>
      <c r="B17" s="133" t="s">
        <v>1225</v>
      </c>
      <c r="C17" s="1005" t="s">
        <v>76</v>
      </c>
      <c r="D17" s="1007" t="s">
        <v>1223</v>
      </c>
      <c r="E17" s="133" t="s">
        <v>1503</v>
      </c>
      <c r="F17" s="66"/>
      <c r="G17" s="66">
        <f>_xlfn.IFNA(INDEX(NewRecipeTable[Percentage Yield],MATCH(E17,NewRecipeTable[ShortCode],0)),0)</f>
        <v>11.5</v>
      </c>
      <c r="H17" s="134">
        <v>1570</v>
      </c>
      <c r="I17" s="66" t="str">
        <v>No</v>
      </c>
      <c r="J17" s="133" t="s">
        <v>244</v>
      </c>
      <c r="K17" s="133">
        <f>SUMIFS('Pork Leg Deboning'!$E$8:$E$42,'Pork Leg Deboning'!$D$8:$D$42,'New Deboning Leg'!$E17,'Pork Leg Deboning'!$E$8:$E$42,"&gt;0")</f>
        <v>0</v>
      </c>
      <c r="L17" s="66">
        <f t="shared" si="12"/>
        <v>0</v>
      </c>
      <c r="M17" s="133">
        <f>SUMIFS('Pork Leg Deboning'!$F$8:$F$42,'Pork Leg Deboning'!$D$8:$D$42,'New Deboning Leg'!$E17,'Pork Leg Deboning'!$E$8:$E$42,"&gt;0")</f>
        <v>0</v>
      </c>
      <c r="N17" s="69"/>
      <c r="O17" s="92" t="s">
        <v>639</v>
      </c>
      <c r="P17" s="71">
        <v>0</v>
      </c>
      <c r="Q17" s="71">
        <v>0</v>
      </c>
      <c r="R17" s="66">
        <v>0</v>
      </c>
      <c r="S17" s="71">
        <v>0</v>
      </c>
      <c r="T17" s="66">
        <v>0</v>
      </c>
      <c r="U17" s="135">
        <v>0</v>
      </c>
      <c r="V17" s="151">
        <f t="shared" si="2"/>
        <v>0</v>
      </c>
      <c r="W17" s="69"/>
      <c r="X17" s="133">
        <f t="shared" si="13"/>
        <v>0</v>
      </c>
      <c r="Y17" s="133">
        <f t="shared" si="3"/>
        <v>0</v>
      </c>
      <c r="Z17" s="133">
        <f t="shared" si="4"/>
        <v>0</v>
      </c>
      <c r="AA17" s="69"/>
      <c r="AB17" s="133">
        <f t="shared" si="5"/>
        <v>0</v>
      </c>
      <c r="AC17" s="66">
        <v>0</v>
      </c>
      <c r="AD17" s="66">
        <v>0</v>
      </c>
      <c r="AE17" s="66">
        <v>0</v>
      </c>
      <c r="AF17" s="66">
        <v>0</v>
      </c>
      <c r="AG17" s="66">
        <v>0</v>
      </c>
      <c r="AH17" s="66">
        <v>0</v>
      </c>
      <c r="AI17" s="66">
        <f t="shared" si="14"/>
        <v>0</v>
      </c>
      <c r="AJ17" s="66">
        <f t="shared" si="15"/>
        <v>0</v>
      </c>
      <c r="AK17" s="69"/>
      <c r="AL17" s="934">
        <f t="shared" si="16"/>
        <v>0</v>
      </c>
      <c r="AM17" s="952"/>
      <c r="AN17" s="69"/>
      <c r="AO17" s="66">
        <v>0</v>
      </c>
      <c r="AP17" s="66">
        <v>0</v>
      </c>
      <c r="AQ17" s="66">
        <v>0</v>
      </c>
      <c r="AR17" s="66">
        <v>0</v>
      </c>
      <c r="AS17" s="133">
        <v>0</v>
      </c>
      <c r="AT17" s="946">
        <v>0</v>
      </c>
      <c r="AU17" s="151">
        <f t="shared" si="17"/>
        <v>0</v>
      </c>
      <c r="AV17" s="1011"/>
      <c r="AW17" s="66">
        <f t="shared" si="18"/>
        <v>0</v>
      </c>
      <c r="AX17" s="66">
        <f t="shared" si="6"/>
        <v>0</v>
      </c>
      <c r="AY17" s="66">
        <f t="shared" si="7"/>
        <v>0</v>
      </c>
      <c r="AZ17" s="66">
        <f t="shared" si="8"/>
        <v>0</v>
      </c>
      <c r="BA17" s="66">
        <f t="shared" si="9"/>
        <v>0</v>
      </c>
      <c r="BB17" s="66">
        <f t="shared" si="10"/>
        <v>0</v>
      </c>
      <c r="BC17" s="66">
        <f t="shared" si="11"/>
        <v>0</v>
      </c>
      <c r="BD17" s="133">
        <f t="shared" si="19"/>
        <v>0</v>
      </c>
    </row>
    <row r="18" spans="1:57" customFormat="1" ht="14.1" customHeight="1" x14ac:dyDescent="0.25">
      <c r="A18" s="70"/>
      <c r="B18" s="133" t="s">
        <v>1268</v>
      </c>
      <c r="C18" s="1005" t="s">
        <v>1269</v>
      </c>
      <c r="D18" s="1007" t="s">
        <v>1266</v>
      </c>
      <c r="E18" s="133" t="s">
        <v>1504</v>
      </c>
      <c r="F18" s="66"/>
      <c r="G18" s="66">
        <f>_xlfn.IFNA(INDEX(NewRecipeTable[Percentage Yield],MATCH(E18,NewRecipeTable[ShortCode],0)),0)</f>
        <v>26.61</v>
      </c>
      <c r="H18" s="134">
        <v>1570</v>
      </c>
      <c r="I18" s="66" t="str">
        <v>No</v>
      </c>
      <c r="J18" s="133" t="s">
        <v>244</v>
      </c>
      <c r="K18" s="133">
        <f>SUMIFS('Pork Leg Deboning'!$E$8:$E$42,'Pork Leg Deboning'!$D$8:$D$42,'New Deboning Leg'!$E18,'Pork Leg Deboning'!$E$8:$E$42,"&gt;0")</f>
        <v>0</v>
      </c>
      <c r="L18" s="66">
        <f t="shared" si="12"/>
        <v>0</v>
      </c>
      <c r="M18" s="133">
        <f>SUMIFS('Pork Leg Deboning'!$F$8:$F$42,'Pork Leg Deboning'!$D$8:$D$42,'New Deboning Leg'!$E18,'Pork Leg Deboning'!$E$8:$E$42,"&gt;0")</f>
        <v>0</v>
      </c>
      <c r="N18" s="69"/>
      <c r="O18" s="92" t="s">
        <v>639</v>
      </c>
      <c r="P18" s="71">
        <v>0</v>
      </c>
      <c r="Q18" s="71">
        <v>0</v>
      </c>
      <c r="R18" s="66">
        <v>0</v>
      </c>
      <c r="S18" s="71">
        <v>0</v>
      </c>
      <c r="T18" s="66">
        <v>0</v>
      </c>
      <c r="U18" s="135">
        <v>0</v>
      </c>
      <c r="V18" s="151">
        <f t="shared" si="2"/>
        <v>0</v>
      </c>
      <c r="W18" s="69"/>
      <c r="X18" s="133">
        <f t="shared" si="13"/>
        <v>0</v>
      </c>
      <c r="Y18" s="133">
        <f t="shared" si="3"/>
        <v>0</v>
      </c>
      <c r="Z18" s="133">
        <f t="shared" si="4"/>
        <v>0</v>
      </c>
      <c r="AA18" s="69"/>
      <c r="AB18" s="133">
        <f t="shared" si="5"/>
        <v>0</v>
      </c>
      <c r="AC18" s="66">
        <v>0</v>
      </c>
      <c r="AD18" s="66">
        <v>0</v>
      </c>
      <c r="AE18" s="66">
        <v>0</v>
      </c>
      <c r="AF18" s="66">
        <v>0</v>
      </c>
      <c r="AG18" s="66">
        <v>0</v>
      </c>
      <c r="AH18" s="66">
        <v>0</v>
      </c>
      <c r="AI18" s="66">
        <f t="shared" si="14"/>
        <v>0</v>
      </c>
      <c r="AJ18" s="66">
        <f t="shared" si="15"/>
        <v>0</v>
      </c>
      <c r="AK18" s="69"/>
      <c r="AL18" s="934">
        <f t="shared" si="16"/>
        <v>0</v>
      </c>
      <c r="AM18" s="952"/>
      <c r="AN18" s="69"/>
      <c r="AO18" s="66">
        <v>0</v>
      </c>
      <c r="AP18" s="66">
        <v>0</v>
      </c>
      <c r="AQ18" s="66">
        <v>0</v>
      </c>
      <c r="AR18" s="66">
        <v>0</v>
      </c>
      <c r="AS18" s="133">
        <v>0</v>
      </c>
      <c r="AT18" s="946">
        <v>0</v>
      </c>
      <c r="AU18" s="151">
        <f t="shared" si="17"/>
        <v>0</v>
      </c>
      <c r="AV18" s="1011"/>
      <c r="AW18" s="66">
        <f t="shared" si="18"/>
        <v>0</v>
      </c>
      <c r="AX18" s="66">
        <f t="shared" si="6"/>
        <v>0</v>
      </c>
      <c r="AY18" s="66">
        <f t="shared" si="7"/>
        <v>0</v>
      </c>
      <c r="AZ18" s="66">
        <f t="shared" si="8"/>
        <v>0</v>
      </c>
      <c r="BA18" s="66">
        <f t="shared" si="9"/>
        <v>0</v>
      </c>
      <c r="BB18" s="66">
        <f t="shared" si="10"/>
        <v>0</v>
      </c>
      <c r="BC18" s="66">
        <f t="shared" si="11"/>
        <v>0</v>
      </c>
      <c r="BD18" s="133">
        <f t="shared" si="19"/>
        <v>0</v>
      </c>
    </row>
    <row r="19" spans="1:57" customFormat="1" ht="14.1" customHeight="1" x14ac:dyDescent="0.25">
      <c r="A19" s="70"/>
      <c r="B19" s="133" t="s">
        <v>78</v>
      </c>
      <c r="C19" s="1005" t="s">
        <v>79</v>
      </c>
      <c r="D19" s="1007" t="s">
        <v>77</v>
      </c>
      <c r="E19" s="133" t="s">
        <v>105</v>
      </c>
      <c r="F19" s="66"/>
      <c r="G19" s="66">
        <f>_xlfn.IFNA(INDEX(NewRecipeTable[Percentage Yield],MATCH(E19,NewRecipeTable[ShortCode],0)),0)</f>
        <v>40.880000000000003</v>
      </c>
      <c r="H19" s="134">
        <v>1570</v>
      </c>
      <c r="I19" s="66" t="str">
        <v>No</v>
      </c>
      <c r="J19" s="133" t="s">
        <v>244</v>
      </c>
      <c r="K19" s="133">
        <f>SUMIFS('Pork Leg Deboning'!$E$8:$E$42,'Pork Leg Deboning'!$D$8:$D$42,'New Deboning Leg'!$E19,'Pork Leg Deboning'!$E$8:$E$42,"&gt;0")</f>
        <v>0</v>
      </c>
      <c r="L19" s="66">
        <f t="shared" si="12"/>
        <v>0</v>
      </c>
      <c r="M19" s="133">
        <f>SUMIFS('Pork Leg Deboning'!$F$8:$F$42,'Pork Leg Deboning'!$D$8:$D$42,'New Deboning Leg'!$E19,'Pork Leg Deboning'!$E$8:$E$42,"&gt;0")</f>
        <v>0</v>
      </c>
      <c r="N19" s="69"/>
      <c r="O19" s="92" t="s">
        <v>639</v>
      </c>
      <c r="P19" s="71">
        <v>0</v>
      </c>
      <c r="Q19" s="71">
        <v>0</v>
      </c>
      <c r="R19" s="66">
        <v>0</v>
      </c>
      <c r="S19" s="71">
        <v>0</v>
      </c>
      <c r="T19" s="66">
        <v>0</v>
      </c>
      <c r="U19" s="135">
        <v>0</v>
      </c>
      <c r="V19" s="151">
        <f t="shared" si="2"/>
        <v>0</v>
      </c>
      <c r="W19" s="69"/>
      <c r="X19" s="133">
        <f t="shared" si="13"/>
        <v>0</v>
      </c>
      <c r="Y19" s="133">
        <f t="shared" si="3"/>
        <v>0</v>
      </c>
      <c r="Z19" s="133">
        <f t="shared" si="4"/>
        <v>0</v>
      </c>
      <c r="AA19" s="69"/>
      <c r="AB19" s="133">
        <f t="shared" si="5"/>
        <v>0</v>
      </c>
      <c r="AC19" s="66">
        <v>0</v>
      </c>
      <c r="AD19" s="66">
        <v>0</v>
      </c>
      <c r="AE19" s="66">
        <v>0</v>
      </c>
      <c r="AF19" s="66">
        <v>0</v>
      </c>
      <c r="AG19" s="66">
        <v>0</v>
      </c>
      <c r="AH19" s="66">
        <v>0</v>
      </c>
      <c r="AI19" s="66">
        <f t="shared" si="14"/>
        <v>0</v>
      </c>
      <c r="AJ19" s="66">
        <f t="shared" si="15"/>
        <v>0</v>
      </c>
      <c r="AK19" s="69"/>
      <c r="AL19" s="934">
        <f t="shared" si="16"/>
        <v>0</v>
      </c>
      <c r="AM19" s="953"/>
      <c r="AN19" s="69"/>
      <c r="AO19" s="66">
        <v>0</v>
      </c>
      <c r="AP19" s="66">
        <v>0</v>
      </c>
      <c r="AQ19" s="66">
        <v>0</v>
      </c>
      <c r="AR19" s="66">
        <v>0</v>
      </c>
      <c r="AS19" s="133">
        <v>0</v>
      </c>
      <c r="AT19" s="946">
        <v>0</v>
      </c>
      <c r="AU19" s="151">
        <f t="shared" si="17"/>
        <v>0</v>
      </c>
      <c r="AV19" s="1011"/>
      <c r="AW19" s="66">
        <f t="shared" si="18"/>
        <v>0</v>
      </c>
      <c r="AX19" s="66">
        <f t="shared" si="6"/>
        <v>0</v>
      </c>
      <c r="AY19" s="66">
        <f t="shared" si="7"/>
        <v>0</v>
      </c>
      <c r="AZ19" s="66">
        <f t="shared" si="8"/>
        <v>0</v>
      </c>
      <c r="BA19" s="66">
        <f t="shared" si="9"/>
        <v>0</v>
      </c>
      <c r="BB19" s="66">
        <f t="shared" si="10"/>
        <v>0</v>
      </c>
      <c r="BC19" s="66">
        <f t="shared" si="11"/>
        <v>0</v>
      </c>
      <c r="BD19" s="133">
        <f t="shared" si="19"/>
        <v>0</v>
      </c>
    </row>
    <row r="20" spans="1:57" ht="14.1" customHeight="1" x14ac:dyDescent="0.25">
      <c r="A20" s="1119"/>
      <c r="B20" s="1151" t="s">
        <v>81</v>
      </c>
      <c r="C20" s="1194" t="s">
        <v>546</v>
      </c>
      <c r="D20" s="1195" t="s">
        <v>80</v>
      </c>
      <c r="E20" s="1151" t="s">
        <v>106</v>
      </c>
      <c r="F20" s="66"/>
      <c r="G20" s="1154">
        <f>_xlfn.IFNA(INDEX(NewRecipeTable[Percentage Yield],MATCH(E20,NewRecipeTable[ShortCode],0)),0)</f>
        <v>31.94</v>
      </c>
      <c r="H20" s="1196">
        <v>1570</v>
      </c>
      <c r="I20" s="1154" t="str">
        <v>Yes</v>
      </c>
      <c r="J20" s="1151" t="s">
        <v>244</v>
      </c>
      <c r="K20" s="1151">
        <f>SUMIFS('Pork Leg Deboning'!$E$8:$E$42,'Pork Leg Deboning'!$D$8:$D$42,'New Deboning Leg'!$E20,'Pork Leg Deboning'!$E$8:$E$42,"&gt;0")</f>
        <v>53</v>
      </c>
      <c r="L20" s="1154">
        <f t="shared" si="12"/>
        <v>476.10072202166072</v>
      </c>
      <c r="M20" s="1151">
        <f>SUMIFS('Pork Leg Deboning'!$F$8:$F$42,'Pork Leg Deboning'!$D$8:$D$42,'New Deboning Leg'!$E20,'Pork Leg Deboning'!$E$8:$E$42,"&gt;0")</f>
        <v>157.9</v>
      </c>
      <c r="N20" s="1142"/>
      <c r="O20" s="1155" t="s">
        <v>639</v>
      </c>
      <c r="P20" s="1156">
        <v>5.6432203677105441</v>
      </c>
      <c r="Q20" s="1156">
        <v>172.05437782492012</v>
      </c>
      <c r="R20" s="1154">
        <v>35.232165134685211</v>
      </c>
      <c r="S20" s="1156">
        <v>21.379550577237005</v>
      </c>
      <c r="T20" s="1154">
        <v>50.450343095695494</v>
      </c>
      <c r="U20" s="1197">
        <v>0</v>
      </c>
      <c r="V20" s="1198">
        <f t="shared" si="2"/>
        <v>284.75965700024835</v>
      </c>
      <c r="W20" s="1142"/>
      <c r="X20" s="1151">
        <f t="shared" si="13"/>
        <v>33.165251111048761</v>
      </c>
      <c r="Y20" s="1151">
        <f t="shared" si="3"/>
        <v>31.94</v>
      </c>
      <c r="Z20" s="1151">
        <f t="shared" si="4"/>
        <v>-1.2252511110487596</v>
      </c>
      <c r="AA20" s="1142"/>
      <c r="AB20" s="1151">
        <f t="shared" si="5"/>
        <v>31.94</v>
      </c>
      <c r="AC20" s="1154">
        <v>1.1399999999999999</v>
      </c>
      <c r="AD20" s="1154">
        <v>39.57</v>
      </c>
      <c r="AE20" s="1154">
        <v>11.11</v>
      </c>
      <c r="AF20" s="1154">
        <v>3.38</v>
      </c>
      <c r="AG20" s="1154">
        <v>12.64</v>
      </c>
      <c r="AH20" s="1154">
        <v>0</v>
      </c>
      <c r="AI20" s="66">
        <f t="shared" si="14"/>
        <v>67.84</v>
      </c>
      <c r="AJ20" s="1154">
        <f t="shared" si="15"/>
        <v>99.78</v>
      </c>
      <c r="AK20" s="69"/>
      <c r="AL20" s="934">
        <f t="shared" si="16"/>
        <v>442.93547091061197</v>
      </c>
      <c r="AM20" s="952"/>
      <c r="AN20" s="69"/>
      <c r="AO20" s="66">
        <v>0</v>
      </c>
      <c r="AP20" s="66">
        <v>0</v>
      </c>
      <c r="AQ20" s="66">
        <v>0</v>
      </c>
      <c r="AR20" s="66">
        <v>0</v>
      </c>
      <c r="AS20" s="133">
        <v>0</v>
      </c>
      <c r="AT20" s="946">
        <v>0</v>
      </c>
      <c r="AU20" s="151">
        <f t="shared" si="17"/>
        <v>0</v>
      </c>
      <c r="AV20" s="1190"/>
      <c r="AW20" s="1154">
        <f t="shared" si="18"/>
        <v>33.165251111048761</v>
      </c>
      <c r="AX20" s="1154">
        <f t="shared" si="6"/>
        <v>1.1852996869544339</v>
      </c>
      <c r="AY20" s="1154">
        <f t="shared" si="7"/>
        <v>36.138230812658236</v>
      </c>
      <c r="AZ20" s="1154">
        <f t="shared" si="8"/>
        <v>7.4001494862430155</v>
      </c>
      <c r="BA20" s="1154">
        <f t="shared" si="9"/>
        <v>4.4905520173238296</v>
      </c>
      <c r="BB20" s="1154">
        <f t="shared" si="10"/>
        <v>10.596569331268563</v>
      </c>
      <c r="BC20" s="1154">
        <f t="shared" si="11"/>
        <v>0</v>
      </c>
      <c r="BD20" s="1151">
        <f t="shared" si="19"/>
        <v>92.976052445496848</v>
      </c>
    </row>
    <row r="21" spans="1:57" customFormat="1" ht="14.1" customHeight="1" x14ac:dyDescent="0.25">
      <c r="A21" s="70"/>
      <c r="B21" s="66" t="s">
        <v>81</v>
      </c>
      <c r="C21" s="135" t="s">
        <v>546</v>
      </c>
      <c r="D21" s="1007" t="s">
        <v>1274</v>
      </c>
      <c r="E21" s="66" t="s">
        <v>1505</v>
      </c>
      <c r="F21" s="66"/>
      <c r="G21" s="66">
        <f>_xlfn.IFNA(INDEX(NewRecipeTable[Percentage Yield],MATCH(E21,NewRecipeTable[ShortCode],0)),0)</f>
        <v>14.91</v>
      </c>
      <c r="H21" s="261">
        <v>1570</v>
      </c>
      <c r="I21" s="66" t="str">
        <v>No</v>
      </c>
      <c r="J21" s="66" t="s">
        <v>244</v>
      </c>
      <c r="K21" s="133">
        <f>SUMIFS('Pork Leg Deboning'!$E$8:$E$42,'Pork Leg Deboning'!$D$8:$D$42,'New Deboning Leg'!$E21,'Pork Leg Deboning'!$E$8:$E$42,"&gt;0")</f>
        <v>0</v>
      </c>
      <c r="L21" s="66">
        <f t="shared" si="12"/>
        <v>0</v>
      </c>
      <c r="M21" s="133">
        <f>SUMIFS('Pork Leg Deboning'!$F$8:$F$42,'Pork Leg Deboning'!$D$8:$D$42,'New Deboning Leg'!$E21,'Pork Leg Deboning'!$E$8:$E$42,"&gt;0")</f>
        <v>0</v>
      </c>
      <c r="N21" s="69"/>
      <c r="O21" s="92" t="s">
        <v>639</v>
      </c>
      <c r="P21" s="71">
        <v>0</v>
      </c>
      <c r="Q21" s="71">
        <v>0</v>
      </c>
      <c r="R21" s="66">
        <v>0</v>
      </c>
      <c r="S21" s="71">
        <v>0</v>
      </c>
      <c r="T21" s="66">
        <v>0</v>
      </c>
      <c r="U21" s="135">
        <v>0</v>
      </c>
      <c r="V21" s="151">
        <f t="shared" ref="V21:V38" si="20">SUM(P21:U21)</f>
        <v>0</v>
      </c>
      <c r="W21" s="69"/>
      <c r="X21" s="133">
        <f t="shared" si="13"/>
        <v>0</v>
      </c>
      <c r="Y21" s="133">
        <f t="shared" si="3"/>
        <v>0</v>
      </c>
      <c r="Z21" s="133">
        <f t="shared" ref="Z21:Z38" si="21">Y21-X21</f>
        <v>0</v>
      </c>
      <c r="AA21" s="69"/>
      <c r="AB21" s="133">
        <f t="shared" si="5"/>
        <v>0</v>
      </c>
      <c r="AC21" s="66">
        <v>0</v>
      </c>
      <c r="AD21" s="66">
        <v>0</v>
      </c>
      <c r="AE21" s="66">
        <v>0</v>
      </c>
      <c r="AF21" s="66">
        <v>0</v>
      </c>
      <c r="AG21" s="66">
        <v>0</v>
      </c>
      <c r="AH21" s="66">
        <v>0</v>
      </c>
      <c r="AI21" s="66">
        <f t="shared" ref="AI21:AI38" si="22">SUMIF($P$2:$U$2,"&lt;&gt;"&amp;"",AC21:AH21)</f>
        <v>0</v>
      </c>
      <c r="AJ21" s="66">
        <f t="shared" si="15"/>
        <v>0</v>
      </c>
      <c r="AK21" s="150"/>
      <c r="AL21" s="934">
        <f t="shared" si="16"/>
        <v>0</v>
      </c>
      <c r="AM21" s="952"/>
      <c r="AN21" s="69"/>
      <c r="AO21" s="66">
        <v>0</v>
      </c>
      <c r="AP21" s="66">
        <v>0</v>
      </c>
      <c r="AQ21" s="66">
        <v>0</v>
      </c>
      <c r="AR21" s="66">
        <v>0</v>
      </c>
      <c r="AS21" s="133">
        <v>0</v>
      </c>
      <c r="AT21" s="946">
        <v>0</v>
      </c>
      <c r="AU21" s="151">
        <f t="shared" ref="AU21:AU38" si="23">SUM(AO21:AT21)</f>
        <v>0</v>
      </c>
      <c r="AV21" s="63"/>
      <c r="AW21" s="66">
        <f t="shared" si="18"/>
        <v>0</v>
      </c>
      <c r="AX21" s="66">
        <f t="shared" si="6"/>
        <v>0</v>
      </c>
      <c r="AY21" s="66">
        <f t="shared" si="7"/>
        <v>0</v>
      </c>
      <c r="AZ21" s="66">
        <f t="shared" si="8"/>
        <v>0</v>
      </c>
      <c r="BA21" s="66">
        <f t="shared" si="9"/>
        <v>0</v>
      </c>
      <c r="BB21" s="66">
        <f t="shared" si="10"/>
        <v>0</v>
      </c>
      <c r="BC21" s="66">
        <f t="shared" si="11"/>
        <v>0</v>
      </c>
      <c r="BD21" s="133">
        <f t="shared" si="19"/>
        <v>0</v>
      </c>
    </row>
    <row r="22" spans="1:57" ht="14.1" customHeight="1" x14ac:dyDescent="0.25">
      <c r="A22" s="1092"/>
      <c r="B22" s="1151" t="s">
        <v>83</v>
      </c>
      <c r="C22" s="1194" t="s">
        <v>247</v>
      </c>
      <c r="D22" s="1195" t="s">
        <v>82</v>
      </c>
      <c r="E22" s="1151" t="s">
        <v>107</v>
      </c>
      <c r="F22" s="66"/>
      <c r="G22" s="1154">
        <f>_xlfn.IFNA(INDEX(NewRecipeTable[Percentage Yield],MATCH(E22,NewRecipeTable[ShortCode],0)),0)</f>
        <v>54.93</v>
      </c>
      <c r="H22" s="1196">
        <v>1570</v>
      </c>
      <c r="I22" s="1154" t="str">
        <v>Yes</v>
      </c>
      <c r="J22" s="1151" t="s">
        <v>244</v>
      </c>
      <c r="K22" s="1151">
        <f>SUMIFS('Pork Leg Deboning'!$E$8:$E$42,'Pork Leg Deboning'!$D$8:$D$42,'New Deboning Leg'!$E22,'Pork Leg Deboning'!$E$8:$E$42,"&gt;0")</f>
        <v>903</v>
      </c>
      <c r="L22" s="1154">
        <f>$D$2*K22+L43</f>
        <v>8117.6783393501819</v>
      </c>
      <c r="M22" s="1151">
        <f>SUMIFS('Pork Leg Deboning'!$F$8:$F$42,'Pork Leg Deboning'!$D$8:$D$42,'New Deboning Leg'!$E22,'Pork Leg Deboning'!$E$8:$E$42,"&gt;0")</f>
        <v>5253.8</v>
      </c>
      <c r="N22" s="1142"/>
      <c r="O22" s="1155" t="s">
        <v>639</v>
      </c>
      <c r="P22" s="1156">
        <v>101.82699066959213</v>
      </c>
      <c r="Q22" s="1156">
        <v>657.13835836461897</v>
      </c>
      <c r="R22" s="1154">
        <v>984.96137838568632</v>
      </c>
      <c r="S22" s="1156">
        <v>327.972243753535</v>
      </c>
      <c r="T22" s="1154">
        <v>898.38070451541273</v>
      </c>
      <c r="U22" s="1197">
        <v>0</v>
      </c>
      <c r="V22" s="1198">
        <f t="shared" si="20"/>
        <v>2970.2796756888451</v>
      </c>
      <c r="W22" s="1142"/>
      <c r="X22" s="1151">
        <f t="shared" si="13"/>
        <v>64.720475243917647</v>
      </c>
      <c r="Y22" s="1151">
        <f t="shared" si="3"/>
        <v>54.93</v>
      </c>
      <c r="Z22" s="1151">
        <f t="shared" si="21"/>
        <v>-9.7904752439176477</v>
      </c>
      <c r="AA22" s="1142"/>
      <c r="AB22" s="1151">
        <f t="shared" si="5"/>
        <v>54.93</v>
      </c>
      <c r="AC22" s="1154">
        <v>1.21</v>
      </c>
      <c r="AD22" s="1154">
        <v>8.89</v>
      </c>
      <c r="AE22" s="1154">
        <v>18.27</v>
      </c>
      <c r="AF22" s="1154">
        <v>3.05</v>
      </c>
      <c r="AG22" s="1154">
        <v>13.24</v>
      </c>
      <c r="AH22" s="1154">
        <v>0.41</v>
      </c>
      <c r="AI22" s="66">
        <f t="shared" si="22"/>
        <v>44.660000000000004</v>
      </c>
      <c r="AJ22" s="1154">
        <f t="shared" si="15"/>
        <v>99.999999999999986</v>
      </c>
      <c r="AK22" s="84"/>
      <c r="AL22" s="934">
        <f t="shared" si="16"/>
        <v>8052.9578641062644</v>
      </c>
      <c r="AM22" s="952"/>
      <c r="AN22" s="69"/>
      <c r="AO22" s="66">
        <v>0</v>
      </c>
      <c r="AP22" s="66">
        <v>0</v>
      </c>
      <c r="AQ22" s="66">
        <v>0</v>
      </c>
      <c r="AR22" s="66">
        <v>0</v>
      </c>
      <c r="AS22" s="133">
        <v>0</v>
      </c>
      <c r="AT22" s="946">
        <v>0</v>
      </c>
      <c r="AU22" s="151">
        <f t="shared" si="23"/>
        <v>0</v>
      </c>
      <c r="AV22" s="1190"/>
      <c r="AW22" s="1154">
        <f t="shared" si="18"/>
        <v>64.720475243917647</v>
      </c>
      <c r="AX22" s="1154">
        <f t="shared" si="6"/>
        <v>1.2543856311229913</v>
      </c>
      <c r="AY22" s="1154">
        <f t="shared" si="7"/>
        <v>8.0951514816639403</v>
      </c>
      <c r="AZ22" s="1154">
        <f t="shared" si="8"/>
        <v>12.133535442161069</v>
      </c>
      <c r="BA22" s="1154">
        <f t="shared" si="9"/>
        <v>4.0402222167845725</v>
      </c>
      <c r="BB22" s="1154">
        <f t="shared" si="10"/>
        <v>11.066966033385944</v>
      </c>
      <c r="BC22" s="1154">
        <f t="shared" si="11"/>
        <v>0</v>
      </c>
      <c r="BD22" s="1151">
        <f t="shared" si="19"/>
        <v>101.31073604903617</v>
      </c>
    </row>
    <row r="23" spans="1:57" customFormat="1" ht="14.1" customHeight="1" x14ac:dyDescent="0.25">
      <c r="B23" s="133" t="s">
        <v>83</v>
      </c>
      <c r="C23" s="1005" t="s">
        <v>247</v>
      </c>
      <c r="D23" s="1007" t="s">
        <v>84</v>
      </c>
      <c r="E23" s="133" t="s">
        <v>590</v>
      </c>
      <c r="F23" s="66"/>
      <c r="G23" s="66">
        <f>_xlfn.IFNA(INDEX(NewRecipeTable[Percentage Yield],MATCH(E23,NewRecipeTable[ShortCode],0)),0)</f>
        <v>28.5</v>
      </c>
      <c r="H23" s="134">
        <v>1570</v>
      </c>
      <c r="I23" s="66" t="str">
        <v>No</v>
      </c>
      <c r="J23" s="133" t="s">
        <v>244</v>
      </c>
      <c r="K23" s="133">
        <f>SUMIFS('Pork Leg Deboning'!$E$8:$E$42,'Pork Leg Deboning'!$D$8:$D$42,'New Deboning Leg'!$E23,'Pork Leg Deboning'!$E$8:$E$42,"&gt;0")</f>
        <v>0</v>
      </c>
      <c r="L23" s="66">
        <f t="shared" si="12"/>
        <v>0</v>
      </c>
      <c r="M23" s="133">
        <f>SUMIFS('Pork Leg Deboning'!$F$8:$F$42,'Pork Leg Deboning'!$D$8:$D$42,'New Deboning Leg'!$E23,'Pork Leg Deboning'!$E$8:$E$42,"&gt;0")</f>
        <v>0</v>
      </c>
      <c r="N23" s="69"/>
      <c r="O23" s="92" t="s">
        <v>639</v>
      </c>
      <c r="P23" s="71">
        <v>0</v>
      </c>
      <c r="Q23" s="71">
        <v>0</v>
      </c>
      <c r="R23" s="66">
        <v>0</v>
      </c>
      <c r="S23" s="71">
        <v>0</v>
      </c>
      <c r="T23" s="66">
        <v>0</v>
      </c>
      <c r="U23" s="135">
        <v>0</v>
      </c>
      <c r="V23" s="151">
        <f t="shared" si="20"/>
        <v>0</v>
      </c>
      <c r="X23" s="133">
        <f t="shared" si="13"/>
        <v>0</v>
      </c>
      <c r="Y23" s="133">
        <f t="shared" si="3"/>
        <v>0</v>
      </c>
      <c r="Z23" s="133">
        <f t="shared" si="21"/>
        <v>0</v>
      </c>
      <c r="AA23" s="69"/>
      <c r="AB23" s="133">
        <f t="shared" si="5"/>
        <v>0</v>
      </c>
      <c r="AC23" s="66">
        <v>0</v>
      </c>
      <c r="AD23" s="66">
        <v>0</v>
      </c>
      <c r="AE23" s="66">
        <v>0</v>
      </c>
      <c r="AF23" s="66">
        <v>0</v>
      </c>
      <c r="AG23" s="66">
        <v>0</v>
      </c>
      <c r="AH23" s="66">
        <v>0</v>
      </c>
      <c r="AI23" s="66">
        <f t="shared" si="22"/>
        <v>0</v>
      </c>
      <c r="AJ23" s="66">
        <f t="shared" si="15"/>
        <v>0</v>
      </c>
      <c r="AL23" s="934">
        <f t="shared" si="16"/>
        <v>0</v>
      </c>
      <c r="AM23" s="952"/>
      <c r="AO23" s="66">
        <v>0</v>
      </c>
      <c r="AP23" s="66">
        <v>0</v>
      </c>
      <c r="AQ23" s="66">
        <v>0</v>
      </c>
      <c r="AR23" s="66">
        <v>0</v>
      </c>
      <c r="AS23" s="133">
        <v>0</v>
      </c>
      <c r="AT23" s="946">
        <v>0</v>
      </c>
      <c r="AU23" s="151">
        <f t="shared" si="23"/>
        <v>0</v>
      </c>
      <c r="AV23" s="63"/>
      <c r="AW23" s="66">
        <f t="shared" si="18"/>
        <v>0</v>
      </c>
      <c r="AX23" s="66">
        <f t="shared" si="6"/>
        <v>0</v>
      </c>
      <c r="AY23" s="66">
        <f t="shared" si="7"/>
        <v>0</v>
      </c>
      <c r="AZ23" s="66">
        <f t="shared" si="8"/>
        <v>0</v>
      </c>
      <c r="BA23" s="66">
        <f t="shared" si="9"/>
        <v>0</v>
      </c>
      <c r="BB23" s="66">
        <f t="shared" si="10"/>
        <v>0</v>
      </c>
      <c r="BC23" s="66">
        <f t="shared" si="11"/>
        <v>0</v>
      </c>
      <c r="BD23" s="133">
        <f t="shared" si="19"/>
        <v>0</v>
      </c>
    </row>
    <row r="24" spans="1:57" customFormat="1" ht="14.1" customHeight="1" x14ac:dyDescent="0.25">
      <c r="B24" s="133" t="s">
        <v>83</v>
      </c>
      <c r="C24" s="1005" t="s">
        <v>247</v>
      </c>
      <c r="D24" s="1007" t="s">
        <v>1243</v>
      </c>
      <c r="E24" s="133" t="s">
        <v>1506</v>
      </c>
      <c r="F24" s="66"/>
      <c r="G24" s="66">
        <f>_xlfn.IFNA(INDEX(NewRecipeTable[Percentage Yield],MATCH(E24,NewRecipeTable[ShortCode],0)),0)</f>
        <v>62.53</v>
      </c>
      <c r="H24" s="134">
        <v>1570</v>
      </c>
      <c r="I24" s="66" t="str">
        <v>No</v>
      </c>
      <c r="J24" s="133" t="s">
        <v>244</v>
      </c>
      <c r="K24" s="133">
        <f>SUMIFS('Pork Leg Deboning'!$E$8:$E$42,'Pork Leg Deboning'!$D$8:$D$42,'New Deboning Leg'!$E24,'Pork Leg Deboning'!$E$8:$E$42,"&gt;0")</f>
        <v>0</v>
      </c>
      <c r="L24" s="66">
        <f t="shared" si="12"/>
        <v>0</v>
      </c>
      <c r="M24" s="133">
        <f>SUMIFS('Pork Leg Deboning'!$F$8:$F$42,'Pork Leg Deboning'!$D$8:$D$42,'New Deboning Leg'!$E24,'Pork Leg Deboning'!$E$8:$E$42,"&gt;0")</f>
        <v>0</v>
      </c>
      <c r="N24" s="69"/>
      <c r="O24" s="92" t="s">
        <v>639</v>
      </c>
      <c r="P24" s="71">
        <v>0</v>
      </c>
      <c r="Q24" s="71">
        <v>0</v>
      </c>
      <c r="R24" s="66">
        <v>0</v>
      </c>
      <c r="S24" s="71">
        <v>0</v>
      </c>
      <c r="T24" s="66">
        <v>0</v>
      </c>
      <c r="U24" s="135">
        <v>0</v>
      </c>
      <c r="V24" s="151">
        <f t="shared" si="20"/>
        <v>0</v>
      </c>
      <c r="X24" s="133">
        <f t="shared" si="13"/>
        <v>0</v>
      </c>
      <c r="Y24" s="133">
        <f t="shared" si="3"/>
        <v>0</v>
      </c>
      <c r="Z24" s="133">
        <f t="shared" si="21"/>
        <v>0</v>
      </c>
      <c r="AA24" s="69"/>
      <c r="AB24" s="133">
        <f t="shared" si="5"/>
        <v>0</v>
      </c>
      <c r="AC24" s="66">
        <v>0</v>
      </c>
      <c r="AD24" s="66">
        <v>0</v>
      </c>
      <c r="AE24" s="66">
        <v>0</v>
      </c>
      <c r="AF24" s="66">
        <v>0</v>
      </c>
      <c r="AG24" s="66">
        <v>0</v>
      </c>
      <c r="AH24" s="66">
        <v>0</v>
      </c>
      <c r="AI24" s="66">
        <f t="shared" si="22"/>
        <v>0</v>
      </c>
      <c r="AJ24" s="66">
        <f t="shared" si="15"/>
        <v>0</v>
      </c>
      <c r="AL24" s="934">
        <f t="shared" si="16"/>
        <v>0</v>
      </c>
      <c r="AM24" s="952"/>
      <c r="AO24" s="66">
        <v>0</v>
      </c>
      <c r="AP24" s="66">
        <v>0</v>
      </c>
      <c r="AQ24" s="66">
        <v>0</v>
      </c>
      <c r="AR24" s="66">
        <v>0</v>
      </c>
      <c r="AS24" s="133">
        <v>0</v>
      </c>
      <c r="AT24" s="946">
        <v>0</v>
      </c>
      <c r="AU24" s="151">
        <f t="shared" si="23"/>
        <v>0</v>
      </c>
      <c r="AV24" s="63"/>
      <c r="AW24" s="66">
        <f t="shared" si="18"/>
        <v>0</v>
      </c>
      <c r="AX24" s="66">
        <f t="shared" si="6"/>
        <v>0</v>
      </c>
      <c r="AY24" s="66">
        <f t="shared" si="7"/>
        <v>0</v>
      </c>
      <c r="AZ24" s="66">
        <f t="shared" si="8"/>
        <v>0</v>
      </c>
      <c r="BA24" s="66">
        <f t="shared" si="9"/>
        <v>0</v>
      </c>
      <c r="BB24" s="66">
        <f t="shared" si="10"/>
        <v>0</v>
      </c>
      <c r="BC24" s="66">
        <f t="shared" si="11"/>
        <v>0</v>
      </c>
      <c r="BD24" s="133">
        <f t="shared" si="19"/>
        <v>0</v>
      </c>
    </row>
    <row r="25" spans="1:57" customFormat="1" ht="14.1" customHeight="1" x14ac:dyDescent="0.25">
      <c r="B25" s="133" t="s">
        <v>86</v>
      </c>
      <c r="C25" s="1005" t="s">
        <v>87</v>
      </c>
      <c r="D25" s="1007" t="s">
        <v>85</v>
      </c>
      <c r="E25" s="133" t="s">
        <v>589</v>
      </c>
      <c r="F25" s="66"/>
      <c r="G25" s="66">
        <f>_xlfn.IFNA(INDEX(NewRecipeTable[Percentage Yield],MATCH(E25,NewRecipeTable[ShortCode],0)),0)</f>
        <v>50</v>
      </c>
      <c r="H25" s="134">
        <v>1570</v>
      </c>
      <c r="I25" s="66" t="str">
        <v>No</v>
      </c>
      <c r="J25" s="133" t="s">
        <v>244</v>
      </c>
      <c r="K25" s="133">
        <f>SUMIFS('Pork Leg Deboning'!$E$8:$E$42,'Pork Leg Deboning'!$D$8:$D$42,'New Deboning Leg'!$E25,'Pork Leg Deboning'!$E$8:$E$42,"&gt;0")</f>
        <v>0</v>
      </c>
      <c r="L25" s="66">
        <f t="shared" si="12"/>
        <v>0</v>
      </c>
      <c r="M25" s="133">
        <f>SUMIFS('Pork Leg Deboning'!$F$8:$F$42,'Pork Leg Deboning'!$D$8:$D$42,'New Deboning Leg'!$E25,'Pork Leg Deboning'!$E$8:$E$42,"&gt;0")</f>
        <v>0</v>
      </c>
      <c r="N25" s="69"/>
      <c r="O25" s="92" t="s">
        <v>639</v>
      </c>
      <c r="P25" s="71">
        <v>0</v>
      </c>
      <c r="Q25" s="71">
        <v>0</v>
      </c>
      <c r="R25" s="66">
        <v>0</v>
      </c>
      <c r="S25" s="71">
        <v>0</v>
      </c>
      <c r="T25" s="66">
        <v>0</v>
      </c>
      <c r="U25" s="135">
        <v>0</v>
      </c>
      <c r="V25" s="151">
        <f t="shared" si="20"/>
        <v>0</v>
      </c>
      <c r="X25" s="133">
        <f t="shared" si="13"/>
        <v>0</v>
      </c>
      <c r="Y25" s="133">
        <f t="shared" si="3"/>
        <v>0</v>
      </c>
      <c r="Z25" s="133">
        <f t="shared" si="21"/>
        <v>0</v>
      </c>
      <c r="AA25" s="69"/>
      <c r="AB25" s="133">
        <f t="shared" si="5"/>
        <v>0</v>
      </c>
      <c r="AC25" s="66">
        <v>0</v>
      </c>
      <c r="AD25" s="66">
        <v>0</v>
      </c>
      <c r="AE25" s="66">
        <v>0</v>
      </c>
      <c r="AF25" s="66">
        <v>0</v>
      </c>
      <c r="AG25" s="66">
        <v>0</v>
      </c>
      <c r="AH25" s="66">
        <v>0</v>
      </c>
      <c r="AI25" s="66">
        <f t="shared" si="22"/>
        <v>0</v>
      </c>
      <c r="AJ25" s="66">
        <f t="shared" si="15"/>
        <v>0</v>
      </c>
      <c r="AL25" s="934">
        <f t="shared" si="16"/>
        <v>0</v>
      </c>
      <c r="AM25" s="952"/>
      <c r="AO25" s="66">
        <v>0</v>
      </c>
      <c r="AP25" s="66">
        <v>0</v>
      </c>
      <c r="AQ25" s="66">
        <v>0</v>
      </c>
      <c r="AR25" s="66">
        <v>0</v>
      </c>
      <c r="AS25" s="133">
        <v>0</v>
      </c>
      <c r="AT25" s="946">
        <v>0</v>
      </c>
      <c r="AU25" s="151">
        <f t="shared" si="23"/>
        <v>0</v>
      </c>
      <c r="AV25" s="63"/>
      <c r="AW25" s="66">
        <f t="shared" si="18"/>
        <v>0</v>
      </c>
      <c r="AX25" s="66">
        <f t="shared" si="6"/>
        <v>0</v>
      </c>
      <c r="AY25" s="66">
        <f t="shared" si="7"/>
        <v>0</v>
      </c>
      <c r="AZ25" s="66">
        <f t="shared" si="8"/>
        <v>0</v>
      </c>
      <c r="BA25" s="66">
        <f t="shared" si="9"/>
        <v>0</v>
      </c>
      <c r="BB25" s="66">
        <f t="shared" si="10"/>
        <v>0</v>
      </c>
      <c r="BC25" s="66">
        <f t="shared" si="11"/>
        <v>0</v>
      </c>
      <c r="BD25" s="133">
        <f t="shared" si="19"/>
        <v>0</v>
      </c>
    </row>
    <row r="26" spans="1:57" customFormat="1" ht="14.1" customHeight="1" x14ac:dyDescent="0.25">
      <c r="B26" s="133" t="s">
        <v>89</v>
      </c>
      <c r="C26" s="1005" t="s">
        <v>90</v>
      </c>
      <c r="D26" s="1007" t="s">
        <v>88</v>
      </c>
      <c r="E26" s="133" t="s">
        <v>109</v>
      </c>
      <c r="F26" s="66"/>
      <c r="G26" s="66">
        <f>_xlfn.IFNA(INDEX(NewRecipeTable[Percentage Yield],MATCH(E26,NewRecipeTable[ShortCode],0)),0)</f>
        <v>59.14</v>
      </c>
      <c r="H26" s="134">
        <v>1570</v>
      </c>
      <c r="I26" s="66" t="str">
        <v>No</v>
      </c>
      <c r="J26" s="133" t="s">
        <v>244</v>
      </c>
      <c r="K26" s="133">
        <f>SUMIFS('Pork Leg Deboning'!$E$8:$E$42,'Pork Leg Deboning'!$D$8:$D$42,'New Deboning Leg'!$E26,'Pork Leg Deboning'!$E$8:$E$42,"&gt;0")</f>
        <v>0</v>
      </c>
      <c r="L26" s="66">
        <f t="shared" si="12"/>
        <v>0</v>
      </c>
      <c r="M26" s="133">
        <f>SUMIFS('Pork Leg Deboning'!$F$8:$F$42,'Pork Leg Deboning'!$D$8:$D$42,'New Deboning Leg'!$E26,'Pork Leg Deboning'!$E$8:$E$42,"&gt;0")</f>
        <v>0</v>
      </c>
      <c r="N26" s="69"/>
      <c r="O26" s="92" t="s">
        <v>639</v>
      </c>
      <c r="P26" s="71">
        <v>0</v>
      </c>
      <c r="Q26" s="71">
        <v>0</v>
      </c>
      <c r="R26" s="66">
        <v>0</v>
      </c>
      <c r="S26" s="71">
        <v>0</v>
      </c>
      <c r="T26" s="66">
        <v>0</v>
      </c>
      <c r="U26" s="135">
        <v>0</v>
      </c>
      <c r="V26" s="151">
        <f t="shared" si="20"/>
        <v>0</v>
      </c>
      <c r="X26" s="133">
        <f t="shared" si="13"/>
        <v>0</v>
      </c>
      <c r="Y26" s="133">
        <f t="shared" si="3"/>
        <v>0</v>
      </c>
      <c r="Z26" s="133">
        <f t="shared" si="21"/>
        <v>0</v>
      </c>
      <c r="AA26" s="69"/>
      <c r="AB26" s="133">
        <f t="shared" si="5"/>
        <v>0</v>
      </c>
      <c r="AC26" s="66">
        <v>0</v>
      </c>
      <c r="AD26" s="66">
        <v>0</v>
      </c>
      <c r="AE26" s="66">
        <v>0</v>
      </c>
      <c r="AF26" s="66">
        <v>0</v>
      </c>
      <c r="AG26" s="66">
        <v>0</v>
      </c>
      <c r="AH26" s="66">
        <v>0</v>
      </c>
      <c r="AI26" s="66">
        <f t="shared" si="22"/>
        <v>0</v>
      </c>
      <c r="AJ26" s="66">
        <f t="shared" si="15"/>
        <v>0</v>
      </c>
      <c r="AL26" s="934">
        <f t="shared" si="16"/>
        <v>0</v>
      </c>
      <c r="AM26" s="952"/>
      <c r="AO26" s="66">
        <v>0</v>
      </c>
      <c r="AP26" s="66">
        <v>0</v>
      </c>
      <c r="AQ26" s="66">
        <v>0</v>
      </c>
      <c r="AR26" s="66">
        <v>0</v>
      </c>
      <c r="AS26" s="133">
        <v>0</v>
      </c>
      <c r="AT26" s="946">
        <v>0</v>
      </c>
      <c r="AU26" s="151">
        <f t="shared" si="23"/>
        <v>0</v>
      </c>
      <c r="AV26" s="63"/>
      <c r="AW26" s="66">
        <f t="shared" si="18"/>
        <v>0</v>
      </c>
      <c r="AX26" s="66">
        <f t="shared" si="6"/>
        <v>0</v>
      </c>
      <c r="AY26" s="66">
        <f t="shared" si="7"/>
        <v>0</v>
      </c>
      <c r="AZ26" s="66">
        <f t="shared" si="8"/>
        <v>0</v>
      </c>
      <c r="BA26" s="66">
        <f t="shared" si="9"/>
        <v>0</v>
      </c>
      <c r="BB26" s="66">
        <f t="shared" si="10"/>
        <v>0</v>
      </c>
      <c r="BC26" s="66">
        <f t="shared" si="11"/>
        <v>0</v>
      </c>
      <c r="BD26" s="133">
        <f t="shared" si="19"/>
        <v>0</v>
      </c>
    </row>
    <row r="27" spans="1:57" customFormat="1" ht="14.1" customHeight="1" x14ac:dyDescent="0.25">
      <c r="B27" s="133" t="s">
        <v>89</v>
      </c>
      <c r="C27" s="1005" t="s">
        <v>90</v>
      </c>
      <c r="D27" s="1007" t="s">
        <v>1247</v>
      </c>
      <c r="E27" s="133" t="s">
        <v>1507</v>
      </c>
      <c r="F27" s="66"/>
      <c r="G27" s="66">
        <f>_xlfn.IFNA(INDEX(NewRecipeTable[Percentage Yield],MATCH(E27,NewRecipeTable[ShortCode],0)),0)</f>
        <v>61.1</v>
      </c>
      <c r="H27" s="134">
        <v>1570</v>
      </c>
      <c r="I27" s="66" t="str">
        <v>No</v>
      </c>
      <c r="J27" s="133" t="s">
        <v>244</v>
      </c>
      <c r="K27" s="133">
        <f>SUMIFS('Pork Leg Deboning'!$E$8:$E$42,'Pork Leg Deboning'!$D$8:$D$42,'New Deboning Leg'!$E27,'Pork Leg Deboning'!$E$8:$E$42,"&gt;0")</f>
        <v>0</v>
      </c>
      <c r="L27" s="66">
        <f t="shared" si="12"/>
        <v>0</v>
      </c>
      <c r="M27" s="133">
        <f>SUMIFS('Pork Leg Deboning'!$F$8:$F$42,'Pork Leg Deboning'!$D$8:$D$42,'New Deboning Leg'!$E27,'Pork Leg Deboning'!$E$8:$E$42,"&gt;0")</f>
        <v>0</v>
      </c>
      <c r="O27" s="92" t="s">
        <v>639</v>
      </c>
      <c r="P27" s="71">
        <v>0</v>
      </c>
      <c r="Q27" s="71">
        <v>0</v>
      </c>
      <c r="R27" s="66">
        <v>0</v>
      </c>
      <c r="S27" s="71">
        <v>0</v>
      </c>
      <c r="T27" s="66">
        <v>0</v>
      </c>
      <c r="U27" s="135">
        <v>0</v>
      </c>
      <c r="V27" s="151">
        <f t="shared" si="20"/>
        <v>0</v>
      </c>
      <c r="X27" s="133">
        <f t="shared" si="13"/>
        <v>0</v>
      </c>
      <c r="Y27" s="133">
        <f t="shared" si="3"/>
        <v>0</v>
      </c>
      <c r="Z27" s="133">
        <f t="shared" si="21"/>
        <v>0</v>
      </c>
      <c r="AA27" s="69"/>
      <c r="AB27" s="133">
        <f t="shared" si="5"/>
        <v>0</v>
      </c>
      <c r="AC27" s="66">
        <v>0</v>
      </c>
      <c r="AD27" s="66">
        <v>0</v>
      </c>
      <c r="AE27" s="66">
        <v>0</v>
      </c>
      <c r="AF27" s="66">
        <v>0</v>
      </c>
      <c r="AG27" s="66">
        <v>0</v>
      </c>
      <c r="AH27" s="66">
        <v>0</v>
      </c>
      <c r="AI27" s="66">
        <f t="shared" si="22"/>
        <v>0</v>
      </c>
      <c r="AJ27" s="66">
        <f t="shared" si="15"/>
        <v>0</v>
      </c>
      <c r="AL27" s="934">
        <f t="shared" si="16"/>
        <v>0</v>
      </c>
      <c r="AM27" s="952"/>
      <c r="AO27" s="66">
        <v>0</v>
      </c>
      <c r="AP27" s="66">
        <v>0</v>
      </c>
      <c r="AQ27" s="66">
        <v>0</v>
      </c>
      <c r="AR27" s="66">
        <v>0</v>
      </c>
      <c r="AS27" s="133">
        <v>0</v>
      </c>
      <c r="AT27" s="946">
        <v>0</v>
      </c>
      <c r="AU27" s="151">
        <f t="shared" si="23"/>
        <v>0</v>
      </c>
      <c r="AV27" s="63"/>
      <c r="AW27" s="66">
        <f t="shared" si="18"/>
        <v>0</v>
      </c>
      <c r="AX27" s="66">
        <f t="shared" si="6"/>
        <v>0</v>
      </c>
      <c r="AY27" s="66">
        <f t="shared" si="7"/>
        <v>0</v>
      </c>
      <c r="AZ27" s="66">
        <f t="shared" si="8"/>
        <v>0</v>
      </c>
      <c r="BA27" s="66">
        <f t="shared" si="9"/>
        <v>0</v>
      </c>
      <c r="BB27" s="66">
        <f t="shared" si="10"/>
        <v>0</v>
      </c>
      <c r="BC27" s="66">
        <f t="shared" si="11"/>
        <v>0</v>
      </c>
      <c r="BD27" s="133">
        <f t="shared" si="19"/>
        <v>0</v>
      </c>
    </row>
    <row r="28" spans="1:57" s="1015" customFormat="1" ht="14.1" customHeight="1" x14ac:dyDescent="0.3">
      <c r="B28" s="133" t="s">
        <v>93</v>
      </c>
      <c r="C28" s="1005" t="s">
        <v>94</v>
      </c>
      <c r="D28" s="1007" t="s">
        <v>1230</v>
      </c>
      <c r="E28" s="133" t="s">
        <v>1508</v>
      </c>
      <c r="F28" s="66"/>
      <c r="G28" s="66">
        <f>_xlfn.IFNA(INDEX(NewRecipeTable[Percentage Yield],MATCH(E28,NewRecipeTable[ShortCode],0)),0)</f>
        <v>38.5</v>
      </c>
      <c r="H28" s="134">
        <v>1570</v>
      </c>
      <c r="I28" s="66" t="str">
        <v>No</v>
      </c>
      <c r="J28" s="133" t="s">
        <v>244</v>
      </c>
      <c r="K28" s="133">
        <f>SUMIFS('Pork Leg Deboning'!$E$8:$E$42,'Pork Leg Deboning'!$D$8:$D$42,'New Deboning Leg'!$E28,'Pork Leg Deboning'!$E$8:$E$42,"&gt;0")</f>
        <v>0</v>
      </c>
      <c r="L28" s="66">
        <f t="shared" si="12"/>
        <v>0</v>
      </c>
      <c r="M28" s="133">
        <f>SUMIFS('Pork Leg Deboning'!$F$8:$F$42,'Pork Leg Deboning'!$D$8:$D$42,'New Deboning Leg'!$E28,'Pork Leg Deboning'!$E$8:$E$42,"&gt;0")</f>
        <v>0</v>
      </c>
      <c r="N28"/>
      <c r="O28" s="92" t="s">
        <v>639</v>
      </c>
      <c r="P28" s="71">
        <v>0</v>
      </c>
      <c r="Q28" s="71">
        <v>0</v>
      </c>
      <c r="R28" s="66">
        <v>0</v>
      </c>
      <c r="S28" s="71">
        <v>0</v>
      </c>
      <c r="T28" s="66">
        <v>0</v>
      </c>
      <c r="U28" s="135">
        <v>0</v>
      </c>
      <c r="V28" s="151">
        <f t="shared" si="20"/>
        <v>0</v>
      </c>
      <c r="W28"/>
      <c r="X28" s="133">
        <f t="shared" si="13"/>
        <v>0</v>
      </c>
      <c r="Y28" s="133">
        <f t="shared" si="3"/>
        <v>0</v>
      </c>
      <c r="Z28" s="133">
        <f t="shared" si="21"/>
        <v>0</v>
      </c>
      <c r="AA28" s="69"/>
      <c r="AB28" s="133">
        <f t="shared" si="5"/>
        <v>0</v>
      </c>
      <c r="AC28" s="66">
        <v>0</v>
      </c>
      <c r="AD28" s="66">
        <v>0</v>
      </c>
      <c r="AE28" s="66">
        <v>0</v>
      </c>
      <c r="AF28" s="66">
        <v>0</v>
      </c>
      <c r="AG28" s="66">
        <v>0</v>
      </c>
      <c r="AH28" s="66">
        <v>0</v>
      </c>
      <c r="AI28" s="66">
        <f t="shared" si="22"/>
        <v>0</v>
      </c>
      <c r="AJ28" s="66">
        <f t="shared" si="15"/>
        <v>0</v>
      </c>
      <c r="AK28"/>
      <c r="AL28" s="934">
        <f t="shared" si="16"/>
        <v>0</v>
      </c>
      <c r="AM28" s="952"/>
      <c r="AN28"/>
      <c r="AO28" s="66">
        <v>0</v>
      </c>
      <c r="AP28" s="66">
        <v>0</v>
      </c>
      <c r="AQ28" s="66">
        <v>0</v>
      </c>
      <c r="AR28" s="66">
        <v>0</v>
      </c>
      <c r="AS28" s="133">
        <v>0</v>
      </c>
      <c r="AT28" s="946">
        <v>0</v>
      </c>
      <c r="AU28" s="151">
        <f t="shared" si="23"/>
        <v>0</v>
      </c>
      <c r="AV28" s="63"/>
      <c r="AW28" s="66">
        <f t="shared" si="18"/>
        <v>0</v>
      </c>
      <c r="AX28" s="66">
        <f t="shared" si="6"/>
        <v>0</v>
      </c>
      <c r="AY28" s="66">
        <f t="shared" si="7"/>
        <v>0</v>
      </c>
      <c r="AZ28" s="66">
        <f t="shared" si="8"/>
        <v>0</v>
      </c>
      <c r="BA28" s="66">
        <f t="shared" si="9"/>
        <v>0</v>
      </c>
      <c r="BB28" s="66">
        <f t="shared" si="10"/>
        <v>0</v>
      </c>
      <c r="BC28" s="66">
        <f t="shared" si="11"/>
        <v>0</v>
      </c>
      <c r="BD28" s="133">
        <f t="shared" si="19"/>
        <v>0</v>
      </c>
      <c r="BE28"/>
    </row>
    <row r="29" spans="1:57" customFormat="1" ht="14.1" customHeight="1" x14ac:dyDescent="0.25">
      <c r="B29" s="133" t="s">
        <v>95</v>
      </c>
      <c r="C29" s="1005" t="s">
        <v>96</v>
      </c>
      <c r="D29" s="1007" t="s">
        <v>1226</v>
      </c>
      <c r="E29" s="133" t="s">
        <v>1509</v>
      </c>
      <c r="F29" s="66"/>
      <c r="G29" s="66">
        <f>_xlfn.IFNA(INDEX(NewRecipeTable[Percentage Yield],MATCH(E29,NewRecipeTable[ShortCode],0)),0)</f>
        <v>47.12</v>
      </c>
      <c r="H29" s="134">
        <v>1570</v>
      </c>
      <c r="I29" s="66" t="str">
        <v>No</v>
      </c>
      <c r="J29" s="133" t="s">
        <v>244</v>
      </c>
      <c r="K29" s="133">
        <f>SUMIFS('Pork Leg Deboning'!$E$8:$E$42,'Pork Leg Deboning'!$D$8:$D$42,'New Deboning Leg'!$E29,'Pork Leg Deboning'!$E$8:$E$42,"&gt;0")</f>
        <v>0</v>
      </c>
      <c r="L29" s="66">
        <f t="shared" si="12"/>
        <v>0</v>
      </c>
      <c r="M29" s="133">
        <f>SUMIFS('Pork Leg Deboning'!$F$8:$F$42,'Pork Leg Deboning'!$D$8:$D$42,'New Deboning Leg'!$E29,'Pork Leg Deboning'!$E$8:$E$42,"&gt;0")</f>
        <v>0</v>
      </c>
      <c r="O29" s="92" t="s">
        <v>639</v>
      </c>
      <c r="P29" s="71">
        <v>0</v>
      </c>
      <c r="Q29" s="71">
        <v>0</v>
      </c>
      <c r="R29" s="66">
        <v>0</v>
      </c>
      <c r="S29" s="71">
        <v>0</v>
      </c>
      <c r="T29" s="66">
        <v>0</v>
      </c>
      <c r="U29" s="135">
        <v>0</v>
      </c>
      <c r="V29" s="151">
        <f t="shared" si="20"/>
        <v>0</v>
      </c>
      <c r="X29" s="133">
        <f t="shared" si="13"/>
        <v>0</v>
      </c>
      <c r="Y29" s="133">
        <f t="shared" si="3"/>
        <v>0</v>
      </c>
      <c r="Z29" s="133">
        <f t="shared" si="21"/>
        <v>0</v>
      </c>
      <c r="AA29" s="69"/>
      <c r="AB29" s="133">
        <f t="shared" si="5"/>
        <v>0</v>
      </c>
      <c r="AC29" s="66">
        <v>0</v>
      </c>
      <c r="AD29" s="66">
        <v>0</v>
      </c>
      <c r="AE29" s="66">
        <v>0</v>
      </c>
      <c r="AF29" s="66">
        <v>0</v>
      </c>
      <c r="AG29" s="66">
        <v>0</v>
      </c>
      <c r="AH29" s="66">
        <v>0</v>
      </c>
      <c r="AI29" s="66">
        <f t="shared" si="22"/>
        <v>0</v>
      </c>
      <c r="AJ29" s="66">
        <f t="shared" si="15"/>
        <v>0</v>
      </c>
      <c r="AL29" s="934">
        <f t="shared" si="16"/>
        <v>0</v>
      </c>
      <c r="AM29" s="952"/>
      <c r="AO29" s="66">
        <v>0</v>
      </c>
      <c r="AP29" s="66">
        <v>0</v>
      </c>
      <c r="AQ29" s="66">
        <v>0</v>
      </c>
      <c r="AR29" s="66">
        <v>0</v>
      </c>
      <c r="AS29" s="133">
        <v>0</v>
      </c>
      <c r="AT29" s="946">
        <v>0</v>
      </c>
      <c r="AU29" s="151">
        <f t="shared" si="23"/>
        <v>0</v>
      </c>
      <c r="AV29" s="63"/>
      <c r="AW29" s="66">
        <f t="shared" si="18"/>
        <v>0</v>
      </c>
      <c r="AX29" s="66">
        <f t="shared" si="6"/>
        <v>0</v>
      </c>
      <c r="AY29" s="66">
        <f t="shared" si="7"/>
        <v>0</v>
      </c>
      <c r="AZ29" s="66">
        <f t="shared" si="8"/>
        <v>0</v>
      </c>
      <c r="BA29" s="66">
        <f t="shared" si="9"/>
        <v>0</v>
      </c>
      <c r="BB29" s="66">
        <f t="shared" si="10"/>
        <v>0</v>
      </c>
      <c r="BC29" s="66">
        <f t="shared" si="11"/>
        <v>0</v>
      </c>
      <c r="BD29" s="133">
        <f t="shared" si="19"/>
        <v>0</v>
      </c>
    </row>
    <row r="30" spans="1:57" customFormat="1" ht="14.1" customHeight="1" x14ac:dyDescent="0.25">
      <c r="B30" s="133" t="s">
        <v>95</v>
      </c>
      <c r="C30" s="1005" t="s">
        <v>96</v>
      </c>
      <c r="D30" s="1007" t="s">
        <v>550</v>
      </c>
      <c r="E30" s="133" t="s">
        <v>592</v>
      </c>
      <c r="F30" s="66"/>
      <c r="G30" s="66">
        <f>_xlfn.IFNA(INDEX(NewRecipeTable[Percentage Yield],MATCH(E30,NewRecipeTable[ShortCode],0)),0)</f>
        <v>40.020000000000003</v>
      </c>
      <c r="H30" s="134">
        <v>1570</v>
      </c>
      <c r="I30" s="66" t="str">
        <v>No</v>
      </c>
      <c r="J30" s="133" t="s">
        <v>244</v>
      </c>
      <c r="K30" s="133">
        <f>SUMIFS('Pork Leg Deboning'!$E$8:$E$42,'Pork Leg Deboning'!$D$8:$D$42,'New Deboning Leg'!$E30,'Pork Leg Deboning'!$E$8:$E$42,"&gt;0")</f>
        <v>0</v>
      </c>
      <c r="L30" s="66">
        <f t="shared" si="12"/>
        <v>0</v>
      </c>
      <c r="M30" s="133">
        <f>SUMIFS('Pork Leg Deboning'!$F$8:$F$42,'Pork Leg Deboning'!$D$8:$D$42,'New Deboning Leg'!$E30,'Pork Leg Deboning'!$E$8:$E$42,"&gt;0")</f>
        <v>0</v>
      </c>
      <c r="O30" s="92" t="s">
        <v>639</v>
      </c>
      <c r="P30" s="71">
        <v>0</v>
      </c>
      <c r="Q30" s="71">
        <v>0</v>
      </c>
      <c r="R30" s="66">
        <v>0</v>
      </c>
      <c r="S30" s="71">
        <v>0</v>
      </c>
      <c r="T30" s="66">
        <v>0</v>
      </c>
      <c r="U30" s="135">
        <v>0</v>
      </c>
      <c r="V30" s="151">
        <f t="shared" si="20"/>
        <v>0</v>
      </c>
      <c r="X30" s="133">
        <f t="shared" si="13"/>
        <v>0</v>
      </c>
      <c r="Y30" s="133">
        <f t="shared" si="3"/>
        <v>0</v>
      </c>
      <c r="Z30" s="133">
        <f t="shared" si="21"/>
        <v>0</v>
      </c>
      <c r="AA30" s="69"/>
      <c r="AB30" s="133">
        <f t="shared" si="5"/>
        <v>0</v>
      </c>
      <c r="AC30" s="66">
        <v>0</v>
      </c>
      <c r="AD30" s="66">
        <v>0</v>
      </c>
      <c r="AE30" s="66">
        <v>0</v>
      </c>
      <c r="AF30" s="66">
        <v>0</v>
      </c>
      <c r="AG30" s="66">
        <v>0</v>
      </c>
      <c r="AH30" s="66">
        <v>0</v>
      </c>
      <c r="AI30" s="66">
        <f t="shared" si="22"/>
        <v>0</v>
      </c>
      <c r="AJ30" s="66">
        <f t="shared" si="15"/>
        <v>0</v>
      </c>
      <c r="AL30" s="934">
        <f t="shared" si="16"/>
        <v>0</v>
      </c>
      <c r="AM30" s="952"/>
      <c r="AO30" s="66">
        <v>0</v>
      </c>
      <c r="AP30" s="66">
        <v>0</v>
      </c>
      <c r="AQ30" s="66">
        <v>0</v>
      </c>
      <c r="AR30" s="66">
        <v>0</v>
      </c>
      <c r="AS30" s="133">
        <v>0</v>
      </c>
      <c r="AT30" s="946">
        <v>0</v>
      </c>
      <c r="AU30" s="151">
        <f t="shared" si="23"/>
        <v>0</v>
      </c>
      <c r="AV30" s="63"/>
      <c r="AW30" s="66">
        <f t="shared" si="18"/>
        <v>0</v>
      </c>
      <c r="AX30" s="66">
        <f t="shared" si="6"/>
        <v>0</v>
      </c>
      <c r="AY30" s="66">
        <f t="shared" si="7"/>
        <v>0</v>
      </c>
      <c r="AZ30" s="66">
        <f t="shared" si="8"/>
        <v>0</v>
      </c>
      <c r="BA30" s="66">
        <f t="shared" si="9"/>
        <v>0</v>
      </c>
      <c r="BB30" s="66">
        <f t="shared" si="10"/>
        <v>0</v>
      </c>
      <c r="BC30" s="66">
        <f t="shared" si="11"/>
        <v>0</v>
      </c>
      <c r="BD30" s="133">
        <f t="shared" si="19"/>
        <v>0</v>
      </c>
    </row>
    <row r="31" spans="1:57" customFormat="1" ht="14.1" customHeight="1" x14ac:dyDescent="0.25">
      <c r="B31" s="133" t="s">
        <v>98</v>
      </c>
      <c r="C31" s="1005" t="s">
        <v>99</v>
      </c>
      <c r="D31" s="1007" t="s">
        <v>97</v>
      </c>
      <c r="E31" s="133" t="s">
        <v>500</v>
      </c>
      <c r="F31" s="66"/>
      <c r="G31" s="66">
        <f>_xlfn.IFNA(INDEX(NewRecipeTable[Percentage Yield],MATCH(E31,NewRecipeTable[ShortCode],0)),0)</f>
        <v>59.14</v>
      </c>
      <c r="H31" s="134">
        <v>1570</v>
      </c>
      <c r="I31" s="66" t="str">
        <v>No</v>
      </c>
      <c r="J31" s="133" t="s">
        <v>244</v>
      </c>
      <c r="K31" s="133">
        <f>SUMIFS('Pork Leg Deboning'!$E$8:$E$42,'Pork Leg Deboning'!$D$8:$D$42,'New Deboning Leg'!$E31,'Pork Leg Deboning'!$E$8:$E$42,"&gt;0")</f>
        <v>0</v>
      </c>
      <c r="L31" s="66">
        <f t="shared" si="12"/>
        <v>0</v>
      </c>
      <c r="M31" s="133">
        <f>SUMIFS('Pork Leg Deboning'!$F$8:$F$42,'Pork Leg Deboning'!$D$8:$D$42,'New Deboning Leg'!$E31,'Pork Leg Deboning'!$E$8:$E$42,"&gt;0")</f>
        <v>0</v>
      </c>
      <c r="O31" s="92" t="s">
        <v>639</v>
      </c>
      <c r="P31" s="71">
        <v>0</v>
      </c>
      <c r="Q31" s="71">
        <v>0</v>
      </c>
      <c r="R31" s="66">
        <v>0</v>
      </c>
      <c r="S31" s="71">
        <v>0</v>
      </c>
      <c r="T31" s="66">
        <v>0</v>
      </c>
      <c r="U31" s="135">
        <v>0</v>
      </c>
      <c r="V31" s="151">
        <f t="shared" si="20"/>
        <v>0</v>
      </c>
      <c r="X31" s="133">
        <f t="shared" si="13"/>
        <v>0</v>
      </c>
      <c r="Y31" s="133">
        <f t="shared" si="3"/>
        <v>0</v>
      </c>
      <c r="Z31" s="133">
        <f t="shared" si="21"/>
        <v>0</v>
      </c>
      <c r="AA31" s="69"/>
      <c r="AB31" s="133">
        <f t="shared" si="5"/>
        <v>0</v>
      </c>
      <c r="AC31" s="66">
        <v>0</v>
      </c>
      <c r="AD31" s="66">
        <v>0</v>
      </c>
      <c r="AE31" s="66">
        <v>0</v>
      </c>
      <c r="AF31" s="66">
        <v>0</v>
      </c>
      <c r="AG31" s="66">
        <v>0</v>
      </c>
      <c r="AH31" s="66">
        <v>0</v>
      </c>
      <c r="AI31" s="66">
        <f t="shared" si="22"/>
        <v>0</v>
      </c>
      <c r="AJ31" s="66">
        <f t="shared" si="15"/>
        <v>0</v>
      </c>
      <c r="AL31" s="934">
        <f t="shared" si="16"/>
        <v>0</v>
      </c>
      <c r="AM31" s="952"/>
      <c r="AO31" s="66">
        <v>0</v>
      </c>
      <c r="AP31" s="66">
        <v>0</v>
      </c>
      <c r="AQ31" s="66">
        <v>0</v>
      </c>
      <c r="AR31" s="66">
        <v>0</v>
      </c>
      <c r="AS31" s="133">
        <v>0</v>
      </c>
      <c r="AT31" s="946">
        <v>0</v>
      </c>
      <c r="AU31" s="151">
        <f t="shared" si="23"/>
        <v>0</v>
      </c>
      <c r="AV31" s="63"/>
      <c r="AW31" s="66">
        <f t="shared" si="18"/>
        <v>0</v>
      </c>
      <c r="AX31" s="66">
        <f t="shared" si="6"/>
        <v>0</v>
      </c>
      <c r="AY31" s="66">
        <f t="shared" si="7"/>
        <v>0</v>
      </c>
      <c r="AZ31" s="66">
        <f t="shared" si="8"/>
        <v>0</v>
      </c>
      <c r="BA31" s="66">
        <f t="shared" si="9"/>
        <v>0</v>
      </c>
      <c r="BB31" s="66">
        <f t="shared" si="10"/>
        <v>0</v>
      </c>
      <c r="BC31" s="66">
        <f t="shared" si="11"/>
        <v>0</v>
      </c>
      <c r="BD31" s="133">
        <f t="shared" si="19"/>
        <v>0</v>
      </c>
    </row>
    <row r="32" spans="1:57" customFormat="1" ht="14.1" customHeight="1" x14ac:dyDescent="0.25">
      <c r="B32" s="133" t="s">
        <v>100</v>
      </c>
      <c r="C32" s="1005" t="s">
        <v>1238</v>
      </c>
      <c r="D32" s="1007" t="s">
        <v>1236</v>
      </c>
      <c r="E32" s="133" t="s">
        <v>1510</v>
      </c>
      <c r="F32" s="66"/>
      <c r="G32" s="66">
        <f>_xlfn.IFNA(INDEX(NewRecipeTable[Percentage Yield],MATCH(E32,NewRecipeTable[ShortCode],0)),0)</f>
        <v>24.9</v>
      </c>
      <c r="H32" s="134">
        <v>1570</v>
      </c>
      <c r="I32" s="66" t="str">
        <v>No</v>
      </c>
      <c r="J32" s="133" t="s">
        <v>244</v>
      </c>
      <c r="K32" s="133">
        <f>SUMIFS('Pork Leg Deboning'!$E$8:$E$42,'Pork Leg Deboning'!$D$8:$D$42,'New Deboning Leg'!$E32,'Pork Leg Deboning'!$E$8:$E$42,"&gt;0")</f>
        <v>0</v>
      </c>
      <c r="L32" s="66">
        <f t="shared" si="12"/>
        <v>0</v>
      </c>
      <c r="M32" s="133">
        <f>SUMIFS('Pork Leg Deboning'!$F$8:$F$42,'Pork Leg Deboning'!$D$8:$D$42,'New Deboning Leg'!$E32,'Pork Leg Deboning'!$E$8:$E$42,"&gt;0")</f>
        <v>0</v>
      </c>
      <c r="O32" s="92" t="s">
        <v>639</v>
      </c>
      <c r="P32" s="71">
        <v>0</v>
      </c>
      <c r="Q32" s="71">
        <v>0</v>
      </c>
      <c r="R32" s="66">
        <v>0</v>
      </c>
      <c r="S32" s="71">
        <v>0</v>
      </c>
      <c r="T32" s="66">
        <v>0</v>
      </c>
      <c r="U32" s="135">
        <v>0</v>
      </c>
      <c r="V32" s="151">
        <f t="shared" si="20"/>
        <v>0</v>
      </c>
      <c r="X32" s="133">
        <f t="shared" si="13"/>
        <v>0</v>
      </c>
      <c r="Y32" s="133">
        <f t="shared" si="3"/>
        <v>0</v>
      </c>
      <c r="Z32" s="133">
        <f t="shared" si="21"/>
        <v>0</v>
      </c>
      <c r="AA32" s="69"/>
      <c r="AB32" s="133">
        <f t="shared" si="5"/>
        <v>0</v>
      </c>
      <c r="AC32" s="66">
        <v>0</v>
      </c>
      <c r="AD32" s="66">
        <v>0</v>
      </c>
      <c r="AE32" s="66">
        <v>0</v>
      </c>
      <c r="AF32" s="66">
        <v>0</v>
      </c>
      <c r="AG32" s="66">
        <v>0</v>
      </c>
      <c r="AH32" s="66">
        <v>0</v>
      </c>
      <c r="AI32" s="66">
        <f t="shared" si="22"/>
        <v>0</v>
      </c>
      <c r="AJ32" s="66">
        <f t="shared" si="15"/>
        <v>0</v>
      </c>
      <c r="AL32" s="934">
        <f t="shared" si="16"/>
        <v>0</v>
      </c>
      <c r="AM32" s="952"/>
      <c r="AO32" s="66">
        <v>0</v>
      </c>
      <c r="AP32" s="66">
        <v>0</v>
      </c>
      <c r="AQ32" s="66">
        <v>0</v>
      </c>
      <c r="AR32" s="66">
        <v>0</v>
      </c>
      <c r="AS32" s="133">
        <v>0</v>
      </c>
      <c r="AT32" s="946">
        <v>0</v>
      </c>
      <c r="AU32" s="151">
        <f t="shared" si="23"/>
        <v>0</v>
      </c>
      <c r="AV32" s="63"/>
      <c r="AW32" s="66">
        <f t="shared" si="18"/>
        <v>0</v>
      </c>
      <c r="AX32" s="66">
        <f t="shared" si="6"/>
        <v>0</v>
      </c>
      <c r="AY32" s="66">
        <f t="shared" si="7"/>
        <v>0</v>
      </c>
      <c r="AZ32" s="66">
        <f t="shared" si="8"/>
        <v>0</v>
      </c>
      <c r="BA32" s="66">
        <f t="shared" si="9"/>
        <v>0</v>
      </c>
      <c r="BB32" s="66">
        <f t="shared" si="10"/>
        <v>0</v>
      </c>
      <c r="BC32" s="66">
        <f t="shared" si="11"/>
        <v>0</v>
      </c>
      <c r="BD32" s="133">
        <f t="shared" si="19"/>
        <v>0</v>
      </c>
    </row>
    <row r="33" spans="2:57" customFormat="1" ht="14.1" customHeight="1" x14ac:dyDescent="0.25">
      <c r="B33" s="133" t="s">
        <v>1241</v>
      </c>
      <c r="C33" s="1005" t="s">
        <v>1242</v>
      </c>
      <c r="D33" s="1007" t="s">
        <v>1239</v>
      </c>
      <c r="E33" s="133" t="s">
        <v>1511</v>
      </c>
      <c r="F33" s="66"/>
      <c r="G33" s="66">
        <f>_xlfn.IFNA(INDEX(NewRecipeTable[Percentage Yield],MATCH(E33,NewRecipeTable[ShortCode],0)),0)</f>
        <v>47.36</v>
      </c>
      <c r="H33" s="134">
        <v>1570</v>
      </c>
      <c r="I33" s="66" t="str">
        <v>No</v>
      </c>
      <c r="J33" s="133" t="s">
        <v>244</v>
      </c>
      <c r="K33" s="133">
        <f>SUMIFS('Pork Leg Deboning'!$E$8:$E$42,'Pork Leg Deboning'!$D$8:$D$42,'New Deboning Leg'!$E33,'Pork Leg Deboning'!$E$8:$E$42,"&gt;0")</f>
        <v>0</v>
      </c>
      <c r="L33" s="66">
        <f t="shared" si="12"/>
        <v>0</v>
      </c>
      <c r="M33" s="133">
        <f>SUMIFS('Pork Leg Deboning'!$F$8:$F$42,'Pork Leg Deboning'!$D$8:$D$42,'New Deboning Leg'!$E33,'Pork Leg Deboning'!$E$8:$E$42,"&gt;0")</f>
        <v>0</v>
      </c>
      <c r="O33" s="92" t="s">
        <v>639</v>
      </c>
      <c r="P33" s="71">
        <v>0</v>
      </c>
      <c r="Q33" s="71">
        <v>0</v>
      </c>
      <c r="R33" s="66">
        <v>0</v>
      </c>
      <c r="S33" s="71">
        <v>0</v>
      </c>
      <c r="T33" s="66">
        <v>0</v>
      </c>
      <c r="U33" s="135">
        <v>0</v>
      </c>
      <c r="V33" s="151">
        <f t="shared" si="20"/>
        <v>0</v>
      </c>
      <c r="X33" s="133">
        <f t="shared" si="13"/>
        <v>0</v>
      </c>
      <c r="Y33" s="133">
        <f t="shared" si="3"/>
        <v>0</v>
      </c>
      <c r="Z33" s="133">
        <f t="shared" si="21"/>
        <v>0</v>
      </c>
      <c r="AA33" s="69"/>
      <c r="AB33" s="133">
        <f t="shared" si="5"/>
        <v>0</v>
      </c>
      <c r="AC33" s="66">
        <v>0</v>
      </c>
      <c r="AD33" s="66">
        <v>0</v>
      </c>
      <c r="AE33" s="66">
        <v>0</v>
      </c>
      <c r="AF33" s="66">
        <v>0</v>
      </c>
      <c r="AG33" s="66">
        <v>0</v>
      </c>
      <c r="AH33" s="66">
        <v>0</v>
      </c>
      <c r="AI33" s="66">
        <f t="shared" si="22"/>
        <v>0</v>
      </c>
      <c r="AJ33" s="66">
        <f t="shared" si="15"/>
        <v>0</v>
      </c>
      <c r="AL33" s="934">
        <f t="shared" si="16"/>
        <v>0</v>
      </c>
      <c r="AM33" s="952"/>
      <c r="AO33" s="66">
        <v>0</v>
      </c>
      <c r="AP33" s="66">
        <v>0</v>
      </c>
      <c r="AQ33" s="66">
        <v>0</v>
      </c>
      <c r="AR33" s="66">
        <v>0</v>
      </c>
      <c r="AS33" s="133">
        <v>0</v>
      </c>
      <c r="AT33" s="946">
        <v>0</v>
      </c>
      <c r="AU33" s="151">
        <f t="shared" si="23"/>
        <v>0</v>
      </c>
      <c r="AV33" s="63"/>
      <c r="AW33" s="66">
        <f t="shared" si="18"/>
        <v>0</v>
      </c>
      <c r="AX33" s="66">
        <f t="shared" si="6"/>
        <v>0</v>
      </c>
      <c r="AY33" s="66">
        <f t="shared" si="7"/>
        <v>0</v>
      </c>
      <c r="AZ33" s="66">
        <f t="shared" si="8"/>
        <v>0</v>
      </c>
      <c r="BA33" s="66">
        <f t="shared" si="9"/>
        <v>0</v>
      </c>
      <c r="BB33" s="66">
        <f t="shared" si="10"/>
        <v>0</v>
      </c>
      <c r="BC33" s="66">
        <f t="shared" si="11"/>
        <v>0</v>
      </c>
      <c r="BD33" s="133">
        <f t="shared" si="19"/>
        <v>0</v>
      </c>
    </row>
    <row r="34" spans="2:57" ht="14.1" customHeight="1" x14ac:dyDescent="0.25">
      <c r="B34" s="1151" t="s">
        <v>257</v>
      </c>
      <c r="C34" s="1194" t="s">
        <v>549</v>
      </c>
      <c r="D34" s="1195" t="s">
        <v>547</v>
      </c>
      <c r="E34" s="1151" t="s">
        <v>591</v>
      </c>
      <c r="F34" s="66"/>
      <c r="G34" s="1154">
        <f>_xlfn.IFNA(INDEX(NewRecipeTable[Percentage Yield],MATCH(E34,NewRecipeTable[ShortCode],0)),0)</f>
        <v>44.66</v>
      </c>
      <c r="H34" s="1196">
        <v>1570</v>
      </c>
      <c r="I34" s="1154" t="str">
        <v>Yes</v>
      </c>
      <c r="J34" s="1151" t="s">
        <v>244</v>
      </c>
      <c r="K34" s="1151">
        <f>SUMIFS('Pork Leg Deboning'!$E$8:$E$42,'Pork Leg Deboning'!$D$8:$D$42,'New Deboning Leg'!$E34,'Pork Leg Deboning'!$E$8:$E$42,"&gt;0")</f>
        <v>20</v>
      </c>
      <c r="L34" s="1154">
        <f t="shared" si="12"/>
        <v>179.66064981949461</v>
      </c>
      <c r="M34" s="1151">
        <f>SUMIFS('Pork Leg Deboning'!$F$8:$F$42,'Pork Leg Deboning'!$D$8:$D$42,'New Deboning Leg'!$E34,'Pork Leg Deboning'!$E$8:$E$42,"&gt;0")</f>
        <v>86.5</v>
      </c>
      <c r="O34" s="1155" t="s">
        <v>639</v>
      </c>
      <c r="P34" s="1156">
        <v>1.6773313580960418</v>
      </c>
      <c r="Q34" s="1156">
        <v>43.561091190240582</v>
      </c>
      <c r="R34" s="1154">
        <v>13.383974018856444</v>
      </c>
      <c r="S34" s="1156">
        <v>8.0015725458434837</v>
      </c>
      <c r="T34" s="1154">
        <v>19.384783673454244</v>
      </c>
      <c r="U34" s="1197">
        <v>0</v>
      </c>
      <c r="V34" s="1198">
        <f t="shared" si="20"/>
        <v>86.008752786490788</v>
      </c>
      <c r="X34" s="1151">
        <f t="shared" si="13"/>
        <v>48.146324800064292</v>
      </c>
      <c r="Y34" s="1151">
        <f t="shared" si="3"/>
        <v>44.66</v>
      </c>
      <c r="Z34" s="1151">
        <f t="shared" si="21"/>
        <v>-3.4863248000642955</v>
      </c>
      <c r="AA34" s="1142"/>
      <c r="AB34" s="1151">
        <f t="shared" si="5"/>
        <v>44.66</v>
      </c>
      <c r="AC34" s="1154">
        <v>0.9</v>
      </c>
      <c r="AD34" s="1154">
        <v>26.61</v>
      </c>
      <c r="AE34" s="1154">
        <v>11.21</v>
      </c>
      <c r="AF34" s="1154">
        <v>3.36</v>
      </c>
      <c r="AG34" s="1154">
        <v>12.9</v>
      </c>
      <c r="AH34" s="1154">
        <v>0.37</v>
      </c>
      <c r="AI34" s="66">
        <f t="shared" si="22"/>
        <v>54.98</v>
      </c>
      <c r="AJ34" s="1154">
        <f t="shared" si="15"/>
        <v>100.01</v>
      </c>
      <c r="AL34" s="934">
        <f t="shared" si="16"/>
        <v>131.51432501943032</v>
      </c>
      <c r="AM34" s="952"/>
      <c r="AO34" s="66">
        <v>0</v>
      </c>
      <c r="AP34" s="66">
        <v>0</v>
      </c>
      <c r="AQ34" s="66">
        <v>0</v>
      </c>
      <c r="AR34" s="66">
        <v>0</v>
      </c>
      <c r="AS34" s="133">
        <v>0</v>
      </c>
      <c r="AT34" s="946">
        <v>0</v>
      </c>
      <c r="AU34" s="151">
        <f t="shared" si="23"/>
        <v>0</v>
      </c>
      <c r="AV34" s="1190"/>
      <c r="AW34" s="1154">
        <f t="shared" si="18"/>
        <v>48.146324800064292</v>
      </c>
      <c r="AX34" s="1154">
        <f t="shared" si="6"/>
        <v>0.93361087126271647</v>
      </c>
      <c r="AY34" s="1154">
        <f t="shared" si="7"/>
        <v>24.246317284283727</v>
      </c>
      <c r="AZ34" s="1154">
        <f t="shared" si="8"/>
        <v>7.4495856673697594</v>
      </c>
      <c r="BA34" s="1154">
        <f t="shared" si="9"/>
        <v>4.4537145746064475</v>
      </c>
      <c r="BB34" s="1154">
        <f t="shared" si="10"/>
        <v>10.789665790995508</v>
      </c>
      <c r="BC34" s="1154">
        <f t="shared" si="11"/>
        <v>0</v>
      </c>
      <c r="BD34" s="1151">
        <f t="shared" si="19"/>
        <v>96.019218988582452</v>
      </c>
    </row>
    <row r="35" spans="2:57" customFormat="1" ht="14.1" customHeight="1" x14ac:dyDescent="0.25">
      <c r="B35" s="133" t="s">
        <v>1253</v>
      </c>
      <c r="C35" s="1005" t="s">
        <v>1254</v>
      </c>
      <c r="D35" s="1007" t="s">
        <v>1251</v>
      </c>
      <c r="E35" s="133" t="s">
        <v>1512</v>
      </c>
      <c r="F35" s="66"/>
      <c r="G35" s="66">
        <f>_xlfn.IFNA(INDEX(NewRecipeTable[Percentage Yield],MATCH(E35,NewRecipeTable[ShortCode],0)),0)</f>
        <v>24</v>
      </c>
      <c r="H35" s="134">
        <v>1570</v>
      </c>
      <c r="I35" s="66" t="str">
        <v>No</v>
      </c>
      <c r="J35" s="133" t="s">
        <v>244</v>
      </c>
      <c r="K35" s="133">
        <f>SUMIFS('Pork Leg Deboning'!$E$8:$E$42,'Pork Leg Deboning'!$D$8:$D$42,'New Deboning Leg'!$E35,'Pork Leg Deboning'!$E$8:$E$42,"&gt;0")</f>
        <v>0</v>
      </c>
      <c r="L35" s="66">
        <f t="shared" si="12"/>
        <v>0</v>
      </c>
      <c r="M35" s="133">
        <f>SUMIFS('Pork Leg Deboning'!$F$8:$F$42,'Pork Leg Deboning'!$D$8:$D$42,'New Deboning Leg'!$E35,'Pork Leg Deboning'!$E$8:$E$42,"&gt;0")</f>
        <v>0</v>
      </c>
      <c r="O35" s="92" t="s">
        <v>639</v>
      </c>
      <c r="P35" s="71">
        <v>0</v>
      </c>
      <c r="Q35" s="71">
        <v>0</v>
      </c>
      <c r="R35" s="66">
        <v>0</v>
      </c>
      <c r="S35" s="71">
        <v>0</v>
      </c>
      <c r="T35" s="66">
        <v>0</v>
      </c>
      <c r="U35" s="135">
        <v>0</v>
      </c>
      <c r="V35" s="151">
        <f t="shared" si="20"/>
        <v>0</v>
      </c>
      <c r="X35" s="133">
        <f t="shared" si="13"/>
        <v>0</v>
      </c>
      <c r="Y35" s="133">
        <f t="shared" si="3"/>
        <v>0</v>
      </c>
      <c r="Z35" s="133">
        <f t="shared" si="21"/>
        <v>0</v>
      </c>
      <c r="AA35" s="69"/>
      <c r="AB35" s="133">
        <f t="shared" si="5"/>
        <v>0</v>
      </c>
      <c r="AC35" s="66">
        <v>0</v>
      </c>
      <c r="AD35" s="66">
        <v>0</v>
      </c>
      <c r="AE35" s="66">
        <v>0</v>
      </c>
      <c r="AF35" s="66">
        <v>0</v>
      </c>
      <c r="AG35" s="66">
        <v>0</v>
      </c>
      <c r="AH35" s="66">
        <v>0</v>
      </c>
      <c r="AI35" s="66">
        <f t="shared" si="22"/>
        <v>0</v>
      </c>
      <c r="AJ35" s="66">
        <f t="shared" si="15"/>
        <v>0</v>
      </c>
      <c r="AL35" s="934">
        <f t="shared" si="16"/>
        <v>0</v>
      </c>
      <c r="AM35" s="952"/>
      <c r="AO35" s="66">
        <v>0</v>
      </c>
      <c r="AP35" s="66">
        <v>0</v>
      </c>
      <c r="AQ35" s="66">
        <v>0</v>
      </c>
      <c r="AR35" s="66">
        <v>0</v>
      </c>
      <c r="AS35" s="133">
        <v>0</v>
      </c>
      <c r="AT35" s="946">
        <v>0</v>
      </c>
      <c r="AU35" s="151">
        <f t="shared" si="23"/>
        <v>0</v>
      </c>
      <c r="AV35" s="63"/>
      <c r="AW35" s="66">
        <f t="shared" si="18"/>
        <v>0</v>
      </c>
      <c r="AX35" s="66">
        <f t="shared" si="6"/>
        <v>0</v>
      </c>
      <c r="AY35" s="66">
        <f t="shared" si="7"/>
        <v>0</v>
      </c>
      <c r="AZ35" s="66">
        <f t="shared" si="8"/>
        <v>0</v>
      </c>
      <c r="BA35" s="66">
        <f t="shared" si="9"/>
        <v>0</v>
      </c>
      <c r="BB35" s="66">
        <f t="shared" si="10"/>
        <v>0</v>
      </c>
      <c r="BC35" s="66">
        <f t="shared" si="11"/>
        <v>0</v>
      </c>
      <c r="BD35" s="133">
        <f t="shared" si="19"/>
        <v>0</v>
      </c>
    </row>
    <row r="36" spans="2:57" customFormat="1" ht="14.1" customHeight="1" x14ac:dyDescent="0.25">
      <c r="B36" s="133" t="s">
        <v>1260</v>
      </c>
      <c r="C36" s="1005" t="s">
        <v>1261</v>
      </c>
      <c r="D36" s="1007" t="s">
        <v>1258</v>
      </c>
      <c r="E36" s="133" t="s">
        <v>1513</v>
      </c>
      <c r="F36" s="66"/>
      <c r="G36" s="66">
        <f>_xlfn.IFNA(INDEX(NewRecipeTable[Percentage Yield],MATCH(E36,NewRecipeTable[ShortCode],0)),0)</f>
        <v>32.200000000000003</v>
      </c>
      <c r="H36" s="134">
        <v>1570</v>
      </c>
      <c r="I36" s="66" t="str">
        <v>No</v>
      </c>
      <c r="J36" s="133" t="s">
        <v>244</v>
      </c>
      <c r="K36" s="133">
        <f>SUMIFS('Pork Leg Deboning'!$E$8:$E$42,'Pork Leg Deboning'!$D$8:$D$42,'New Deboning Leg'!$E36,'Pork Leg Deboning'!$E$8:$E$42,"&gt;0")</f>
        <v>0</v>
      </c>
      <c r="L36" s="66">
        <f t="shared" si="12"/>
        <v>0</v>
      </c>
      <c r="M36" s="133">
        <f>SUMIFS('Pork Leg Deboning'!$F$8:$F$42,'Pork Leg Deboning'!$D$8:$D$42,'New Deboning Leg'!$E36,'Pork Leg Deboning'!$E$8:$E$42,"&gt;0")</f>
        <v>0</v>
      </c>
      <c r="O36" s="92" t="s">
        <v>639</v>
      </c>
      <c r="P36" s="71">
        <v>0</v>
      </c>
      <c r="Q36" s="71">
        <v>0</v>
      </c>
      <c r="R36" s="66">
        <v>0</v>
      </c>
      <c r="S36" s="71">
        <v>0</v>
      </c>
      <c r="T36" s="66">
        <v>0</v>
      </c>
      <c r="U36" s="135">
        <v>0</v>
      </c>
      <c r="V36" s="151">
        <f t="shared" si="20"/>
        <v>0</v>
      </c>
      <c r="X36" s="133">
        <f t="shared" si="13"/>
        <v>0</v>
      </c>
      <c r="Y36" s="133">
        <f t="shared" si="3"/>
        <v>0</v>
      </c>
      <c r="Z36" s="133">
        <f t="shared" si="21"/>
        <v>0</v>
      </c>
      <c r="AA36" s="69"/>
      <c r="AB36" s="133">
        <f t="shared" si="5"/>
        <v>0</v>
      </c>
      <c r="AC36" s="66">
        <v>0</v>
      </c>
      <c r="AD36" s="66">
        <v>0</v>
      </c>
      <c r="AE36" s="66">
        <v>0</v>
      </c>
      <c r="AF36" s="66">
        <v>0</v>
      </c>
      <c r="AG36" s="66">
        <v>0</v>
      </c>
      <c r="AH36" s="66">
        <v>0</v>
      </c>
      <c r="AI36" s="66">
        <f t="shared" si="22"/>
        <v>0</v>
      </c>
      <c r="AJ36" s="66">
        <f t="shared" si="15"/>
        <v>0</v>
      </c>
      <c r="AL36" s="934">
        <f t="shared" si="16"/>
        <v>0</v>
      </c>
      <c r="AM36" s="952"/>
      <c r="AO36" s="66">
        <v>0</v>
      </c>
      <c r="AP36" s="66">
        <v>0</v>
      </c>
      <c r="AQ36" s="66">
        <v>0</v>
      </c>
      <c r="AR36" s="66">
        <v>0</v>
      </c>
      <c r="AS36" s="133">
        <v>0</v>
      </c>
      <c r="AT36" s="946">
        <v>0</v>
      </c>
      <c r="AU36" s="151">
        <f t="shared" si="23"/>
        <v>0</v>
      </c>
      <c r="AV36" s="63"/>
      <c r="AW36" s="66">
        <f t="shared" si="18"/>
        <v>0</v>
      </c>
      <c r="AX36" s="66">
        <f t="shared" si="6"/>
        <v>0</v>
      </c>
      <c r="AY36" s="66">
        <f t="shared" si="7"/>
        <v>0</v>
      </c>
      <c r="AZ36" s="66">
        <f t="shared" si="8"/>
        <v>0</v>
      </c>
      <c r="BA36" s="66">
        <f t="shared" si="9"/>
        <v>0</v>
      </c>
      <c r="BB36" s="66">
        <f t="shared" si="10"/>
        <v>0</v>
      </c>
      <c r="BC36" s="66">
        <f t="shared" si="11"/>
        <v>0</v>
      </c>
      <c r="BD36" s="133">
        <f t="shared" si="19"/>
        <v>0</v>
      </c>
    </row>
    <row r="37" spans="2:57" customFormat="1" ht="14.1" customHeight="1" x14ac:dyDescent="0.25">
      <c r="B37" s="133" t="s">
        <v>1278</v>
      </c>
      <c r="C37" s="1005" t="s">
        <v>1279</v>
      </c>
      <c r="D37" s="1007" t="s">
        <v>1276</v>
      </c>
      <c r="E37" s="133" t="s">
        <v>1514</v>
      </c>
      <c r="F37" s="66"/>
      <c r="G37" s="66">
        <f>_xlfn.IFNA(INDEX(NewRecipeTable[Percentage Yield],MATCH(E37,NewRecipeTable[ShortCode],0)),0)</f>
        <v>9.4</v>
      </c>
      <c r="H37" s="134">
        <v>1570</v>
      </c>
      <c r="I37" s="66" t="str">
        <v>No</v>
      </c>
      <c r="J37" s="133" t="s">
        <v>244</v>
      </c>
      <c r="K37" s="133">
        <f>SUMIFS('Pork Leg Deboning'!$E$8:$E$42,'Pork Leg Deboning'!$D$8:$D$42,'New Deboning Leg'!$E37,'Pork Leg Deboning'!$E$8:$E$42,"&gt;0")</f>
        <v>0</v>
      </c>
      <c r="L37" s="66">
        <f t="shared" si="12"/>
        <v>0</v>
      </c>
      <c r="M37" s="133">
        <f>SUMIFS('Pork Leg Deboning'!$F$8:$F$42,'Pork Leg Deboning'!$D$8:$D$42,'New Deboning Leg'!$E37,'Pork Leg Deboning'!$E$8:$E$42,"&gt;0")</f>
        <v>0</v>
      </c>
      <c r="O37" s="92" t="s">
        <v>639</v>
      </c>
      <c r="P37" s="71">
        <v>0</v>
      </c>
      <c r="Q37" s="71">
        <v>0</v>
      </c>
      <c r="R37" s="66">
        <v>0</v>
      </c>
      <c r="S37" s="71">
        <v>0</v>
      </c>
      <c r="T37" s="66">
        <v>0</v>
      </c>
      <c r="U37" s="135">
        <v>0</v>
      </c>
      <c r="V37" s="151">
        <f t="shared" si="20"/>
        <v>0</v>
      </c>
      <c r="X37" s="133">
        <f t="shared" si="13"/>
        <v>0</v>
      </c>
      <c r="Y37" s="133">
        <f t="shared" si="3"/>
        <v>0</v>
      </c>
      <c r="Z37" s="133">
        <f t="shared" si="21"/>
        <v>0</v>
      </c>
      <c r="AA37" s="69"/>
      <c r="AB37" s="133">
        <f t="shared" si="5"/>
        <v>0</v>
      </c>
      <c r="AC37" s="66">
        <v>0</v>
      </c>
      <c r="AD37" s="66">
        <v>0</v>
      </c>
      <c r="AE37" s="66">
        <v>0</v>
      </c>
      <c r="AF37" s="66">
        <v>0</v>
      </c>
      <c r="AG37" s="66">
        <v>0</v>
      </c>
      <c r="AH37" s="66">
        <v>0</v>
      </c>
      <c r="AI37" s="66">
        <f t="shared" si="22"/>
        <v>0</v>
      </c>
      <c r="AJ37" s="66">
        <f t="shared" si="15"/>
        <v>0</v>
      </c>
      <c r="AL37" s="934">
        <f t="shared" si="16"/>
        <v>0</v>
      </c>
      <c r="AM37" s="952"/>
      <c r="AO37" s="66">
        <v>0</v>
      </c>
      <c r="AP37" s="66">
        <v>0</v>
      </c>
      <c r="AQ37" s="66">
        <v>0</v>
      </c>
      <c r="AR37" s="66">
        <v>0</v>
      </c>
      <c r="AS37" s="133">
        <v>0</v>
      </c>
      <c r="AT37" s="946">
        <v>0</v>
      </c>
      <c r="AU37" s="151">
        <f t="shared" si="23"/>
        <v>0</v>
      </c>
      <c r="AV37" s="63"/>
      <c r="AW37" s="66">
        <f t="shared" si="18"/>
        <v>0</v>
      </c>
      <c r="AX37" s="66">
        <f t="shared" si="6"/>
        <v>0</v>
      </c>
      <c r="AY37" s="66">
        <f t="shared" si="7"/>
        <v>0</v>
      </c>
      <c r="AZ37" s="66">
        <f t="shared" si="8"/>
        <v>0</v>
      </c>
      <c r="BA37" s="66">
        <f t="shared" si="9"/>
        <v>0</v>
      </c>
      <c r="BB37" s="66">
        <f t="shared" si="10"/>
        <v>0</v>
      </c>
      <c r="BC37" s="66">
        <f t="shared" si="11"/>
        <v>0</v>
      </c>
      <c r="BD37" s="133">
        <f t="shared" si="19"/>
        <v>0</v>
      </c>
    </row>
    <row r="38" spans="2:57" customFormat="1" ht="14.1" customHeight="1" x14ac:dyDescent="0.25">
      <c r="B38" s="133" t="s">
        <v>1282</v>
      </c>
      <c r="C38" s="1005" t="s">
        <v>1283</v>
      </c>
      <c r="D38" s="1007" t="s">
        <v>1280</v>
      </c>
      <c r="E38" s="133" t="s">
        <v>1515</v>
      </c>
      <c r="F38" s="66"/>
      <c r="G38" s="66">
        <f>_xlfn.IFNA(INDEX(NewRecipeTable[Percentage Yield],MATCH(E38,NewRecipeTable[ShortCode],0)),0)</f>
        <v>6.9</v>
      </c>
      <c r="H38" s="134">
        <v>1570</v>
      </c>
      <c r="I38" s="66" t="str">
        <v>No</v>
      </c>
      <c r="J38" s="133" t="s">
        <v>244</v>
      </c>
      <c r="K38" s="133">
        <f>SUMIFS('Pork Leg Deboning'!$E$8:$E$42,'Pork Leg Deboning'!$D$8:$D$42,'New Deboning Leg'!$E38,'Pork Leg Deboning'!$E$8:$E$42,"&gt;0")</f>
        <v>0</v>
      </c>
      <c r="L38" s="66">
        <f t="shared" si="12"/>
        <v>0</v>
      </c>
      <c r="M38" s="133">
        <f>SUMIFS('Pork Leg Deboning'!$F$8:$F$42,'Pork Leg Deboning'!$D$8:$D$42,'New Deboning Leg'!$E38,'Pork Leg Deboning'!$E$8:$E$42,"&gt;0")</f>
        <v>0</v>
      </c>
      <c r="O38" s="92" t="s">
        <v>639</v>
      </c>
      <c r="P38" s="71">
        <v>0</v>
      </c>
      <c r="Q38" s="71">
        <v>0</v>
      </c>
      <c r="R38" s="66">
        <v>0</v>
      </c>
      <c r="S38" s="71">
        <v>0</v>
      </c>
      <c r="T38" s="66">
        <v>0</v>
      </c>
      <c r="U38" s="135">
        <v>0</v>
      </c>
      <c r="V38" s="151">
        <f t="shared" si="20"/>
        <v>0</v>
      </c>
      <c r="X38" s="133">
        <f t="shared" si="13"/>
        <v>0</v>
      </c>
      <c r="Y38" s="133">
        <f t="shared" si="3"/>
        <v>0</v>
      </c>
      <c r="Z38" s="133">
        <f t="shared" si="21"/>
        <v>0</v>
      </c>
      <c r="AA38" s="69"/>
      <c r="AB38" s="133">
        <f t="shared" si="5"/>
        <v>0</v>
      </c>
      <c r="AC38" s="66">
        <v>0</v>
      </c>
      <c r="AD38" s="66">
        <v>0</v>
      </c>
      <c r="AE38" s="66">
        <v>0</v>
      </c>
      <c r="AF38" s="66">
        <v>0</v>
      </c>
      <c r="AG38" s="66">
        <v>0</v>
      </c>
      <c r="AH38" s="66">
        <v>0</v>
      </c>
      <c r="AI38" s="66">
        <f t="shared" si="22"/>
        <v>0</v>
      </c>
      <c r="AJ38" s="66">
        <f t="shared" si="15"/>
        <v>0</v>
      </c>
      <c r="AL38" s="934">
        <f t="shared" si="16"/>
        <v>0</v>
      </c>
      <c r="AM38" s="952"/>
      <c r="AO38" s="66">
        <v>0</v>
      </c>
      <c r="AP38" s="66">
        <v>0</v>
      </c>
      <c r="AQ38" s="66">
        <v>0</v>
      </c>
      <c r="AR38" s="66">
        <v>0</v>
      </c>
      <c r="AS38" s="133">
        <v>0</v>
      </c>
      <c r="AT38" s="946">
        <v>0</v>
      </c>
      <c r="AU38" s="151">
        <f t="shared" si="23"/>
        <v>0</v>
      </c>
      <c r="AV38" s="63"/>
      <c r="AW38" s="66">
        <f t="shared" si="18"/>
        <v>0</v>
      </c>
      <c r="AX38" s="66">
        <f t="shared" si="6"/>
        <v>0</v>
      </c>
      <c r="AY38" s="66">
        <f t="shared" si="7"/>
        <v>0</v>
      </c>
      <c r="AZ38" s="66">
        <f t="shared" si="8"/>
        <v>0</v>
      </c>
      <c r="BA38" s="66">
        <f t="shared" si="9"/>
        <v>0</v>
      </c>
      <c r="BB38" s="66">
        <f t="shared" si="10"/>
        <v>0</v>
      </c>
      <c r="BC38" s="66">
        <f t="shared" si="11"/>
        <v>0</v>
      </c>
      <c r="BD38" s="133">
        <f t="shared" si="19"/>
        <v>0</v>
      </c>
    </row>
    <row r="39" spans="2:57" ht="15" x14ac:dyDescent="0.25">
      <c r="D39" s="1164"/>
      <c r="AL39" s="9"/>
      <c r="AV39" s="1190"/>
    </row>
    <row r="40" spans="2:57" ht="15.75" thickBot="1" x14ac:dyDescent="0.3">
      <c r="D40" s="1164"/>
      <c r="X40" s="1165"/>
      <c r="Y40" s="1165"/>
      <c r="Z40" s="1165"/>
      <c r="AB40" s="1165"/>
      <c r="AC40" s="1165"/>
      <c r="AD40" s="1165"/>
      <c r="AE40" s="1165"/>
      <c r="AF40" s="1165"/>
      <c r="AG40" s="1165"/>
      <c r="AH40" s="1165"/>
      <c r="AI40" s="1165"/>
      <c r="AJ40" s="1165"/>
      <c r="AK40" s="1165"/>
      <c r="AL40" s="1165"/>
      <c r="AM40" s="1165"/>
      <c r="AN40" s="1165"/>
      <c r="AO40" s="1165"/>
      <c r="AP40" s="1165"/>
      <c r="AQ40" s="1165"/>
      <c r="AR40" s="1165"/>
      <c r="AS40" s="1165"/>
      <c r="AT40" s="1165"/>
      <c r="AU40" s="1165"/>
      <c r="AV40" s="1190"/>
      <c r="AW40" s="1165"/>
      <c r="AX40" s="1165"/>
      <c r="AY40" s="1165"/>
      <c r="AZ40" s="1165"/>
      <c r="BA40" s="1165"/>
      <c r="BB40" s="1165"/>
      <c r="BC40" s="1165"/>
      <c r="BD40" s="1165"/>
    </row>
    <row r="41" spans="2:57" ht="16.5" thickTop="1" thickBot="1" x14ac:dyDescent="0.3">
      <c r="D41" s="1164"/>
      <c r="K41" s="1165">
        <f>SUM(K8:K40)</f>
        <v>1108</v>
      </c>
      <c r="L41" s="1165">
        <f>SUM(L8:L40)</f>
        <v>9959.2000000000007</v>
      </c>
      <c r="M41" s="1165">
        <f t="shared" ref="M41" si="24">SUM(M8:M40)</f>
        <v>6367.8</v>
      </c>
      <c r="P41" s="1165">
        <f>SUM(P8:P38)</f>
        <v>122</v>
      </c>
      <c r="Q41" s="1165">
        <f t="shared" ref="Q41:V41" si="25">SUM(Q8:Q38)</f>
        <v>995.69999999999993</v>
      </c>
      <c r="R41" s="1165">
        <f t="shared" si="25"/>
        <v>1082.5</v>
      </c>
      <c r="S41" s="1165">
        <f t="shared" si="25"/>
        <v>400</v>
      </c>
      <c r="T41" s="1165">
        <f t="shared" si="25"/>
        <v>991.19999999999993</v>
      </c>
      <c r="U41" s="1165">
        <f t="shared" si="25"/>
        <v>0</v>
      </c>
      <c r="V41" s="1165">
        <f t="shared" si="25"/>
        <v>3591.3999999999996</v>
      </c>
      <c r="AL41" s="9"/>
      <c r="AV41" s="1190"/>
    </row>
    <row r="42" spans="2:57" ht="15.75" thickTop="1" x14ac:dyDescent="0.25">
      <c r="D42" s="1164"/>
      <c r="AL42" s="9"/>
      <c r="AV42" s="1190"/>
    </row>
    <row r="43" spans="2:57" ht="15.75" thickBot="1" x14ac:dyDescent="0.3">
      <c r="D43" s="1164"/>
      <c r="K43" s="1165"/>
      <c r="L43" s="1165">
        <v>6</v>
      </c>
      <c r="M43" s="1165"/>
      <c r="AL43" s="9"/>
    </row>
    <row r="44" spans="2:57" customFormat="1" ht="20.25" hidden="1" customHeight="1" outlineLevel="1" thickTop="1" thickBot="1" x14ac:dyDescent="0.35">
      <c r="D44" s="8"/>
      <c r="M44" s="1015"/>
      <c r="N44" s="1015"/>
      <c r="O44" s="1015"/>
      <c r="P44" s="1364" t="s">
        <v>1204</v>
      </c>
      <c r="Q44" s="1364"/>
      <c r="R44" s="1364"/>
      <c r="S44" s="1364"/>
      <c r="T44" s="1364"/>
      <c r="U44" s="1364"/>
      <c r="V44" s="1364"/>
      <c r="W44" s="1364"/>
      <c r="X44" s="1015"/>
      <c r="Y44" s="1015"/>
      <c r="Z44" s="1015"/>
      <c r="AA44" s="1015"/>
      <c r="AB44" s="1015"/>
      <c r="AC44" s="1015"/>
      <c r="AD44" s="1015"/>
      <c r="AE44" s="1015"/>
      <c r="AF44" s="1015"/>
      <c r="AG44" s="1015"/>
      <c r="AH44" s="1015"/>
      <c r="AI44" s="1015"/>
      <c r="AJ44" s="1015"/>
      <c r="AK44" s="1015"/>
      <c r="AL44" s="1016"/>
      <c r="AM44" s="1015"/>
      <c r="AN44" s="1015"/>
      <c r="AO44" s="1363" t="s">
        <v>1203</v>
      </c>
      <c r="AP44" s="1363"/>
      <c r="AQ44" s="1363"/>
      <c r="AR44" s="1363"/>
      <c r="AS44" s="1363"/>
      <c r="AT44" s="1363"/>
      <c r="AU44" s="1363"/>
      <c r="AV44" s="1015"/>
      <c r="AW44" s="1015"/>
      <c r="AX44" s="1015"/>
      <c r="AY44" s="1015"/>
      <c r="AZ44" s="1015"/>
      <c r="BA44" s="1015"/>
      <c r="BB44" s="1015"/>
      <c r="BC44" s="1015"/>
      <c r="BD44" s="1015"/>
      <c r="BE44" s="1015"/>
    </row>
    <row r="45" spans="2:57" customFormat="1" ht="16.5" hidden="1" customHeight="1" outlineLevel="1" thickTop="1" thickBot="1" x14ac:dyDescent="0.3">
      <c r="D45" s="8"/>
      <c r="P45" s="59" t="s">
        <v>55</v>
      </c>
      <c r="Q45" s="59" t="s">
        <v>3</v>
      </c>
      <c r="R45" s="59" t="s">
        <v>6</v>
      </c>
      <c r="S45" s="59" t="s">
        <v>260</v>
      </c>
      <c r="T45" s="59" t="s">
        <v>5</v>
      </c>
      <c r="U45" s="59" t="s">
        <v>56</v>
      </c>
      <c r="V45" s="59"/>
      <c r="W45" s="59"/>
      <c r="AL45" s="9"/>
      <c r="AO45" s="59" t="s">
        <v>55</v>
      </c>
      <c r="AP45" s="59" t="s">
        <v>3</v>
      </c>
      <c r="AQ45" s="59" t="s">
        <v>6</v>
      </c>
      <c r="AR45" s="59" t="s">
        <v>260</v>
      </c>
      <c r="AS45" s="59" t="s">
        <v>5</v>
      </c>
      <c r="AT45" s="59" t="s">
        <v>56</v>
      </c>
      <c r="AU45" s="59"/>
    </row>
    <row r="46" spans="2:57" customFormat="1" ht="45.75" hidden="1" customHeight="1" outlineLevel="1" thickTop="1" x14ac:dyDescent="0.25">
      <c r="O46" s="91" t="s">
        <v>57</v>
      </c>
      <c r="P46" s="60" t="s">
        <v>61</v>
      </c>
      <c r="Q46" s="60" t="s">
        <v>58</v>
      </c>
      <c r="R46" s="60" t="s">
        <v>60</v>
      </c>
      <c r="S46" s="60" t="s">
        <v>261</v>
      </c>
      <c r="T46" s="60" t="s">
        <v>59</v>
      </c>
      <c r="U46" s="61" t="s">
        <v>246</v>
      </c>
      <c r="V46" s="62" t="s">
        <v>597</v>
      </c>
      <c r="W46" s="62"/>
      <c r="AL46" s="9"/>
      <c r="AO46" s="60" t="s">
        <v>61</v>
      </c>
      <c r="AP46" s="60" t="s">
        <v>58</v>
      </c>
      <c r="AQ46" s="60" t="s">
        <v>60</v>
      </c>
      <c r="AR46" s="60" t="s">
        <v>261</v>
      </c>
      <c r="AS46" s="60" t="s">
        <v>59</v>
      </c>
      <c r="AT46" s="61" t="s">
        <v>246</v>
      </c>
      <c r="AU46" s="62" t="s">
        <v>597</v>
      </c>
    </row>
    <row r="47" spans="2:57" customFormat="1" ht="14.1" hidden="1" customHeight="1" outlineLevel="1" x14ac:dyDescent="0.25">
      <c r="O47" s="1006" t="s">
        <v>64</v>
      </c>
      <c r="P47" s="71">
        <f t="array" ref="P47:U77">IF($K$8:$K$38=0,0,$K$8:$K$38/$K$41*100)*IF(AC8:AH38=0,0,AC8:AH38/$AJ$8:$AJ$38)</f>
        <v>0</v>
      </c>
      <c r="Q47" s="71">
        <v>0</v>
      </c>
      <c r="R47" s="66">
        <v>0</v>
      </c>
      <c r="S47" s="71">
        <v>0</v>
      </c>
      <c r="T47" s="66">
        <v>0</v>
      </c>
      <c r="U47" s="135">
        <v>0</v>
      </c>
      <c r="V47" s="151">
        <f>SUMIF($P$2:$U$2,"&lt;&gt;"&amp;" ",P47:U47)</f>
        <v>0</v>
      </c>
      <c r="W47" s="151">
        <f>SUM(P47:U47)</f>
        <v>0</v>
      </c>
      <c r="AL47" s="9"/>
      <c r="AO47" s="71">
        <f t="array" ref="AO47:AT77">$AM$8:$AM$38*P$79:U$79/$W$79</f>
        <v>0</v>
      </c>
      <c r="AP47" s="71">
        <v>0</v>
      </c>
      <c r="AQ47" s="66">
        <v>0</v>
      </c>
      <c r="AR47" s="71">
        <v>0</v>
      </c>
      <c r="AS47" s="66">
        <v>0</v>
      </c>
      <c r="AT47" s="135">
        <v>0</v>
      </c>
      <c r="AU47" s="151">
        <f>SUMIF($P$2:$U$2,"&lt;&gt;"&amp;" ",AO47:AT47)</f>
        <v>0</v>
      </c>
    </row>
    <row r="48" spans="2:57" customFormat="1" ht="14.1" hidden="1" customHeight="1" outlineLevel="1" x14ac:dyDescent="0.25">
      <c r="O48" s="1007" t="s">
        <v>1220</v>
      </c>
      <c r="P48" s="71">
        <v>0</v>
      </c>
      <c r="Q48" s="71">
        <v>0</v>
      </c>
      <c r="R48" s="66">
        <v>0</v>
      </c>
      <c r="S48" s="71">
        <v>0</v>
      </c>
      <c r="T48" s="66">
        <v>0</v>
      </c>
      <c r="U48" s="135">
        <v>0</v>
      </c>
      <c r="V48" s="151">
        <f t="shared" ref="V48:V59" si="26">SUMIF($P$2:$U$2,"&lt;&gt;"&amp;" ",P48:U48)</f>
        <v>0</v>
      </c>
      <c r="W48" s="151">
        <f t="shared" ref="W48:W59" si="27">SUM(P48:U48)</f>
        <v>0</v>
      </c>
      <c r="AL48" s="9"/>
      <c r="AO48" s="71">
        <v>0</v>
      </c>
      <c r="AP48" s="71">
        <v>0</v>
      </c>
      <c r="AQ48" s="66">
        <v>0</v>
      </c>
      <c r="AR48" s="71">
        <v>0</v>
      </c>
      <c r="AS48" s="66">
        <v>0</v>
      </c>
      <c r="AT48" s="135">
        <v>0</v>
      </c>
      <c r="AU48" s="151">
        <f t="shared" ref="AU48:AU59" si="28">SUMIF($P$2:$U$2,"&lt;&gt;"&amp;" ",AO48:AT48)</f>
        <v>0</v>
      </c>
    </row>
    <row r="49" spans="15:47" customFormat="1" ht="14.1" hidden="1" customHeight="1" outlineLevel="1" x14ac:dyDescent="0.25">
      <c r="O49" s="1007" t="s">
        <v>67</v>
      </c>
      <c r="P49" s="71">
        <v>9.8375451263537899E-3</v>
      </c>
      <c r="Q49" s="71">
        <v>0.12382671480144405</v>
      </c>
      <c r="R49" s="66">
        <v>0.11083032490974729</v>
      </c>
      <c r="S49" s="71">
        <v>2.9512635379061371E-2</v>
      </c>
      <c r="T49" s="66">
        <v>0.10370036101083033</v>
      </c>
      <c r="U49" s="135">
        <v>1.1732851985559567E-3</v>
      </c>
      <c r="V49" s="151">
        <f t="shared" si="26"/>
        <v>0.37888086642599283</v>
      </c>
      <c r="W49" s="151">
        <f t="shared" si="27"/>
        <v>0.37888086642599283</v>
      </c>
      <c r="AL49" s="9"/>
      <c r="AO49" s="71">
        <v>0</v>
      </c>
      <c r="AP49" s="71">
        <v>0</v>
      </c>
      <c r="AQ49" s="66">
        <v>0</v>
      </c>
      <c r="AR49" s="71">
        <v>0</v>
      </c>
      <c r="AS49" s="66">
        <v>0</v>
      </c>
      <c r="AT49" s="135">
        <v>0</v>
      </c>
      <c r="AU49" s="151">
        <f t="shared" si="28"/>
        <v>0</v>
      </c>
    </row>
    <row r="50" spans="15:47" customFormat="1" ht="14.1" hidden="1" customHeight="1" outlineLevel="1" x14ac:dyDescent="0.25">
      <c r="O50" s="1007" t="s">
        <v>1255</v>
      </c>
      <c r="P50" s="71">
        <v>0</v>
      </c>
      <c r="Q50" s="71">
        <v>0</v>
      </c>
      <c r="R50" s="66">
        <v>0</v>
      </c>
      <c r="S50" s="71">
        <v>0</v>
      </c>
      <c r="T50" s="66">
        <v>0</v>
      </c>
      <c r="U50" s="135">
        <v>0</v>
      </c>
      <c r="V50" s="151">
        <f t="shared" si="26"/>
        <v>0</v>
      </c>
      <c r="W50" s="151">
        <f t="shared" si="27"/>
        <v>0</v>
      </c>
      <c r="AL50" s="9"/>
      <c r="AO50" s="71">
        <v>0</v>
      </c>
      <c r="AP50" s="71">
        <v>0</v>
      </c>
      <c r="AQ50" s="66">
        <v>0</v>
      </c>
      <c r="AR50" s="71">
        <v>0</v>
      </c>
      <c r="AS50" s="66">
        <v>0</v>
      </c>
      <c r="AT50" s="135">
        <v>0</v>
      </c>
      <c r="AU50" s="151">
        <f t="shared" si="28"/>
        <v>0</v>
      </c>
    </row>
    <row r="51" spans="15:47" customFormat="1" ht="14.1" hidden="1" customHeight="1" outlineLevel="1" x14ac:dyDescent="0.25">
      <c r="O51" s="1007" t="s">
        <v>1270</v>
      </c>
      <c r="P51" s="71">
        <v>0</v>
      </c>
      <c r="Q51" s="71">
        <v>0</v>
      </c>
      <c r="R51" s="66">
        <v>0</v>
      </c>
      <c r="S51" s="71">
        <v>0</v>
      </c>
      <c r="T51" s="66">
        <v>0</v>
      </c>
      <c r="U51" s="135">
        <v>0</v>
      </c>
      <c r="V51" s="151">
        <f t="shared" si="26"/>
        <v>0</v>
      </c>
      <c r="W51" s="151">
        <f t="shared" si="27"/>
        <v>0</v>
      </c>
      <c r="AL51" s="9"/>
      <c r="AO51" s="71">
        <v>0</v>
      </c>
      <c r="AP51" s="71">
        <v>0</v>
      </c>
      <c r="AQ51" s="66">
        <v>0</v>
      </c>
      <c r="AR51" s="71">
        <v>0</v>
      </c>
      <c r="AS51" s="66">
        <v>0</v>
      </c>
      <c r="AT51" s="135">
        <v>0</v>
      </c>
      <c r="AU51" s="151">
        <f t="shared" si="28"/>
        <v>0</v>
      </c>
    </row>
    <row r="52" spans="15:47" customFormat="1" ht="14.1" hidden="1" customHeight="1" outlineLevel="1" x14ac:dyDescent="0.25">
      <c r="O52" s="1007" t="s">
        <v>71</v>
      </c>
      <c r="P52" s="71">
        <v>9.2066968429694959E-2</v>
      </c>
      <c r="Q52" s="71">
        <v>0.93079705082421593</v>
      </c>
      <c r="R52" s="66">
        <v>0.51465435352199473</v>
      </c>
      <c r="S52" s="71">
        <v>0.2301674210742374</v>
      </c>
      <c r="T52" s="66">
        <v>0.13625911327594853</v>
      </c>
      <c r="U52" s="135">
        <v>1.3810045264454245E-2</v>
      </c>
      <c r="V52" s="151">
        <f t="shared" si="26"/>
        <v>1.9177549523905459</v>
      </c>
      <c r="W52" s="151">
        <f t="shared" si="27"/>
        <v>1.9177549523905459</v>
      </c>
      <c r="AL52" s="9"/>
      <c r="AO52" s="71">
        <v>0</v>
      </c>
      <c r="AP52" s="71">
        <v>0</v>
      </c>
      <c r="AQ52" s="66">
        <v>0</v>
      </c>
      <c r="AR52" s="71">
        <v>0</v>
      </c>
      <c r="AS52" s="66">
        <v>0</v>
      </c>
      <c r="AT52" s="135">
        <v>0</v>
      </c>
      <c r="AU52" s="151">
        <f t="shared" si="28"/>
        <v>0</v>
      </c>
    </row>
    <row r="53" spans="15:47" customFormat="1" ht="14.1" hidden="1" customHeight="1" outlineLevel="1" x14ac:dyDescent="0.25">
      <c r="O53" s="1007" t="s">
        <v>1232</v>
      </c>
      <c r="P53" s="71">
        <v>0</v>
      </c>
      <c r="Q53" s="71">
        <v>0</v>
      </c>
      <c r="R53" s="66">
        <v>0</v>
      </c>
      <c r="S53" s="71">
        <v>0</v>
      </c>
      <c r="T53" s="66">
        <v>0</v>
      </c>
      <c r="U53" s="135">
        <v>0</v>
      </c>
      <c r="V53" s="151">
        <f t="shared" si="26"/>
        <v>0</v>
      </c>
      <c r="W53" s="151">
        <f t="shared" si="27"/>
        <v>0</v>
      </c>
      <c r="AL53" s="9"/>
      <c r="AO53" s="71">
        <v>0</v>
      </c>
      <c r="AP53" s="71">
        <v>0</v>
      </c>
      <c r="AQ53" s="66">
        <v>0</v>
      </c>
      <c r="AR53" s="71">
        <v>0</v>
      </c>
      <c r="AS53" s="66">
        <v>0</v>
      </c>
      <c r="AT53" s="135">
        <v>0</v>
      </c>
      <c r="AU53" s="151">
        <f t="shared" si="28"/>
        <v>0</v>
      </c>
    </row>
    <row r="54" spans="15:47" customFormat="1" ht="14.1" hidden="1" customHeight="1" outlineLevel="1" x14ac:dyDescent="0.25">
      <c r="O54" s="1007" t="s">
        <v>1262</v>
      </c>
      <c r="P54" s="71">
        <v>0</v>
      </c>
      <c r="Q54" s="71">
        <v>0</v>
      </c>
      <c r="R54" s="66">
        <v>0</v>
      </c>
      <c r="S54" s="71">
        <v>0</v>
      </c>
      <c r="T54" s="66">
        <v>0</v>
      </c>
      <c r="U54" s="135">
        <v>0</v>
      </c>
      <c r="V54" s="151">
        <f t="shared" si="26"/>
        <v>0</v>
      </c>
      <c r="W54" s="151">
        <f t="shared" si="27"/>
        <v>0</v>
      </c>
      <c r="AL54" s="9"/>
      <c r="AO54" s="71">
        <v>0</v>
      </c>
      <c r="AP54" s="71">
        <v>0</v>
      </c>
      <c r="AQ54" s="66">
        <v>0</v>
      </c>
      <c r="AR54" s="71">
        <v>0</v>
      </c>
      <c r="AS54" s="66">
        <v>0</v>
      </c>
      <c r="AT54" s="135">
        <v>0</v>
      </c>
      <c r="AU54" s="151">
        <f t="shared" si="28"/>
        <v>0</v>
      </c>
    </row>
    <row r="55" spans="15:47" customFormat="1" ht="14.1" hidden="1" customHeight="1" outlineLevel="1" x14ac:dyDescent="0.25">
      <c r="O55" s="1007" t="s">
        <v>73</v>
      </c>
      <c r="P55" s="71">
        <v>2.2563176895306861E-2</v>
      </c>
      <c r="Q55" s="71">
        <v>0.30090252707581228</v>
      </c>
      <c r="R55" s="66">
        <v>0.11407942238267149</v>
      </c>
      <c r="S55" s="71">
        <v>6.3537906137184116E-2</v>
      </c>
      <c r="T55" s="66">
        <v>3.6101083032490974E-2</v>
      </c>
      <c r="U55" s="135">
        <v>3.6101083032490972E-3</v>
      </c>
      <c r="V55" s="151">
        <f t="shared" si="26"/>
        <v>0.54079422382671483</v>
      </c>
      <c r="W55" s="151">
        <f t="shared" si="27"/>
        <v>0.54079422382671483</v>
      </c>
      <c r="AL55" s="9"/>
      <c r="AO55" s="71">
        <v>0</v>
      </c>
      <c r="AP55" s="71">
        <v>0</v>
      </c>
      <c r="AQ55" s="66">
        <v>0</v>
      </c>
      <c r="AR55" s="71">
        <v>0</v>
      </c>
      <c r="AS55" s="66">
        <v>0</v>
      </c>
      <c r="AT55" s="135">
        <v>0</v>
      </c>
      <c r="AU55" s="151">
        <f t="shared" si="28"/>
        <v>0</v>
      </c>
    </row>
    <row r="56" spans="15:47" customFormat="1" ht="14.1" hidden="1" customHeight="1" outlineLevel="1" x14ac:dyDescent="0.25">
      <c r="O56" s="1007" t="s">
        <v>1223</v>
      </c>
      <c r="P56" s="71">
        <v>0</v>
      </c>
      <c r="Q56" s="71">
        <v>0</v>
      </c>
      <c r="R56" s="66">
        <v>0</v>
      </c>
      <c r="S56" s="71">
        <v>0</v>
      </c>
      <c r="T56" s="66">
        <v>0</v>
      </c>
      <c r="U56" s="135">
        <v>0</v>
      </c>
      <c r="V56" s="151">
        <f t="shared" si="26"/>
        <v>0</v>
      </c>
      <c r="W56" s="151">
        <f t="shared" si="27"/>
        <v>0</v>
      </c>
      <c r="AL56" s="9"/>
      <c r="AO56" s="71">
        <v>0</v>
      </c>
      <c r="AP56" s="71">
        <v>0</v>
      </c>
      <c r="AQ56" s="66">
        <v>0</v>
      </c>
      <c r="AR56" s="71">
        <v>0</v>
      </c>
      <c r="AS56" s="66">
        <v>0</v>
      </c>
      <c r="AT56" s="135">
        <v>0</v>
      </c>
      <c r="AU56" s="151">
        <f t="shared" si="28"/>
        <v>0</v>
      </c>
    </row>
    <row r="57" spans="15:47" customFormat="1" ht="14.1" hidden="1" customHeight="1" outlineLevel="1" x14ac:dyDescent="0.25">
      <c r="O57" s="1007" t="s">
        <v>1266</v>
      </c>
      <c r="P57" s="71">
        <v>0</v>
      </c>
      <c r="Q57" s="71">
        <v>0</v>
      </c>
      <c r="R57" s="66">
        <v>0</v>
      </c>
      <c r="S57" s="71">
        <v>0</v>
      </c>
      <c r="T57" s="66">
        <v>0</v>
      </c>
      <c r="U57" s="135">
        <v>0</v>
      </c>
      <c r="V57" s="151">
        <f t="shared" si="26"/>
        <v>0</v>
      </c>
      <c r="W57" s="151">
        <f t="shared" si="27"/>
        <v>0</v>
      </c>
      <c r="AL57" s="9"/>
      <c r="AO57" s="71">
        <v>0</v>
      </c>
      <c r="AP57" s="71">
        <v>0</v>
      </c>
      <c r="AQ57" s="66">
        <v>0</v>
      </c>
      <c r="AR57" s="71">
        <v>0</v>
      </c>
      <c r="AS57" s="66">
        <v>0</v>
      </c>
      <c r="AT57" s="135">
        <v>0</v>
      </c>
      <c r="AU57" s="151">
        <f t="shared" si="28"/>
        <v>0</v>
      </c>
    </row>
    <row r="58" spans="15:47" customFormat="1" ht="14.1" hidden="1" customHeight="1" outlineLevel="1" x14ac:dyDescent="0.25">
      <c r="O58" s="1007" t="s">
        <v>77</v>
      </c>
      <c r="P58" s="71">
        <v>0</v>
      </c>
      <c r="Q58" s="71">
        <v>0</v>
      </c>
      <c r="R58" s="66">
        <v>0</v>
      </c>
      <c r="S58" s="71">
        <v>0</v>
      </c>
      <c r="T58" s="66">
        <v>0</v>
      </c>
      <c r="U58" s="135">
        <v>0</v>
      </c>
      <c r="V58" s="151">
        <f t="shared" si="26"/>
        <v>0</v>
      </c>
      <c r="W58" s="151">
        <f t="shared" si="27"/>
        <v>0</v>
      </c>
      <c r="AL58" s="9"/>
      <c r="AO58" s="71">
        <v>0</v>
      </c>
      <c r="AP58" s="71">
        <v>0</v>
      </c>
      <c r="AQ58" s="66">
        <v>0</v>
      </c>
      <c r="AR58" s="71">
        <v>0</v>
      </c>
      <c r="AS58" s="66">
        <v>0</v>
      </c>
      <c r="AT58" s="135">
        <v>0</v>
      </c>
      <c r="AU58" s="151">
        <f t="shared" si="28"/>
        <v>0</v>
      </c>
    </row>
    <row r="59" spans="15:47" customFormat="1" ht="14.1" hidden="1" customHeight="1" outlineLevel="1" x14ac:dyDescent="0.25">
      <c r="O59" s="1007" t="s">
        <v>80</v>
      </c>
      <c r="P59" s="71">
        <v>5.4650917940045708E-2</v>
      </c>
      <c r="Q59" s="71">
        <v>1.896962125340008</v>
      </c>
      <c r="R59" s="66">
        <v>0.53260675290693671</v>
      </c>
      <c r="S59" s="71">
        <v>0.16203517775206536</v>
      </c>
      <c r="T59" s="66">
        <v>0.60595403751068233</v>
      </c>
      <c r="U59" s="135">
        <v>0</v>
      </c>
      <c r="V59" s="151">
        <f t="shared" si="26"/>
        <v>3.2522090114497382</v>
      </c>
      <c r="W59" s="151">
        <f t="shared" si="27"/>
        <v>3.2522090114497382</v>
      </c>
      <c r="AL59" s="9"/>
      <c r="AO59" s="71">
        <v>0</v>
      </c>
      <c r="AP59" s="71">
        <v>0</v>
      </c>
      <c r="AQ59" s="66">
        <v>0</v>
      </c>
      <c r="AR59" s="71">
        <v>0</v>
      </c>
      <c r="AS59" s="66">
        <v>0</v>
      </c>
      <c r="AT59" s="135">
        <v>0</v>
      </c>
      <c r="AU59" s="151">
        <f t="shared" si="28"/>
        <v>0</v>
      </c>
    </row>
    <row r="60" spans="15:47" customFormat="1" ht="14.1" hidden="1" customHeight="1" outlineLevel="1" x14ac:dyDescent="0.25">
      <c r="O60" s="1007" t="s">
        <v>1274</v>
      </c>
      <c r="P60" s="71">
        <v>0</v>
      </c>
      <c r="Q60" s="71">
        <v>0</v>
      </c>
      <c r="R60" s="66">
        <v>0</v>
      </c>
      <c r="S60" s="71">
        <v>0</v>
      </c>
      <c r="T60" s="66">
        <v>0</v>
      </c>
      <c r="U60" s="135">
        <v>0</v>
      </c>
      <c r="V60" s="151">
        <f t="shared" ref="V60:V77" si="29">SUMIF($P$2:$U$2,"&lt;&gt;"&amp;" ",P60:U60)</f>
        <v>0</v>
      </c>
      <c r="W60" s="151">
        <f t="shared" ref="W60:W77" si="30">SUM(P60:U60)</f>
        <v>0</v>
      </c>
      <c r="AL60" s="9"/>
      <c r="AO60" s="71">
        <v>0</v>
      </c>
      <c r="AP60" s="71">
        <v>0</v>
      </c>
      <c r="AQ60" s="66">
        <v>0</v>
      </c>
      <c r="AR60" s="71">
        <v>0</v>
      </c>
      <c r="AS60" s="66">
        <v>0</v>
      </c>
      <c r="AT60" s="135">
        <v>0</v>
      </c>
      <c r="AU60" s="151">
        <f t="shared" ref="AU60:AU77" si="31">SUMIF($P$2:$U$2,"&lt;&gt;"&amp;" ",AO60:AT60)</f>
        <v>0</v>
      </c>
    </row>
    <row r="61" spans="15:47" customFormat="1" ht="14.1" hidden="1" customHeight="1" outlineLevel="1" x14ac:dyDescent="0.25">
      <c r="O61" s="1007" t="s">
        <v>82</v>
      </c>
      <c r="P61" s="71">
        <v>0.98612815884476557</v>
      </c>
      <c r="Q61" s="71">
        <v>7.2451895306859226</v>
      </c>
      <c r="R61" s="66">
        <v>14.889720216606502</v>
      </c>
      <c r="S61" s="71">
        <v>2.4856949458483757</v>
      </c>
      <c r="T61" s="66">
        <v>10.790361010830328</v>
      </c>
      <c r="U61" s="135">
        <v>0.3341425992779784</v>
      </c>
      <c r="V61" s="151">
        <f t="shared" si="29"/>
        <v>36.731236462093875</v>
      </c>
      <c r="W61" s="151">
        <f t="shared" si="30"/>
        <v>36.731236462093875</v>
      </c>
      <c r="AL61" s="9"/>
      <c r="AO61" s="71">
        <v>0</v>
      </c>
      <c r="AP61" s="71">
        <v>0</v>
      </c>
      <c r="AQ61" s="66">
        <v>0</v>
      </c>
      <c r="AR61" s="71">
        <v>0</v>
      </c>
      <c r="AS61" s="66">
        <v>0</v>
      </c>
      <c r="AT61" s="135">
        <v>0</v>
      </c>
      <c r="AU61" s="151">
        <f t="shared" si="31"/>
        <v>0</v>
      </c>
    </row>
    <row r="62" spans="15:47" customFormat="1" ht="14.1" hidden="1" customHeight="1" outlineLevel="1" x14ac:dyDescent="0.25">
      <c r="O62" s="1007" t="s">
        <v>84</v>
      </c>
      <c r="P62" s="71">
        <v>0</v>
      </c>
      <c r="Q62" s="71">
        <v>0</v>
      </c>
      <c r="R62" s="66">
        <v>0</v>
      </c>
      <c r="S62" s="71">
        <v>0</v>
      </c>
      <c r="T62" s="66">
        <v>0</v>
      </c>
      <c r="U62" s="135">
        <v>0</v>
      </c>
      <c r="V62" s="151">
        <f t="shared" si="29"/>
        <v>0</v>
      </c>
      <c r="W62" s="151">
        <f t="shared" si="30"/>
        <v>0</v>
      </c>
      <c r="AO62" s="71">
        <v>0</v>
      </c>
      <c r="AP62" s="71">
        <v>0</v>
      </c>
      <c r="AQ62" s="66">
        <v>0</v>
      </c>
      <c r="AR62" s="71">
        <v>0</v>
      </c>
      <c r="AS62" s="66">
        <v>0</v>
      </c>
      <c r="AT62" s="135">
        <v>0</v>
      </c>
      <c r="AU62" s="151">
        <f t="shared" si="31"/>
        <v>0</v>
      </c>
    </row>
    <row r="63" spans="15:47" customFormat="1" ht="14.1" hidden="1" customHeight="1" outlineLevel="1" x14ac:dyDescent="0.25">
      <c r="O63" s="1007" t="s">
        <v>1243</v>
      </c>
      <c r="P63" s="71">
        <v>0</v>
      </c>
      <c r="Q63" s="71">
        <v>0</v>
      </c>
      <c r="R63" s="66">
        <v>0</v>
      </c>
      <c r="S63" s="71">
        <v>0</v>
      </c>
      <c r="T63" s="66">
        <v>0</v>
      </c>
      <c r="U63" s="135">
        <v>0</v>
      </c>
      <c r="V63" s="151">
        <f t="shared" si="29"/>
        <v>0</v>
      </c>
      <c r="W63" s="151">
        <f t="shared" si="30"/>
        <v>0</v>
      </c>
      <c r="AO63" s="71">
        <v>0</v>
      </c>
      <c r="AP63" s="71">
        <v>0</v>
      </c>
      <c r="AQ63" s="66">
        <v>0</v>
      </c>
      <c r="AR63" s="71">
        <v>0</v>
      </c>
      <c r="AS63" s="66">
        <v>0</v>
      </c>
      <c r="AT63" s="135">
        <v>0</v>
      </c>
      <c r="AU63" s="151">
        <f t="shared" si="31"/>
        <v>0</v>
      </c>
    </row>
    <row r="64" spans="15:47" customFormat="1" ht="14.1" hidden="1" customHeight="1" outlineLevel="1" x14ac:dyDescent="0.25">
      <c r="O64" s="1007" t="s">
        <v>85</v>
      </c>
      <c r="P64" s="71">
        <v>0</v>
      </c>
      <c r="Q64" s="71">
        <v>0</v>
      </c>
      <c r="R64" s="66">
        <v>0</v>
      </c>
      <c r="S64" s="71">
        <v>0</v>
      </c>
      <c r="T64" s="66">
        <v>0</v>
      </c>
      <c r="U64" s="135">
        <v>0</v>
      </c>
      <c r="V64" s="151">
        <f t="shared" si="29"/>
        <v>0</v>
      </c>
      <c r="W64" s="151">
        <f t="shared" si="30"/>
        <v>0</v>
      </c>
      <c r="AO64" s="71">
        <v>0</v>
      </c>
      <c r="AP64" s="71">
        <v>0</v>
      </c>
      <c r="AQ64" s="66">
        <v>0</v>
      </c>
      <c r="AR64" s="71">
        <v>0</v>
      </c>
      <c r="AS64" s="66">
        <v>0</v>
      </c>
      <c r="AT64" s="135">
        <v>0</v>
      </c>
      <c r="AU64" s="151">
        <f t="shared" si="31"/>
        <v>0</v>
      </c>
    </row>
    <row r="65" spans="15:47" customFormat="1" ht="14.1" hidden="1" customHeight="1" outlineLevel="1" x14ac:dyDescent="0.25">
      <c r="O65" s="1007" t="s">
        <v>88</v>
      </c>
      <c r="P65" s="71">
        <v>0</v>
      </c>
      <c r="Q65" s="71">
        <v>0</v>
      </c>
      <c r="R65" s="66">
        <v>0</v>
      </c>
      <c r="S65" s="71">
        <v>0</v>
      </c>
      <c r="T65" s="66">
        <v>0</v>
      </c>
      <c r="U65" s="135">
        <v>0</v>
      </c>
      <c r="V65" s="151">
        <f t="shared" si="29"/>
        <v>0</v>
      </c>
      <c r="W65" s="151">
        <f t="shared" si="30"/>
        <v>0</v>
      </c>
      <c r="AO65" s="71">
        <v>0</v>
      </c>
      <c r="AP65" s="71">
        <v>0</v>
      </c>
      <c r="AQ65" s="66">
        <v>0</v>
      </c>
      <c r="AR65" s="71">
        <v>0</v>
      </c>
      <c r="AS65" s="66">
        <v>0</v>
      </c>
      <c r="AT65" s="135">
        <v>0</v>
      </c>
      <c r="AU65" s="151">
        <f t="shared" si="31"/>
        <v>0</v>
      </c>
    </row>
    <row r="66" spans="15:47" customFormat="1" ht="14.1" hidden="1" customHeight="1" outlineLevel="1" x14ac:dyDescent="0.25">
      <c r="O66" s="1007" t="s">
        <v>1247</v>
      </c>
      <c r="P66" s="71">
        <v>0</v>
      </c>
      <c r="Q66" s="71">
        <v>0</v>
      </c>
      <c r="R66" s="66">
        <v>0</v>
      </c>
      <c r="S66" s="71">
        <v>0</v>
      </c>
      <c r="T66" s="66">
        <v>0</v>
      </c>
      <c r="U66" s="135">
        <v>0</v>
      </c>
      <c r="V66" s="151">
        <f t="shared" si="29"/>
        <v>0</v>
      </c>
      <c r="W66" s="151">
        <f t="shared" si="30"/>
        <v>0</v>
      </c>
      <c r="AO66" s="71">
        <v>0</v>
      </c>
      <c r="AP66" s="71">
        <v>0</v>
      </c>
      <c r="AQ66" s="66">
        <v>0</v>
      </c>
      <c r="AR66" s="71">
        <v>0</v>
      </c>
      <c r="AS66" s="66">
        <v>0</v>
      </c>
      <c r="AT66" s="135">
        <v>0</v>
      </c>
      <c r="AU66" s="151">
        <f t="shared" si="31"/>
        <v>0</v>
      </c>
    </row>
    <row r="67" spans="15:47" customFormat="1" ht="14.1" hidden="1" customHeight="1" outlineLevel="1" x14ac:dyDescent="0.25">
      <c r="O67" s="1007" t="s">
        <v>1230</v>
      </c>
      <c r="P67" s="71">
        <v>0</v>
      </c>
      <c r="Q67" s="71">
        <v>0</v>
      </c>
      <c r="R67" s="66">
        <v>0</v>
      </c>
      <c r="S67" s="71">
        <v>0</v>
      </c>
      <c r="T67" s="66">
        <v>0</v>
      </c>
      <c r="U67" s="135">
        <v>0</v>
      </c>
      <c r="V67" s="151">
        <f t="shared" si="29"/>
        <v>0</v>
      </c>
      <c r="W67" s="151">
        <f t="shared" si="30"/>
        <v>0</v>
      </c>
      <c r="AO67" s="71">
        <v>0</v>
      </c>
      <c r="AP67" s="71">
        <v>0</v>
      </c>
      <c r="AQ67" s="66">
        <v>0</v>
      </c>
      <c r="AR67" s="71">
        <v>0</v>
      </c>
      <c r="AS67" s="66">
        <v>0</v>
      </c>
      <c r="AT67" s="135">
        <v>0</v>
      </c>
      <c r="AU67" s="151">
        <f t="shared" si="31"/>
        <v>0</v>
      </c>
    </row>
    <row r="68" spans="15:47" customFormat="1" ht="14.1" hidden="1" customHeight="1" outlineLevel="1" x14ac:dyDescent="0.25">
      <c r="O68" s="1007" t="s">
        <v>1226</v>
      </c>
      <c r="P68" s="71">
        <v>0</v>
      </c>
      <c r="Q68" s="71">
        <v>0</v>
      </c>
      <c r="R68" s="66">
        <v>0</v>
      </c>
      <c r="S68" s="71">
        <v>0</v>
      </c>
      <c r="T68" s="66">
        <v>0</v>
      </c>
      <c r="U68" s="135">
        <v>0</v>
      </c>
      <c r="V68" s="151">
        <f t="shared" si="29"/>
        <v>0</v>
      </c>
      <c r="W68" s="151">
        <f t="shared" si="30"/>
        <v>0</v>
      </c>
      <c r="AO68" s="71">
        <v>0</v>
      </c>
      <c r="AP68" s="71">
        <v>0</v>
      </c>
      <c r="AQ68" s="66">
        <v>0</v>
      </c>
      <c r="AR68" s="71">
        <v>0</v>
      </c>
      <c r="AS68" s="66">
        <v>0</v>
      </c>
      <c r="AT68" s="135">
        <v>0</v>
      </c>
      <c r="AU68" s="151">
        <f t="shared" si="31"/>
        <v>0</v>
      </c>
    </row>
    <row r="69" spans="15:47" customFormat="1" ht="14.1" hidden="1" customHeight="1" outlineLevel="1" x14ac:dyDescent="0.25">
      <c r="O69" s="1007" t="s">
        <v>550</v>
      </c>
      <c r="P69" s="71">
        <v>0</v>
      </c>
      <c r="Q69" s="71">
        <v>0</v>
      </c>
      <c r="R69" s="66">
        <v>0</v>
      </c>
      <c r="S69" s="71">
        <v>0</v>
      </c>
      <c r="T69" s="66">
        <v>0</v>
      </c>
      <c r="U69" s="135">
        <v>0</v>
      </c>
      <c r="V69" s="151">
        <f t="shared" si="29"/>
        <v>0</v>
      </c>
      <c r="W69" s="151">
        <f t="shared" si="30"/>
        <v>0</v>
      </c>
      <c r="AO69" s="71">
        <v>0</v>
      </c>
      <c r="AP69" s="71">
        <v>0</v>
      </c>
      <c r="AQ69" s="66">
        <v>0</v>
      </c>
      <c r="AR69" s="71">
        <v>0</v>
      </c>
      <c r="AS69" s="66">
        <v>0</v>
      </c>
      <c r="AT69" s="135">
        <v>0</v>
      </c>
      <c r="AU69" s="151">
        <f t="shared" si="31"/>
        <v>0</v>
      </c>
    </row>
    <row r="70" spans="15:47" customFormat="1" ht="14.1" hidden="1" customHeight="1" outlineLevel="1" x14ac:dyDescent="0.25">
      <c r="O70" s="1007" t="s">
        <v>97</v>
      </c>
      <c r="P70" s="71">
        <v>0</v>
      </c>
      <c r="Q70" s="71">
        <v>0</v>
      </c>
      <c r="R70" s="66">
        <v>0</v>
      </c>
      <c r="S70" s="71">
        <v>0</v>
      </c>
      <c r="T70" s="66">
        <v>0</v>
      </c>
      <c r="U70" s="135">
        <v>0</v>
      </c>
      <c r="V70" s="151">
        <f t="shared" si="29"/>
        <v>0</v>
      </c>
      <c r="W70" s="151">
        <f t="shared" si="30"/>
        <v>0</v>
      </c>
      <c r="AO70" s="71">
        <v>0</v>
      </c>
      <c r="AP70" s="71">
        <v>0</v>
      </c>
      <c r="AQ70" s="66">
        <v>0</v>
      </c>
      <c r="AR70" s="71">
        <v>0</v>
      </c>
      <c r="AS70" s="66">
        <v>0</v>
      </c>
      <c r="AT70" s="135">
        <v>0</v>
      </c>
      <c r="AU70" s="151">
        <f t="shared" si="31"/>
        <v>0</v>
      </c>
    </row>
    <row r="71" spans="15:47" customFormat="1" ht="14.1" hidden="1" customHeight="1" outlineLevel="1" x14ac:dyDescent="0.25">
      <c r="O71" s="1007" t="s">
        <v>1236</v>
      </c>
      <c r="P71" s="71">
        <v>0</v>
      </c>
      <c r="Q71" s="71">
        <v>0</v>
      </c>
      <c r="R71" s="66">
        <v>0</v>
      </c>
      <c r="S71" s="71">
        <v>0</v>
      </c>
      <c r="T71" s="66">
        <v>0</v>
      </c>
      <c r="U71" s="135">
        <v>0</v>
      </c>
      <c r="V71" s="151">
        <f t="shared" si="29"/>
        <v>0</v>
      </c>
      <c r="W71" s="151">
        <f t="shared" si="30"/>
        <v>0</v>
      </c>
      <c r="AO71" s="71">
        <v>0</v>
      </c>
      <c r="AP71" s="71">
        <v>0</v>
      </c>
      <c r="AQ71" s="66">
        <v>0</v>
      </c>
      <c r="AR71" s="71">
        <v>0</v>
      </c>
      <c r="AS71" s="66">
        <v>0</v>
      </c>
      <c r="AT71" s="135">
        <v>0</v>
      </c>
      <c r="AU71" s="151">
        <f t="shared" si="31"/>
        <v>0</v>
      </c>
    </row>
    <row r="72" spans="15:47" customFormat="1" ht="14.1" hidden="1" customHeight="1" outlineLevel="1" x14ac:dyDescent="0.25">
      <c r="O72" s="1007" t="s">
        <v>1239</v>
      </c>
      <c r="P72" s="71">
        <v>0</v>
      </c>
      <c r="Q72" s="71">
        <v>0</v>
      </c>
      <c r="R72" s="66">
        <v>0</v>
      </c>
      <c r="S72" s="71">
        <v>0</v>
      </c>
      <c r="T72" s="66">
        <v>0</v>
      </c>
      <c r="U72" s="135">
        <v>0</v>
      </c>
      <c r="V72" s="151">
        <f t="shared" si="29"/>
        <v>0</v>
      </c>
      <c r="W72" s="151">
        <f t="shared" si="30"/>
        <v>0</v>
      </c>
      <c r="AO72" s="71">
        <v>0</v>
      </c>
      <c r="AP72" s="71">
        <v>0</v>
      </c>
      <c r="AQ72" s="66">
        <v>0</v>
      </c>
      <c r="AR72" s="71">
        <v>0</v>
      </c>
      <c r="AS72" s="66">
        <v>0</v>
      </c>
      <c r="AT72" s="135">
        <v>0</v>
      </c>
      <c r="AU72" s="151">
        <f t="shared" si="31"/>
        <v>0</v>
      </c>
    </row>
    <row r="73" spans="15:47" customFormat="1" ht="14.1" hidden="1" customHeight="1" outlineLevel="1" x14ac:dyDescent="0.25">
      <c r="O73" s="1007" t="s">
        <v>547</v>
      </c>
      <c r="P73" s="71">
        <v>1.6243862978323104E-2</v>
      </c>
      <c r="Q73" s="71">
        <v>0.48027688205908647</v>
      </c>
      <c r="R73" s="66">
        <v>0.20232633776333558</v>
      </c>
      <c r="S73" s="71">
        <v>6.0643755119072919E-2</v>
      </c>
      <c r="T73" s="66">
        <v>0.23282870268929784</v>
      </c>
      <c r="U73" s="135">
        <v>6.6780325577550544E-3</v>
      </c>
      <c r="V73" s="151">
        <f t="shared" si="29"/>
        <v>0.99899757316687088</v>
      </c>
      <c r="W73" s="151">
        <f t="shared" si="30"/>
        <v>0.99899757316687088</v>
      </c>
      <c r="AO73" s="71">
        <v>0</v>
      </c>
      <c r="AP73" s="71">
        <v>0</v>
      </c>
      <c r="AQ73" s="66">
        <v>0</v>
      </c>
      <c r="AR73" s="71">
        <v>0</v>
      </c>
      <c r="AS73" s="66">
        <v>0</v>
      </c>
      <c r="AT73" s="135">
        <v>0</v>
      </c>
      <c r="AU73" s="151">
        <f t="shared" si="31"/>
        <v>0</v>
      </c>
    </row>
    <row r="74" spans="15:47" customFormat="1" ht="14.1" hidden="1" customHeight="1" outlineLevel="1" x14ac:dyDescent="0.25">
      <c r="O74" s="1007" t="s">
        <v>1251</v>
      </c>
      <c r="P74" s="71">
        <v>0</v>
      </c>
      <c r="Q74" s="71">
        <v>0</v>
      </c>
      <c r="R74" s="66">
        <v>0</v>
      </c>
      <c r="S74" s="71">
        <v>0</v>
      </c>
      <c r="T74" s="66">
        <v>0</v>
      </c>
      <c r="U74" s="135">
        <v>0</v>
      </c>
      <c r="V74" s="151">
        <f t="shared" si="29"/>
        <v>0</v>
      </c>
      <c r="W74" s="151">
        <f t="shared" si="30"/>
        <v>0</v>
      </c>
      <c r="AO74" s="71">
        <v>0</v>
      </c>
      <c r="AP74" s="71">
        <v>0</v>
      </c>
      <c r="AQ74" s="66">
        <v>0</v>
      </c>
      <c r="AR74" s="71">
        <v>0</v>
      </c>
      <c r="AS74" s="66">
        <v>0</v>
      </c>
      <c r="AT74" s="135">
        <v>0</v>
      </c>
      <c r="AU74" s="151">
        <f t="shared" si="31"/>
        <v>0</v>
      </c>
    </row>
    <row r="75" spans="15:47" customFormat="1" ht="14.1" hidden="1" customHeight="1" outlineLevel="1" x14ac:dyDescent="0.25">
      <c r="O75" s="1007" t="s">
        <v>1258</v>
      </c>
      <c r="P75" s="71">
        <v>0</v>
      </c>
      <c r="Q75" s="71">
        <v>0</v>
      </c>
      <c r="R75" s="66">
        <v>0</v>
      </c>
      <c r="S75" s="71">
        <v>0</v>
      </c>
      <c r="T75" s="66">
        <v>0</v>
      </c>
      <c r="U75" s="135">
        <v>0</v>
      </c>
      <c r="V75" s="151">
        <f t="shared" si="29"/>
        <v>0</v>
      </c>
      <c r="W75" s="151">
        <f t="shared" si="30"/>
        <v>0</v>
      </c>
      <c r="AO75" s="71">
        <v>0</v>
      </c>
      <c r="AP75" s="71">
        <v>0</v>
      </c>
      <c r="AQ75" s="66">
        <v>0</v>
      </c>
      <c r="AR75" s="71">
        <v>0</v>
      </c>
      <c r="AS75" s="66">
        <v>0</v>
      </c>
      <c r="AT75" s="135">
        <v>0</v>
      </c>
      <c r="AU75" s="151">
        <f t="shared" si="31"/>
        <v>0</v>
      </c>
    </row>
    <row r="76" spans="15:47" customFormat="1" ht="14.1" hidden="1" customHeight="1" outlineLevel="1" x14ac:dyDescent="0.25">
      <c r="O76" s="1007" t="s">
        <v>1276</v>
      </c>
      <c r="P76" s="71">
        <v>0</v>
      </c>
      <c r="Q76" s="71">
        <v>0</v>
      </c>
      <c r="R76" s="66">
        <v>0</v>
      </c>
      <c r="S76" s="71">
        <v>0</v>
      </c>
      <c r="T76" s="66">
        <v>0</v>
      </c>
      <c r="U76" s="135">
        <v>0</v>
      </c>
      <c r="V76" s="151">
        <f t="shared" si="29"/>
        <v>0</v>
      </c>
      <c r="W76" s="151">
        <f t="shared" si="30"/>
        <v>0</v>
      </c>
      <c r="AO76" s="71">
        <v>0</v>
      </c>
      <c r="AP76" s="71">
        <v>0</v>
      </c>
      <c r="AQ76" s="66">
        <v>0</v>
      </c>
      <c r="AR76" s="71">
        <v>0</v>
      </c>
      <c r="AS76" s="66">
        <v>0</v>
      </c>
      <c r="AT76" s="135">
        <v>0</v>
      </c>
      <c r="AU76" s="151">
        <f t="shared" si="31"/>
        <v>0</v>
      </c>
    </row>
    <row r="77" spans="15:47" customFormat="1" ht="14.1" hidden="1" customHeight="1" outlineLevel="1" x14ac:dyDescent="0.25">
      <c r="O77" s="1007" t="s">
        <v>1280</v>
      </c>
      <c r="P77" s="71">
        <v>0</v>
      </c>
      <c r="Q77" s="71">
        <v>0</v>
      </c>
      <c r="R77" s="66">
        <v>0</v>
      </c>
      <c r="S77" s="71">
        <v>0</v>
      </c>
      <c r="T77" s="66">
        <v>0</v>
      </c>
      <c r="U77" s="135">
        <v>0</v>
      </c>
      <c r="V77" s="151">
        <f t="shared" si="29"/>
        <v>0</v>
      </c>
      <c r="W77" s="151">
        <f t="shared" si="30"/>
        <v>0</v>
      </c>
      <c r="AO77" s="71">
        <v>0</v>
      </c>
      <c r="AP77" s="71">
        <v>0</v>
      </c>
      <c r="AQ77" s="66">
        <v>0</v>
      </c>
      <c r="AR77" s="71">
        <v>0</v>
      </c>
      <c r="AS77" s="66">
        <v>0</v>
      </c>
      <c r="AT77" s="135">
        <v>0</v>
      </c>
      <c r="AU77" s="151">
        <f t="shared" si="31"/>
        <v>0</v>
      </c>
    </row>
    <row r="78" spans="15:47" customFormat="1" ht="13.5" hidden="1" customHeight="1" outlineLevel="1" x14ac:dyDescent="0.25"/>
    <row r="79" spans="15:47" customFormat="1" ht="14.1" hidden="1" customHeight="1" outlineLevel="1" thickBot="1" x14ac:dyDescent="0.3">
      <c r="P79" s="1025">
        <f>SUM(P47:P78)</f>
        <v>1.1814906302144899</v>
      </c>
      <c r="Q79" s="1025">
        <f t="shared" ref="Q79:W79" si="32">SUM(Q47:Q78)</f>
        <v>10.977954830786491</v>
      </c>
      <c r="R79" s="1025">
        <f t="shared" si="32"/>
        <v>16.364217408091186</v>
      </c>
      <c r="S79" s="1025">
        <f t="shared" si="32"/>
        <v>3.0315918413099969</v>
      </c>
      <c r="T79" s="1025">
        <f t="shared" si="32"/>
        <v>11.905204308349578</v>
      </c>
      <c r="U79" s="1025">
        <f t="shared" si="32"/>
        <v>0.35941407060199276</v>
      </c>
      <c r="V79" s="1025">
        <f t="shared" si="32"/>
        <v>43.819873089353734</v>
      </c>
      <c r="W79" s="1025">
        <f t="shared" si="32"/>
        <v>43.819873089353734</v>
      </c>
    </row>
    <row r="80" spans="15:47" customFormat="1" ht="14.1" hidden="1" customHeight="1" outlineLevel="1" thickTop="1" x14ac:dyDescent="0.25"/>
    <row r="81" ht="14.1" customHeight="1" collapsed="1" thickTop="1" x14ac:dyDescent="0.25"/>
  </sheetData>
  <autoFilter ref="B7:M38" xr:uid="{00000000-0009-0000-0000-000007000000}"/>
  <sortState xmlns:xlrd2="http://schemas.microsoft.com/office/spreadsheetml/2017/richdata2" ref="B2:K20">
    <sortCondition ref="B2"/>
  </sortState>
  <mergeCells count="11">
    <mergeCell ref="AW2:BD5"/>
    <mergeCell ref="X2:Z5"/>
    <mergeCell ref="E3:F3"/>
    <mergeCell ref="E4:F4"/>
    <mergeCell ref="AL2:AM5"/>
    <mergeCell ref="AO44:AU44"/>
    <mergeCell ref="P44:W44"/>
    <mergeCell ref="E1:F1"/>
    <mergeCell ref="E2:F2"/>
    <mergeCell ref="AC2:AJ5"/>
    <mergeCell ref="AO2:AU5"/>
  </mergeCells>
  <conditionalFormatting sqref="G4:I4">
    <cfRule type="cellIs" dxfId="6" priority="4" operator="notEqual">
      <formula>0</formula>
    </cfRule>
  </conditionalFormatting>
  <conditionalFormatting sqref="K4:M4">
    <cfRule type="cellIs" dxfId="5" priority="3" operator="not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Allocate_leag">
                <anchor moveWithCells="1" sizeWithCells="1">
                  <from>
                    <xdr:col>1</xdr:col>
                    <xdr:colOff>9525</xdr:colOff>
                    <xdr:row>0</xdr:row>
                    <xdr:rowOff>257175</xdr:rowOff>
                  </from>
                  <to>
                    <xdr:col>2</xdr:col>
                    <xdr:colOff>542925</xdr:colOff>
                    <xdr:row>0</xdr:row>
                    <xdr:rowOff>514350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NewDeboningMiddles"/>
  <dimension ref="A1:CH133"/>
  <sheetViews>
    <sheetView showGridLines="0" zoomScale="80" zoomScaleNormal="80" zoomScaleSheetLayoutView="80" workbookViewId="0">
      <pane xSplit="5" ySplit="7" topLeftCell="AU8" activePane="bottomRight" state="frozen"/>
      <selection activeCell="O1" sqref="O1:O1048576"/>
      <selection pane="topRight" activeCell="O1" sqref="O1:O1048576"/>
      <selection pane="bottomLeft" activeCell="O1" sqref="O1:O1048576"/>
      <selection pane="bottomRight" activeCell="BC8" sqref="BC8"/>
    </sheetView>
  </sheetViews>
  <sheetFormatPr defaultRowHeight="14.1" customHeight="1" outlineLevelRow="1" outlineLevelCol="1" x14ac:dyDescent="0.25"/>
  <cols>
    <col min="1" max="1" width="4.28515625" customWidth="1"/>
    <col min="2" max="2" width="13.7109375" bestFit="1" customWidth="1"/>
    <col min="3" max="3" width="35.5703125" customWidth="1"/>
    <col min="4" max="4" width="13.42578125" bestFit="1" customWidth="1"/>
    <col min="5" max="5" width="16.28515625" customWidth="1"/>
    <col min="6" max="6" width="10.7109375" hidden="1" customWidth="1"/>
    <col min="7" max="8" width="9.7109375" customWidth="1"/>
    <col min="9" max="9" width="12.7109375" bestFit="1" customWidth="1"/>
    <col min="10" max="10" width="14.42578125" bestFit="1" customWidth="1"/>
    <col min="11" max="11" width="13.140625" bestFit="1" customWidth="1"/>
    <col min="12" max="12" width="13.7109375" customWidth="1"/>
    <col min="13" max="13" width="13.42578125" customWidth="1"/>
    <col min="14" max="14" width="9.7109375" customWidth="1"/>
    <col min="15" max="15" width="17" customWidth="1"/>
    <col min="16" max="22" width="9.7109375" customWidth="1"/>
    <col min="23" max="25" width="13" bestFit="1" customWidth="1"/>
    <col min="26" max="30" width="9.7109375" customWidth="1"/>
    <col min="31" max="31" width="13" bestFit="1" customWidth="1"/>
    <col min="32" max="33" width="9.7109375" customWidth="1"/>
    <col min="34" max="34" width="9.7109375" customWidth="1" collapsed="1"/>
    <col min="35" max="53" width="9.7109375" customWidth="1"/>
    <col min="54" max="54" width="9.7109375" customWidth="1" outlineLevel="1"/>
    <col min="55" max="55" width="12.42578125" customWidth="1" outlineLevel="1"/>
    <col min="56" max="56" width="16.140625" customWidth="1" outlineLevel="1"/>
    <col min="57" max="67" width="9.7109375" customWidth="1" outlineLevel="1"/>
    <col min="68" max="69" width="9.7109375" customWidth="1"/>
    <col min="70" max="70" width="0.28515625" customWidth="1"/>
    <col min="71" max="76" width="9.7109375" customWidth="1"/>
    <col min="77" max="77" width="9.7109375" customWidth="1" collapsed="1"/>
    <col min="78" max="86" width="9.7109375" customWidth="1"/>
  </cols>
  <sheetData>
    <row r="1" spans="1:86" ht="51.75" thickBot="1" x14ac:dyDescent="0.3">
      <c r="A1" s="939"/>
      <c r="B1" s="940"/>
      <c r="C1" s="938"/>
      <c r="D1" s="951" t="s">
        <v>8</v>
      </c>
      <c r="E1" s="1384" t="s">
        <v>1198</v>
      </c>
      <c r="F1" s="1384"/>
      <c r="G1" s="941" t="s">
        <v>11</v>
      </c>
      <c r="H1" s="942" t="s">
        <v>513</v>
      </c>
      <c r="I1" s="943" t="s">
        <v>169</v>
      </c>
      <c r="J1" s="938"/>
      <c r="K1" s="944" t="s">
        <v>593</v>
      </c>
      <c r="L1" s="944" t="s">
        <v>596</v>
      </c>
      <c r="M1" s="944" t="s">
        <v>594</v>
      </c>
      <c r="N1" s="944"/>
      <c r="O1" s="938"/>
      <c r="P1" s="938" t="s">
        <v>161</v>
      </c>
      <c r="Q1" s="938" t="s">
        <v>149</v>
      </c>
      <c r="R1" s="938" t="s">
        <v>147</v>
      </c>
      <c r="S1" s="938" t="s">
        <v>208</v>
      </c>
      <c r="T1" s="938" t="s">
        <v>151</v>
      </c>
      <c r="U1" s="938" t="s">
        <v>144</v>
      </c>
      <c r="V1" s="938"/>
      <c r="W1" s="938" t="s">
        <v>4</v>
      </c>
      <c r="X1" s="938" t="s">
        <v>6</v>
      </c>
      <c r="Y1" s="938" t="s">
        <v>142</v>
      </c>
      <c r="Z1" s="939" t="s">
        <v>3</v>
      </c>
      <c r="AA1" s="939" t="s">
        <v>5</v>
      </c>
      <c r="AB1" s="939" t="s">
        <v>143</v>
      </c>
      <c r="AC1" s="939" t="s">
        <v>260</v>
      </c>
      <c r="AD1" s="939" t="s">
        <v>56</v>
      </c>
      <c r="AE1" s="939"/>
      <c r="AF1" s="939"/>
      <c r="AG1" s="939"/>
      <c r="AH1" s="939"/>
      <c r="AI1" s="939"/>
      <c r="AJ1" s="939"/>
      <c r="AK1" s="939"/>
      <c r="AL1" s="939"/>
      <c r="AM1" s="939"/>
      <c r="AN1" s="939"/>
      <c r="AO1" s="939"/>
      <c r="AP1" s="939"/>
      <c r="AQ1" s="939"/>
      <c r="AR1" s="939"/>
      <c r="AS1" s="939"/>
      <c r="AT1" s="939"/>
      <c r="AU1" s="939"/>
      <c r="AV1" s="939"/>
      <c r="AW1" s="939"/>
      <c r="AX1" s="939"/>
      <c r="AY1" s="939"/>
      <c r="AZ1" s="939"/>
      <c r="BA1" s="939"/>
      <c r="BB1" s="939"/>
      <c r="BC1" s="939"/>
      <c r="BD1" s="955"/>
      <c r="BE1" s="939"/>
      <c r="BF1" s="939"/>
      <c r="BG1" s="939"/>
      <c r="BH1" s="939"/>
      <c r="BI1" s="939"/>
      <c r="BJ1" s="939"/>
      <c r="BK1" s="939"/>
      <c r="BL1" s="939"/>
      <c r="BM1" s="939"/>
      <c r="BN1" s="939"/>
      <c r="BO1" s="939"/>
      <c r="BP1" s="939"/>
      <c r="BQ1" s="954"/>
      <c r="BR1" s="954"/>
      <c r="BS1" s="954"/>
      <c r="BT1" s="954"/>
      <c r="BU1" s="954"/>
      <c r="BV1" s="954"/>
      <c r="BW1" s="954"/>
      <c r="BX1" s="954"/>
      <c r="BY1" s="954"/>
      <c r="BZ1" s="954"/>
      <c r="CA1" s="954"/>
      <c r="CB1" s="954"/>
      <c r="CC1" s="954"/>
      <c r="CD1" s="954"/>
      <c r="CE1" s="954"/>
      <c r="CF1" s="954"/>
      <c r="CG1" s="954"/>
      <c r="CH1" s="954"/>
    </row>
    <row r="2" spans="1:86" ht="15" customHeight="1" thickTop="1" x14ac:dyDescent="0.25">
      <c r="A2" s="44"/>
      <c r="B2" s="45"/>
      <c r="C2" s="46" t="s">
        <v>935</v>
      </c>
      <c r="D2" s="929">
        <f>IFERROR('Pork Breaking'!E23/'Pork Breaking'!D23,)</f>
        <v>9.6096570397111911</v>
      </c>
      <c r="E2" s="1385" t="s">
        <v>1195</v>
      </c>
      <c r="F2" s="1385"/>
      <c r="G2" s="87">
        <f>Middles!G5</f>
        <v>1108</v>
      </c>
      <c r="H2" s="96">
        <f>Middles!H5</f>
        <v>10647.5</v>
      </c>
      <c r="I2" s="88">
        <v>1</v>
      </c>
      <c r="J2" s="45"/>
      <c r="K2" s="45">
        <f>G3</f>
        <v>1108</v>
      </c>
      <c r="L2" s="45">
        <f>H3</f>
        <v>10659.5</v>
      </c>
      <c r="M2" s="45">
        <f>Middles!H89</f>
        <v>3153.3</v>
      </c>
      <c r="N2" s="45"/>
      <c r="O2" s="45" t="s">
        <v>618</v>
      </c>
      <c r="P2" s="45">
        <f>Middles!H94</f>
        <v>0</v>
      </c>
      <c r="Q2" s="45">
        <f>Middles!H96</f>
        <v>0</v>
      </c>
      <c r="R2" s="45">
        <f>Middles!H98</f>
        <v>389.2</v>
      </c>
      <c r="S2" s="45">
        <f>Middles!H100</f>
        <v>0</v>
      </c>
      <c r="T2" s="45">
        <f>Middles!H102</f>
        <v>54.2</v>
      </c>
      <c r="U2" s="45">
        <f>Middles!H104</f>
        <v>1955.2</v>
      </c>
      <c r="V2" s="45"/>
      <c r="W2" s="45">
        <f>Middles!H113</f>
        <v>871.8</v>
      </c>
      <c r="X2" s="45">
        <f>Middles!H119</f>
        <v>2137.3000000000002</v>
      </c>
      <c r="Y2" s="45">
        <f>Middles!H107</f>
        <v>958.9</v>
      </c>
      <c r="Z2" s="45">
        <f>Middles!H111</f>
        <v>154.5</v>
      </c>
      <c r="AA2" s="100"/>
      <c r="AB2" s="100">
        <f>Middles!H109</f>
        <v>430.3</v>
      </c>
      <c r="AC2" s="100">
        <f>Middles!H117</f>
        <v>554.79999999999995</v>
      </c>
      <c r="AD2" s="100"/>
      <c r="AE2" s="101">
        <f>SUM(P2:AD2)</f>
        <v>7506.2</v>
      </c>
      <c r="AF2" s="105"/>
      <c r="AG2" s="1388" t="s">
        <v>599</v>
      </c>
      <c r="AH2" s="1388"/>
      <c r="AI2" s="1388"/>
      <c r="AJ2" s="121"/>
      <c r="AK2" s="1388" t="s">
        <v>615</v>
      </c>
      <c r="AL2" s="1388"/>
      <c r="AM2" s="1388"/>
      <c r="AN2" s="1388"/>
      <c r="AO2" s="1388"/>
      <c r="AP2" s="1388"/>
      <c r="AQ2" s="1388"/>
      <c r="AR2" s="1388"/>
      <c r="AS2" s="1388"/>
      <c r="AT2" s="1388"/>
      <c r="AU2" s="1388"/>
      <c r="AV2" s="1388"/>
      <c r="AW2" s="1388"/>
      <c r="AX2" s="1388"/>
      <c r="AY2" s="1388"/>
      <c r="AZ2" s="1388"/>
      <c r="BA2" s="1388"/>
      <c r="BB2" s="106"/>
      <c r="BC2" s="1388" t="s">
        <v>632</v>
      </c>
      <c r="BD2" s="1388"/>
      <c r="BE2" s="107"/>
      <c r="BF2" s="1388" t="s">
        <v>1205</v>
      </c>
      <c r="BG2" s="1388"/>
      <c r="BH2" s="1388"/>
      <c r="BI2" s="1388"/>
      <c r="BJ2" s="1388"/>
      <c r="BK2" s="1388"/>
      <c r="BL2" s="1388"/>
      <c r="BM2" s="1388"/>
      <c r="BN2" s="1388"/>
      <c r="BO2" s="1388"/>
      <c r="BP2" s="920"/>
      <c r="BQ2" s="124"/>
      <c r="BR2" s="108"/>
      <c r="BS2" s="1388" t="s">
        <v>631</v>
      </c>
      <c r="BT2" s="1388"/>
      <c r="BU2" s="1388"/>
      <c r="BV2" s="1388"/>
      <c r="BW2" s="1388"/>
      <c r="BX2" s="1388"/>
      <c r="BY2" s="1388"/>
      <c r="BZ2" s="1388"/>
      <c r="CA2" s="1388"/>
      <c r="CB2" s="1388"/>
      <c r="CC2" s="1388"/>
      <c r="CD2" s="1388"/>
      <c r="CE2" s="1388"/>
      <c r="CF2" s="1388"/>
      <c r="CG2" s="1388"/>
      <c r="CH2" s="1388"/>
    </row>
    <row r="3" spans="1:86" ht="15" customHeight="1" x14ac:dyDescent="0.25">
      <c r="A3" s="44"/>
      <c r="B3" s="47"/>
      <c r="C3" s="49" t="s">
        <v>936</v>
      </c>
      <c r="D3" s="930">
        <f>IFERROR('Pork Breaking'!E24/'Pork Breaking'!D29,0)</f>
        <v>0</v>
      </c>
      <c r="E3" s="1378" t="s">
        <v>1196</v>
      </c>
      <c r="F3" s="1378"/>
      <c r="G3" s="89">
        <f>Middles!G89</f>
        <v>1108</v>
      </c>
      <c r="H3" s="97">
        <f>Middles!H89+Middles!H121</f>
        <v>10659.5</v>
      </c>
      <c r="I3" s="90">
        <f>I2+I4</f>
        <v>1</v>
      </c>
      <c r="J3" s="47"/>
      <c r="K3" s="48">
        <f>K64</f>
        <v>889</v>
      </c>
      <c r="L3" s="48">
        <f t="shared" ref="L3:M3" si="0">L64</f>
        <v>10659.5</v>
      </c>
      <c r="M3" s="48">
        <f t="shared" si="0"/>
        <v>3044.7</v>
      </c>
      <c r="N3" s="47"/>
      <c r="O3" s="47" t="s">
        <v>619</v>
      </c>
      <c r="P3" s="48">
        <f>'New Deboning Middles'!P46</f>
        <v>0</v>
      </c>
      <c r="Q3" s="48">
        <f>'New Deboning Middles'!Q46</f>
        <v>0</v>
      </c>
      <c r="R3" s="48">
        <f>'New Deboning Middles'!R46</f>
        <v>0</v>
      </c>
      <c r="S3" s="48">
        <f>'New Deboning Middles'!S46</f>
        <v>0</v>
      </c>
      <c r="T3" s="48">
        <f>'New Deboning Middles'!T46</f>
        <v>0</v>
      </c>
      <c r="U3" s="48">
        <f>'New Deboning Middles'!U46</f>
        <v>0</v>
      </c>
      <c r="V3" s="47"/>
      <c r="W3" s="48">
        <f>W64</f>
        <v>759.49199266600147</v>
      </c>
      <c r="X3" s="48">
        <f t="shared" ref="X3:AD3" si="1">X64</f>
        <v>2020.6090145577862</v>
      </c>
      <c r="Y3" s="48">
        <f t="shared" si="1"/>
        <v>958.90000000000009</v>
      </c>
      <c r="Z3" s="48">
        <f t="shared" si="1"/>
        <v>140.37585524251165</v>
      </c>
      <c r="AA3" s="48">
        <f t="shared" si="1"/>
        <v>0</v>
      </c>
      <c r="AB3" s="48">
        <f t="shared" si="1"/>
        <v>430.30000000000007</v>
      </c>
      <c r="AC3" s="48">
        <f t="shared" si="1"/>
        <v>502.9893749494118</v>
      </c>
      <c r="AD3" s="48">
        <f t="shared" si="1"/>
        <v>0</v>
      </c>
      <c r="AE3" s="48">
        <f>'New Deboning Middles'!AE127</f>
        <v>53.170160927823609</v>
      </c>
      <c r="AF3" s="109"/>
      <c r="AG3" s="1373"/>
      <c r="AH3" s="1373"/>
      <c r="AI3" s="1373"/>
      <c r="AJ3" s="122"/>
      <c r="AK3" s="1373"/>
      <c r="AL3" s="1373"/>
      <c r="AM3" s="1373"/>
      <c r="AN3" s="1373"/>
      <c r="AO3" s="1373"/>
      <c r="AP3" s="1373"/>
      <c r="AQ3" s="1373"/>
      <c r="AR3" s="1373"/>
      <c r="AS3" s="1373"/>
      <c r="AT3" s="1373"/>
      <c r="AU3" s="1373"/>
      <c r="AV3" s="1373"/>
      <c r="AW3" s="1373"/>
      <c r="AX3" s="1373"/>
      <c r="AY3" s="1373"/>
      <c r="AZ3" s="1373"/>
      <c r="BA3" s="1373"/>
      <c r="BB3" s="110"/>
      <c r="BC3" s="1373"/>
      <c r="BD3" s="1373"/>
      <c r="BE3" s="111"/>
      <c r="BF3" s="1373"/>
      <c r="BG3" s="1373"/>
      <c r="BH3" s="1373"/>
      <c r="BI3" s="1373"/>
      <c r="BJ3" s="1373"/>
      <c r="BK3" s="1373"/>
      <c r="BL3" s="1373"/>
      <c r="BM3" s="1373"/>
      <c r="BN3" s="1373"/>
      <c r="BO3" s="1373"/>
      <c r="BP3" s="921"/>
      <c r="BQ3" s="125"/>
      <c r="BR3" s="112"/>
      <c r="BS3" s="1373"/>
      <c r="BT3" s="1373"/>
      <c r="BU3" s="1373"/>
      <c r="BV3" s="1373"/>
      <c r="BW3" s="1373"/>
      <c r="BX3" s="1373"/>
      <c r="BY3" s="1373"/>
      <c r="BZ3" s="1373"/>
      <c r="CA3" s="1373"/>
      <c r="CB3" s="1373"/>
      <c r="CC3" s="1373"/>
      <c r="CD3" s="1373"/>
      <c r="CE3" s="1373"/>
      <c r="CF3" s="1373"/>
      <c r="CG3" s="1373"/>
      <c r="CH3" s="1373"/>
    </row>
    <row r="4" spans="1:86" ht="15" customHeight="1" thickBot="1" x14ac:dyDescent="0.3">
      <c r="A4" s="44"/>
      <c r="B4" s="47"/>
      <c r="C4" s="49" t="s">
        <v>937</v>
      </c>
      <c r="D4" s="925"/>
      <c r="E4" s="1386" t="s">
        <v>620</v>
      </c>
      <c r="F4" s="1386"/>
      <c r="G4" s="99">
        <f t="shared" ref="G4" si="2">G2-G3</f>
        <v>0</v>
      </c>
      <c r="H4" s="99">
        <f>G4/G2</f>
        <v>0</v>
      </c>
      <c r="I4" s="86">
        <f>H4/H2</f>
        <v>0</v>
      </c>
      <c r="J4" s="47"/>
      <c r="K4" s="99">
        <f>K2-K3</f>
        <v>219</v>
      </c>
      <c r="L4" s="99">
        <f t="shared" ref="L4:M4" si="3">L2-L3</f>
        <v>0</v>
      </c>
      <c r="M4" s="86">
        <f t="shared" si="3"/>
        <v>108.60000000000036</v>
      </c>
      <c r="N4" s="49"/>
      <c r="O4" s="49" t="s">
        <v>620</v>
      </c>
      <c r="P4" s="50">
        <f t="shared" ref="P4:U4" si="4">P2-P3</f>
        <v>0</v>
      </c>
      <c r="Q4" s="50">
        <f t="shared" si="4"/>
        <v>0</v>
      </c>
      <c r="R4" s="50">
        <f t="shared" si="4"/>
        <v>389.2</v>
      </c>
      <c r="S4" s="50">
        <f t="shared" si="4"/>
        <v>0</v>
      </c>
      <c r="T4" s="50">
        <f t="shared" si="4"/>
        <v>54.2</v>
      </c>
      <c r="U4" s="50">
        <f t="shared" si="4"/>
        <v>1955.2</v>
      </c>
      <c r="V4" s="49"/>
      <c r="W4" s="50">
        <f t="shared" ref="W4:AE4" si="5">W2-W3</f>
        <v>112.30800733399849</v>
      </c>
      <c r="X4" s="50">
        <f t="shared" si="5"/>
        <v>116.69098544221401</v>
      </c>
      <c r="Y4" s="50">
        <f t="shared" si="5"/>
        <v>0</v>
      </c>
      <c r="Z4" s="50">
        <f t="shared" si="5"/>
        <v>14.124144757488352</v>
      </c>
      <c r="AA4" s="50">
        <f t="shared" si="5"/>
        <v>0</v>
      </c>
      <c r="AB4" s="50">
        <f t="shared" si="5"/>
        <v>0</v>
      </c>
      <c r="AC4" s="50">
        <f t="shared" si="5"/>
        <v>51.810625050588158</v>
      </c>
      <c r="AD4" s="50">
        <f t="shared" si="5"/>
        <v>0</v>
      </c>
      <c r="AE4" s="50">
        <f t="shared" si="5"/>
        <v>7453.0298390721764</v>
      </c>
      <c r="AF4" s="111"/>
      <c r="AG4" s="1373"/>
      <c r="AH4" s="1373"/>
      <c r="AI4" s="1373"/>
      <c r="AJ4" s="122"/>
      <c r="AK4" s="1373"/>
      <c r="AL4" s="1373"/>
      <c r="AM4" s="1373"/>
      <c r="AN4" s="1373"/>
      <c r="AO4" s="1373"/>
      <c r="AP4" s="1373"/>
      <c r="AQ4" s="1373"/>
      <c r="AR4" s="1373"/>
      <c r="AS4" s="1373"/>
      <c r="AT4" s="1373"/>
      <c r="AU4" s="1373"/>
      <c r="AV4" s="1373"/>
      <c r="AW4" s="1373"/>
      <c r="AX4" s="1373"/>
      <c r="AY4" s="1373"/>
      <c r="AZ4" s="1373"/>
      <c r="BA4" s="1373"/>
      <c r="BB4" s="110"/>
      <c r="BC4" s="1373"/>
      <c r="BD4" s="1373"/>
      <c r="BE4" s="111"/>
      <c r="BF4" s="1373"/>
      <c r="BG4" s="1373"/>
      <c r="BH4" s="1373"/>
      <c r="BI4" s="1373"/>
      <c r="BJ4" s="1373"/>
      <c r="BK4" s="1373"/>
      <c r="BL4" s="1373"/>
      <c r="BM4" s="1373"/>
      <c r="BN4" s="1373"/>
      <c r="BO4" s="1373"/>
      <c r="BP4" s="921"/>
      <c r="BQ4" s="125"/>
      <c r="BR4" s="112"/>
      <c r="BS4" s="1373"/>
      <c r="BT4" s="1373"/>
      <c r="BU4" s="1373"/>
      <c r="BV4" s="1373"/>
      <c r="BW4" s="1373"/>
      <c r="BX4" s="1373"/>
      <c r="BY4" s="1373"/>
      <c r="BZ4" s="1373"/>
      <c r="CA4" s="1373"/>
      <c r="CB4" s="1373"/>
      <c r="CC4" s="1373"/>
      <c r="CD4" s="1373"/>
      <c r="CE4" s="1373"/>
      <c r="CF4" s="1373"/>
      <c r="CG4" s="1373"/>
      <c r="CH4" s="1373"/>
    </row>
    <row r="5" spans="1:86" ht="26.25" customHeight="1" thickTop="1" thickBot="1" x14ac:dyDescent="0.3">
      <c r="A5" s="51"/>
      <c r="B5" s="52"/>
      <c r="C5" s="52"/>
      <c r="D5" s="931"/>
      <c r="E5" s="52"/>
      <c r="F5" s="52"/>
      <c r="G5" s="52"/>
      <c r="H5" s="93"/>
      <c r="I5" s="52"/>
      <c r="J5" s="52"/>
      <c r="K5" s="52"/>
      <c r="L5" s="52"/>
      <c r="M5" s="52"/>
      <c r="N5" s="1387" t="s">
        <v>968</v>
      </c>
      <c r="O5" s="1387"/>
      <c r="P5" s="911">
        <f>IFERROR(SUMIFS(Middles!$H$94:$H$105,Middles!$G$94:$G$105,"&gt;"&amp;0,Middles!$B$94:$B$105,'New Deboning Middles'!P6)/SUMIFS(Middles!$G$94:$G$105,Middles!$G$94:$G$105,"&gt;"&amp;0,Middles!$B$94:$B$105,'New Deboning Middles'!P6),0)</f>
        <v>0</v>
      </c>
      <c r="Q5" s="911">
        <f>IFERROR(SUMIFS(Middles!$H$94:$H$105,Middles!$G$94:$G$105,"&gt;"&amp;0,Middles!$B$94:$B$105,'New Deboning Middles'!Q6)/SUMIFS(Middles!$G$94:$G$105,Middles!$G$94:$G$105,"&gt;"&amp;0,Middles!$B$94:$B$105,'New Deboning Middles'!Q6),0)</f>
        <v>0</v>
      </c>
      <c r="R5" s="911">
        <f>IFERROR(SUMIFS(Middles!$H$94:$H$105,Middles!$G$94:$G$105,"&gt;"&amp;0,Middles!$B$94:$B$105,'New Deboning Middles'!R6)/SUMIFS(Middles!$G$94:$G$105,Middles!$G$94:$G$105,"&gt;"&amp;0,Middles!$B$94:$B$105,'New Deboning Middles'!R6),0)</f>
        <v>2.9709923664122138</v>
      </c>
      <c r="S5" s="911">
        <f>IFERROR(SUMIFS(Middles!$H$94:$H$105,Middles!$G$94:$G$105,"&gt;"&amp;0,Middles!$B$94:$B$105,'New Deboning Middles'!S6)/SUMIFS(Middles!$G$94:$G$105,Middles!$G$94:$G$105,"&gt;"&amp;0,Middles!$B$94:$B$105,'New Deboning Middles'!S6),0)</f>
        <v>0</v>
      </c>
      <c r="T5" s="911">
        <f>IFERROR(SUMIFS(Middles!$H$94:$H$105,Middles!$G$94:$G$105,"&gt;"&amp;0,Middles!$B$94:$B$105,'New Deboning Middles'!T6)/SUMIFS(Middles!$G$94:$G$105,Middles!$G$94:$G$105,"&gt;"&amp;0,Middles!$B$94:$B$105,'New Deboning Middles'!T6),0)</f>
        <v>2.1680000000000001</v>
      </c>
      <c r="U5" s="911">
        <f>IFERROR(SUMIFS(Middles!$H$94:$H$105,Middles!$G$94:$G$105,"&gt;"&amp;0,Middles!$B$94:$B$105,'New Deboning Middles'!U6)/SUMIFS(Middles!$G$94:$G$105,Middles!$G$94:$G$105,"&gt;"&amp;0,Middles!$B$94:$B$105,'New Deboning Middles'!U6),0)</f>
        <v>2.2268792710706151</v>
      </c>
      <c r="V5" s="52"/>
      <c r="W5" s="52"/>
      <c r="X5" s="52"/>
      <c r="Y5" s="52"/>
      <c r="Z5" s="52"/>
      <c r="AA5" s="102"/>
      <c r="AB5" s="102"/>
      <c r="AC5" s="102"/>
      <c r="AD5" s="102"/>
      <c r="AE5" s="102"/>
      <c r="AF5" s="113"/>
      <c r="AG5" s="1374"/>
      <c r="AH5" s="1374"/>
      <c r="AI5" s="1374"/>
      <c r="AJ5" s="123"/>
      <c r="AK5" s="1374"/>
      <c r="AL5" s="1374"/>
      <c r="AM5" s="1374"/>
      <c r="AN5" s="1374"/>
      <c r="AO5" s="1374"/>
      <c r="AP5" s="1374"/>
      <c r="AQ5" s="1374"/>
      <c r="AR5" s="1374"/>
      <c r="AS5" s="1374"/>
      <c r="AT5" s="1374"/>
      <c r="AU5" s="1374"/>
      <c r="AV5" s="1374"/>
      <c r="AW5" s="1374"/>
      <c r="AX5" s="1374"/>
      <c r="AY5" s="1374"/>
      <c r="AZ5" s="1374"/>
      <c r="BA5" s="1374"/>
      <c r="BB5" s="115"/>
      <c r="BC5" s="1374"/>
      <c r="BD5" s="1374"/>
      <c r="BE5" s="114"/>
      <c r="BF5" s="1374"/>
      <c r="BG5" s="1374"/>
      <c r="BH5" s="1374"/>
      <c r="BI5" s="1374"/>
      <c r="BJ5" s="1374"/>
      <c r="BK5" s="1374"/>
      <c r="BL5" s="1374"/>
      <c r="BM5" s="1374"/>
      <c r="BN5" s="1374"/>
      <c r="BO5" s="1374"/>
      <c r="BP5" s="922"/>
      <c r="BQ5" s="126"/>
      <c r="BR5" s="116"/>
      <c r="BS5" s="1374"/>
      <c r="BT5" s="1374"/>
      <c r="BU5" s="1374"/>
      <c r="BV5" s="1374"/>
      <c r="BW5" s="1374"/>
      <c r="BX5" s="1374"/>
      <c r="BY5" s="1374"/>
      <c r="BZ5" s="1374"/>
      <c r="CA5" s="1374"/>
      <c r="CB5" s="1374"/>
      <c r="CC5" s="1374"/>
      <c r="CD5" s="1374"/>
      <c r="CE5" s="1374"/>
      <c r="CF5" s="1374"/>
      <c r="CG5" s="1374"/>
      <c r="CH5" s="1374"/>
    </row>
    <row r="6" spans="1:86" ht="16.5" thickTop="1" thickBot="1" x14ac:dyDescent="0.3">
      <c r="A6" s="53"/>
      <c r="B6" s="54"/>
      <c r="C6" s="54"/>
      <c r="D6" s="932"/>
      <c r="E6" s="54"/>
      <c r="F6" s="54"/>
      <c r="G6" s="54"/>
      <c r="H6" s="94"/>
      <c r="I6" s="54"/>
      <c r="J6" s="54"/>
      <c r="K6" s="54"/>
      <c r="L6" s="54"/>
      <c r="M6" s="54"/>
      <c r="N6" s="54"/>
      <c r="O6" s="54"/>
      <c r="P6" s="55" t="s">
        <v>161</v>
      </c>
      <c r="Q6" s="55" t="s">
        <v>149</v>
      </c>
      <c r="R6" s="55" t="s">
        <v>147</v>
      </c>
      <c r="S6" s="55" t="s">
        <v>208</v>
      </c>
      <c r="T6" s="55" t="s">
        <v>151</v>
      </c>
      <c r="U6" s="55" t="s">
        <v>144</v>
      </c>
      <c r="V6" s="54"/>
      <c r="W6" s="55" t="s">
        <v>4</v>
      </c>
      <c r="X6" s="55" t="s">
        <v>6</v>
      </c>
      <c r="Y6" s="55" t="s">
        <v>142</v>
      </c>
      <c r="Z6" s="55" t="s">
        <v>3</v>
      </c>
      <c r="AA6" s="55" t="s">
        <v>5</v>
      </c>
      <c r="AB6" s="55" t="s">
        <v>143</v>
      </c>
      <c r="AC6" s="55" t="s">
        <v>260</v>
      </c>
      <c r="AD6" s="56" t="s">
        <v>56</v>
      </c>
      <c r="AE6" s="56"/>
      <c r="AF6" s="56"/>
      <c r="AG6" s="54"/>
      <c r="AH6" s="58"/>
      <c r="AI6" s="54"/>
      <c r="AJ6" s="54"/>
      <c r="AK6" s="55" t="s">
        <v>161</v>
      </c>
      <c r="AL6" s="55" t="s">
        <v>149</v>
      </c>
      <c r="AM6" s="55" t="s">
        <v>147</v>
      </c>
      <c r="AN6" s="55" t="s">
        <v>208</v>
      </c>
      <c r="AO6" s="55" t="s">
        <v>151</v>
      </c>
      <c r="AP6" s="55" t="s">
        <v>144</v>
      </c>
      <c r="AQ6" s="54"/>
      <c r="AR6" s="55" t="s">
        <v>4</v>
      </c>
      <c r="AS6" s="55" t="s">
        <v>6</v>
      </c>
      <c r="AT6" s="55" t="s">
        <v>142</v>
      </c>
      <c r="AU6" s="55" t="s">
        <v>3</v>
      </c>
      <c r="AV6" s="55" t="s">
        <v>5</v>
      </c>
      <c r="AW6" s="55" t="s">
        <v>143</v>
      </c>
      <c r="AX6" s="55" t="s">
        <v>260</v>
      </c>
      <c r="AY6" s="56" t="s">
        <v>56</v>
      </c>
      <c r="AZ6" s="56"/>
      <c r="BA6" s="56"/>
      <c r="BB6" s="56"/>
      <c r="BC6" s="57"/>
      <c r="BD6" s="956"/>
      <c r="BE6" s="54"/>
      <c r="BF6" s="55" t="s">
        <v>4</v>
      </c>
      <c r="BG6" s="55" t="s">
        <v>6</v>
      </c>
      <c r="BH6" s="55" t="s">
        <v>142</v>
      </c>
      <c r="BI6" s="55" t="s">
        <v>3</v>
      </c>
      <c r="BJ6" s="55" t="s">
        <v>5</v>
      </c>
      <c r="BK6" s="55" t="s">
        <v>143</v>
      </c>
      <c r="BL6" s="55" t="s">
        <v>260</v>
      </c>
      <c r="BM6" s="56" t="s">
        <v>56</v>
      </c>
      <c r="BN6" s="56"/>
      <c r="BO6" s="56"/>
      <c r="BP6" s="56"/>
      <c r="BQ6" s="56"/>
      <c r="BR6" s="54"/>
      <c r="BS6" s="55" t="s">
        <v>161</v>
      </c>
      <c r="BT6" s="55" t="s">
        <v>149</v>
      </c>
      <c r="BU6" s="55" t="s">
        <v>147</v>
      </c>
      <c r="BV6" s="55" t="s">
        <v>208</v>
      </c>
      <c r="BW6" s="55" t="s">
        <v>151</v>
      </c>
      <c r="BX6" s="55" t="s">
        <v>144</v>
      </c>
      <c r="BY6" s="54"/>
      <c r="BZ6" s="55" t="s">
        <v>4</v>
      </c>
      <c r="CA6" s="55" t="s">
        <v>6</v>
      </c>
      <c r="CB6" s="55" t="s">
        <v>142</v>
      </c>
      <c r="CC6" s="55" t="s">
        <v>3</v>
      </c>
      <c r="CD6" s="55" t="s">
        <v>5</v>
      </c>
      <c r="CE6" s="55" t="s">
        <v>143</v>
      </c>
      <c r="CF6" s="55" t="s">
        <v>260</v>
      </c>
      <c r="CG6" s="56" t="s">
        <v>56</v>
      </c>
      <c r="CH6" s="56"/>
    </row>
    <row r="7" spans="1:86" ht="75.75" thickTop="1" x14ac:dyDescent="0.25">
      <c r="A7" s="72"/>
      <c r="B7" s="73" t="s">
        <v>8</v>
      </c>
      <c r="C7" s="73" t="s">
        <v>9</v>
      </c>
      <c r="D7" s="73" t="s">
        <v>57</v>
      </c>
      <c r="E7" s="73" t="s">
        <v>586</v>
      </c>
      <c r="F7" s="73" t="s">
        <v>637</v>
      </c>
      <c r="G7" s="73" t="s">
        <v>636</v>
      </c>
      <c r="H7" s="98" t="s">
        <v>258</v>
      </c>
      <c r="I7" s="73" t="s">
        <v>587</v>
      </c>
      <c r="J7" s="73" t="s">
        <v>588</v>
      </c>
      <c r="K7" s="73" t="s">
        <v>593</v>
      </c>
      <c r="L7" s="73" t="s">
        <v>596</v>
      </c>
      <c r="M7" s="73" t="s">
        <v>594</v>
      </c>
      <c r="N7" s="74"/>
      <c r="O7" s="91" t="s">
        <v>588</v>
      </c>
      <c r="P7" s="73" t="s">
        <v>205</v>
      </c>
      <c r="Q7" s="73" t="s">
        <v>206</v>
      </c>
      <c r="R7" s="73" t="s">
        <v>207</v>
      </c>
      <c r="S7" s="73" t="s">
        <v>210</v>
      </c>
      <c r="T7" s="73" t="s">
        <v>209</v>
      </c>
      <c r="U7" s="73" t="s">
        <v>211</v>
      </c>
      <c r="V7" s="74"/>
      <c r="W7" s="73" t="s">
        <v>265</v>
      </c>
      <c r="X7" s="73" t="s">
        <v>60</v>
      </c>
      <c r="Y7" s="73" t="s">
        <v>263</v>
      </c>
      <c r="Z7" s="73" t="s">
        <v>58</v>
      </c>
      <c r="AA7" s="73" t="s">
        <v>59</v>
      </c>
      <c r="AB7" s="73" t="s">
        <v>264</v>
      </c>
      <c r="AC7" s="73" t="s">
        <v>261</v>
      </c>
      <c r="AD7" s="75" t="s">
        <v>246</v>
      </c>
      <c r="AE7" s="76" t="s">
        <v>597</v>
      </c>
      <c r="AF7" s="77"/>
      <c r="AG7" s="79" t="s">
        <v>598</v>
      </c>
      <c r="AH7" s="73" t="s">
        <v>623</v>
      </c>
      <c r="AI7" s="73" t="s">
        <v>622</v>
      </c>
      <c r="AJ7" s="78"/>
      <c r="AK7" s="79" t="s">
        <v>205</v>
      </c>
      <c r="AL7" s="79" t="s">
        <v>206</v>
      </c>
      <c r="AM7" s="79" t="s">
        <v>207</v>
      </c>
      <c r="AN7" s="79" t="s">
        <v>210</v>
      </c>
      <c r="AO7" s="79" t="s">
        <v>209</v>
      </c>
      <c r="AP7" s="79" t="s">
        <v>211</v>
      </c>
      <c r="AQ7" s="78"/>
      <c r="AR7" s="79" t="s">
        <v>265</v>
      </c>
      <c r="AS7" s="79" t="s">
        <v>60</v>
      </c>
      <c r="AT7" s="79" t="s">
        <v>263</v>
      </c>
      <c r="AU7" s="79" t="s">
        <v>58</v>
      </c>
      <c r="AV7" s="79" t="s">
        <v>59</v>
      </c>
      <c r="AW7" s="79" t="s">
        <v>264</v>
      </c>
      <c r="AX7" s="79" t="s">
        <v>261</v>
      </c>
      <c r="AY7" s="80" t="s">
        <v>246</v>
      </c>
      <c r="AZ7" s="80" t="s">
        <v>621</v>
      </c>
      <c r="BA7" s="73" t="s">
        <v>640</v>
      </c>
      <c r="BB7" s="95"/>
      <c r="BC7" s="73" t="s">
        <v>626</v>
      </c>
      <c r="BD7" s="73" t="s">
        <v>624</v>
      </c>
      <c r="BE7" s="81"/>
      <c r="BF7" s="79" t="s">
        <v>265</v>
      </c>
      <c r="BG7" s="79" t="s">
        <v>60</v>
      </c>
      <c r="BH7" s="79" t="s">
        <v>263</v>
      </c>
      <c r="BI7" s="79" t="s">
        <v>58</v>
      </c>
      <c r="BJ7" s="79" t="s">
        <v>59</v>
      </c>
      <c r="BK7" s="79" t="s">
        <v>264</v>
      </c>
      <c r="BL7" s="79" t="s">
        <v>261</v>
      </c>
      <c r="BM7" s="80" t="s">
        <v>246</v>
      </c>
      <c r="BN7" s="80" t="s">
        <v>621</v>
      </c>
      <c r="BO7" s="79" t="s">
        <v>595</v>
      </c>
      <c r="BP7" s="81"/>
      <c r="BQ7" s="73" t="s">
        <v>614</v>
      </c>
      <c r="BR7" s="78"/>
      <c r="BS7" s="73" t="s">
        <v>205</v>
      </c>
      <c r="BT7" s="73" t="s">
        <v>206</v>
      </c>
      <c r="BU7" s="73" t="s">
        <v>207</v>
      </c>
      <c r="BV7" s="73" t="s">
        <v>210</v>
      </c>
      <c r="BW7" s="73" t="s">
        <v>209</v>
      </c>
      <c r="BX7" s="73" t="s">
        <v>211</v>
      </c>
      <c r="BY7" s="78"/>
      <c r="BZ7" s="73" t="s">
        <v>265</v>
      </c>
      <c r="CA7" s="73" t="s">
        <v>60</v>
      </c>
      <c r="CB7" s="73" t="s">
        <v>263</v>
      </c>
      <c r="CC7" s="73" t="s">
        <v>58</v>
      </c>
      <c r="CD7" s="73" t="s">
        <v>59</v>
      </c>
      <c r="CE7" s="73" t="s">
        <v>264</v>
      </c>
      <c r="CF7" s="73" t="s">
        <v>261</v>
      </c>
      <c r="CG7" s="75" t="s">
        <v>246</v>
      </c>
      <c r="CH7" s="82" t="s">
        <v>595</v>
      </c>
    </row>
    <row r="8" spans="1:86" ht="14.1" customHeight="1" x14ac:dyDescent="0.25">
      <c r="A8" s="70"/>
      <c r="B8" s="66" t="s">
        <v>1322</v>
      </c>
      <c r="C8" s="66" t="s">
        <v>1323</v>
      </c>
      <c r="D8" s="933" t="s">
        <v>1320</v>
      </c>
      <c r="E8" s="66" t="s">
        <v>1530</v>
      </c>
      <c r="F8" s="66"/>
      <c r="G8" s="66">
        <f>_xlfn.IFNA(INDEX(NewRecipeTable[Percentage Yield],MATCH(E8,NewRecipeTable[ShortCode],0)),0)</f>
        <v>33.7408</v>
      </c>
      <c r="H8" s="140">
        <v>1570</v>
      </c>
      <c r="I8" s="66" t="str">
        <f t="array" ref="I8:I62">IF(E8:E62=_xlfn.IFNA(INDEX(ActivatedRecipe,MATCH($E$8:$E$62,ActivatedRecipe,0)),0),"Yes","No")</f>
        <v>No</v>
      </c>
      <c r="J8" s="66" t="s">
        <v>244</v>
      </c>
      <c r="K8" s="133">
        <f>_xlfn.IFNA(INDEX(Middles!$G$8:$G$88,MATCH($E$8:$E$62,ActivatedRecipe,0)),0)</f>
        <v>0</v>
      </c>
      <c r="L8" s="66">
        <f>$D$2*K8</f>
        <v>0</v>
      </c>
      <c r="M8" s="133">
        <f>_xlfn.IFNA(INDEX(Middles!$H$8:$H$88,MATCH($E$8:$E$62,ActivatedRecipe,0)),0)</f>
        <v>0</v>
      </c>
      <c r="N8" s="69"/>
      <c r="O8" s="92" t="s">
        <v>639</v>
      </c>
      <c r="P8" s="147">
        <f t="shared" ref="P8:U8" si="6">IF(AK8&gt;0,$K8,0)*P$5</f>
        <v>0</v>
      </c>
      <c r="Q8" s="147">
        <f t="shared" si="6"/>
        <v>0</v>
      </c>
      <c r="R8" s="147">
        <f t="shared" si="6"/>
        <v>0</v>
      </c>
      <c r="S8" s="147">
        <f t="shared" si="6"/>
        <v>0</v>
      </c>
      <c r="T8" s="147">
        <f t="shared" si="6"/>
        <v>0</v>
      </c>
      <c r="U8" s="147">
        <f t="shared" si="6"/>
        <v>0</v>
      </c>
      <c r="V8" s="69"/>
      <c r="W8" s="147">
        <f t="array" ref="W8:AD62">IF(W2:AD2=0,0,ABS(IF(W71:AD125=0,0,W71:AD125/W127:AD127*W2:AD2)--BF8:BM62))</f>
        <v>0</v>
      </c>
      <c r="X8" s="147">
        <v>0</v>
      </c>
      <c r="Y8" s="147">
        <v>0</v>
      </c>
      <c r="Z8" s="147">
        <v>0</v>
      </c>
      <c r="AA8" s="147">
        <v>0</v>
      </c>
      <c r="AB8" s="147">
        <v>0</v>
      </c>
      <c r="AC8" s="147">
        <v>0</v>
      </c>
      <c r="AD8" s="147">
        <v>0</v>
      </c>
      <c r="AE8" s="924">
        <f>SUM(P8:AD8)</f>
        <v>0</v>
      </c>
      <c r="AF8" s="84"/>
      <c r="AG8" s="66">
        <f>IF($L8=0,0,($M8/$L8*100))</f>
        <v>0</v>
      </c>
      <c r="AH8" s="139">
        <f>IF($M8&lt;&gt;0,G8,0)</f>
        <v>0</v>
      </c>
      <c r="AI8" s="137">
        <f>AH8-AG8</f>
        <v>0</v>
      </c>
      <c r="AJ8" s="69"/>
      <c r="AK8" s="66">
        <f t="array" ref="AK8:AP62">IF($K$8:$K$62=0,0,SUMIFS(NewRecipeList!G2:G1148,NewRecipeList!A2:A1148,'New Deboning Middles'!$D8:$D62,NewRecipeList!C2:C1148,'New Deboning Middles'!AK$6:AP$6))</f>
        <v>0</v>
      </c>
      <c r="AL8" s="66">
        <v>0</v>
      </c>
      <c r="AM8" s="66">
        <v>0</v>
      </c>
      <c r="AN8" s="66">
        <v>0</v>
      </c>
      <c r="AO8" s="66">
        <v>0</v>
      </c>
      <c r="AP8" s="66">
        <v>0</v>
      </c>
      <c r="AQ8" s="69"/>
      <c r="AR8" s="923">
        <f t="array" ref="AR8:AY62">IF($K$8:$K$62=0,0,SUMIFS(NewRecipeList!G2:G1148,NewRecipeList!A2:A1148,'New Deboning Middles'!$D8:$D62,NewRecipeList!C2:C1148,'New Deboning Middles'!AR$6:AY$6))</f>
        <v>0</v>
      </c>
      <c r="AS8" s="66">
        <v>0</v>
      </c>
      <c r="AT8" s="66">
        <v>0</v>
      </c>
      <c r="AU8" s="66">
        <v>0</v>
      </c>
      <c r="AV8" s="66">
        <v>0</v>
      </c>
      <c r="AW8" s="66">
        <v>0</v>
      </c>
      <c r="AX8" s="66">
        <v>0</v>
      </c>
      <c r="AY8" s="66">
        <v>0</v>
      </c>
      <c r="AZ8" s="66">
        <f t="array" ref="AZ8">SUMIF($W$2:$AD$2,"&gt;"&amp;0,AR8:AY8)</f>
        <v>0</v>
      </c>
      <c r="BA8" s="67">
        <f>SUM(AK8:AP8,AR8:AY8,AH8)</f>
        <v>0</v>
      </c>
      <c r="BB8" s="84"/>
      <c r="BC8" s="71">
        <f>ROUNDDOWN((L8-M8-AE8),6)</f>
        <v>0</v>
      </c>
      <c r="BD8" s="957"/>
      <c r="BE8" s="69"/>
      <c r="BF8" s="66">
        <f t="array" ref="BF8:BM62">$BF$71:$BM$125</f>
        <v>0</v>
      </c>
      <c r="BG8" s="66">
        <v>0</v>
      </c>
      <c r="BH8" s="66">
        <v>0</v>
      </c>
      <c r="BI8" s="66">
        <v>0</v>
      </c>
      <c r="BJ8" s="66">
        <v>0</v>
      </c>
      <c r="BK8" s="66">
        <v>0</v>
      </c>
      <c r="BL8" s="66">
        <v>0</v>
      </c>
      <c r="BM8" s="66">
        <v>0</v>
      </c>
      <c r="BN8" s="67">
        <f>SUM(BJ8:BM8)</f>
        <v>0</v>
      </c>
      <c r="BO8" s="68">
        <f t="shared" ref="BO8:BO44" si="7">SUM(BF8:BM8)</f>
        <v>0</v>
      </c>
      <c r="BP8" s="69"/>
      <c r="BQ8" s="133">
        <f>IF($L8=0,0,($M8/$L8*100))</f>
        <v>0</v>
      </c>
      <c r="BR8" s="69"/>
      <c r="BS8" s="133">
        <f>IF($L8=0,0,($P8/$L8*100))</f>
        <v>0</v>
      </c>
      <c r="BT8" s="133">
        <f>IF($L8=0,0,($Q8/$L8*100))</f>
        <v>0</v>
      </c>
      <c r="BU8" s="133">
        <f>IF($L8=0,0,($R8/$L8*100))</f>
        <v>0</v>
      </c>
      <c r="BV8" s="133">
        <f>IF($L8=0,0,($S8/$L8*100))</f>
        <v>0</v>
      </c>
      <c r="BW8" s="133">
        <f>IF($L8=0,0,($T8/$L8*100))</f>
        <v>0</v>
      </c>
      <c r="BX8" s="144">
        <f>IF($L8=0,0,($U8/$L8*100))</f>
        <v>0</v>
      </c>
      <c r="BY8" s="69"/>
      <c r="BZ8" s="133">
        <f>IF($L8=0,0,($W8/$L8*100))</f>
        <v>0</v>
      </c>
      <c r="CA8" s="133">
        <f>IF($L8=0,0,($X8/$L8*100))</f>
        <v>0</v>
      </c>
      <c r="CB8" s="133">
        <f>IF($L8=0,0,($Y8/$L8*100))</f>
        <v>0</v>
      </c>
      <c r="CC8" s="133">
        <f>IF($L8=0,0,($Z8/$L8*100))</f>
        <v>0</v>
      </c>
      <c r="CD8" s="133">
        <f>IF($L8=0,0,($AA8/$L8*100))</f>
        <v>0</v>
      </c>
      <c r="CE8" s="144">
        <f>IF($L8=0,0,($AB8/$L8*100))</f>
        <v>0</v>
      </c>
      <c r="CF8" s="133">
        <f>IF($L8=0,0,($AC8/$L8*100))</f>
        <v>0</v>
      </c>
      <c r="CG8" s="133">
        <f>IF($L8=0,0,($AD8/$L8*100))</f>
        <v>0</v>
      </c>
      <c r="CH8" s="145">
        <f t="shared" ref="CH8:CH44" si="8">SUM(BQ8:CG8)</f>
        <v>0</v>
      </c>
    </row>
    <row r="9" spans="1:86" ht="14.1" customHeight="1" x14ac:dyDescent="0.25">
      <c r="A9" s="70"/>
      <c r="B9" s="133" t="s">
        <v>1322</v>
      </c>
      <c r="C9" s="133" t="s">
        <v>1323</v>
      </c>
      <c r="D9" s="934" t="s">
        <v>1345</v>
      </c>
      <c r="E9" s="133" t="s">
        <v>1531</v>
      </c>
      <c r="F9" s="66"/>
      <c r="G9" s="66">
        <f>_xlfn.IFNA(INDEX(NewRecipeTable[Percentage Yield],MATCH(E9,NewRecipeTable[ShortCode],0)),0)</f>
        <v>29</v>
      </c>
      <c r="H9" s="146">
        <v>1570</v>
      </c>
      <c r="I9" s="66" t="str">
        <v>No</v>
      </c>
      <c r="J9" s="133" t="s">
        <v>244</v>
      </c>
      <c r="K9" s="133">
        <f>_xlfn.IFNA(INDEX(Middles!$G$8:$G$88,MATCH($E$8:$E$62,ActivatedRecipe,0)),0)</f>
        <v>0</v>
      </c>
      <c r="L9" s="66">
        <f t="shared" ref="L9:L62" si="9">$D$2*K9</f>
        <v>0</v>
      </c>
      <c r="M9" s="133">
        <f>_xlfn.IFNA(INDEX(Middles!$H$8:$H$88,MATCH($E$8:$E$62,ActivatedRecipe,0)),0)</f>
        <v>0</v>
      </c>
      <c r="N9" s="69"/>
      <c r="O9" s="92" t="s">
        <v>639</v>
      </c>
      <c r="P9" s="147">
        <f t="shared" ref="P9:P62" si="10">IF(AK9&gt;0,$K9,0)*P$5</f>
        <v>0</v>
      </c>
      <c r="Q9" s="147">
        <f t="shared" ref="Q9:Q62" si="11">IF(AL9&gt;0,$K9,0)*Q$5</f>
        <v>0</v>
      </c>
      <c r="R9" s="147">
        <f t="shared" ref="R9:R62" si="12">IF(AM9&gt;0,$K9,0)*R$5</f>
        <v>0</v>
      </c>
      <c r="S9" s="147">
        <f t="shared" ref="S9:S62" si="13">IF(AN9&gt;0,$K9,0)*S$5</f>
        <v>0</v>
      </c>
      <c r="T9" s="147">
        <f t="shared" ref="T9:T62" si="14">IF(AO9&gt;0,$K9,0)*T$5</f>
        <v>0</v>
      </c>
      <c r="U9" s="147">
        <f t="shared" ref="U9:U62" si="15">IF(AP9&gt;0,$K9,0)*U$5</f>
        <v>0</v>
      </c>
      <c r="V9" s="69"/>
      <c r="W9" s="147">
        <v>0</v>
      </c>
      <c r="X9" s="147">
        <v>0</v>
      </c>
      <c r="Y9" s="147">
        <v>0</v>
      </c>
      <c r="Z9" s="147">
        <v>0</v>
      </c>
      <c r="AA9" s="147">
        <v>0</v>
      </c>
      <c r="AB9" s="147">
        <v>0</v>
      </c>
      <c r="AC9" s="147">
        <v>0</v>
      </c>
      <c r="AD9" s="147">
        <v>0</v>
      </c>
      <c r="AE9" s="924">
        <f t="shared" ref="AE9:AE44" si="16">SUM(P9:AD9)</f>
        <v>0</v>
      </c>
      <c r="AF9" s="84"/>
      <c r="AG9" s="66">
        <f t="shared" ref="AG9:AG62" si="17">IF($L9=0,0,($M9/$L9*100))</f>
        <v>0</v>
      </c>
      <c r="AH9" s="139">
        <f t="shared" ref="AH9:AH62" si="18">IF($M9&lt;&gt;0,G9,0)</f>
        <v>0</v>
      </c>
      <c r="AI9" s="137">
        <f t="shared" ref="AI9:AI62" si="19">AH9-AG9</f>
        <v>0</v>
      </c>
      <c r="AJ9" s="69"/>
      <c r="AK9" s="66">
        <v>0</v>
      </c>
      <c r="AL9" s="66">
        <v>0</v>
      </c>
      <c r="AM9" s="66">
        <v>0</v>
      </c>
      <c r="AN9" s="66">
        <v>0</v>
      </c>
      <c r="AO9" s="66">
        <v>0</v>
      </c>
      <c r="AP9" s="66">
        <v>0</v>
      </c>
      <c r="AQ9" s="69"/>
      <c r="AR9" s="66">
        <v>0</v>
      </c>
      <c r="AS9" s="66">
        <v>0</v>
      </c>
      <c r="AT9" s="66">
        <v>0</v>
      </c>
      <c r="AU9" s="66">
        <v>0</v>
      </c>
      <c r="AV9" s="66">
        <v>0</v>
      </c>
      <c r="AW9" s="66">
        <v>0</v>
      </c>
      <c r="AX9" s="66">
        <v>0</v>
      </c>
      <c r="AY9" s="66">
        <v>0</v>
      </c>
      <c r="AZ9" s="66">
        <f t="array" ref="AZ9">SUMIF($W$2:$AD$2,"&gt;"&amp;0,AR9:AY9)</f>
        <v>0</v>
      </c>
      <c r="BA9" s="67">
        <f t="shared" ref="BA9:BA62" si="20">SUM(AK9:AP9,AR9:AY9,AH9)</f>
        <v>0</v>
      </c>
      <c r="BB9" s="84"/>
      <c r="BC9" s="71">
        <f t="shared" ref="BC9:BC62" si="21">ROUNDDOWN((L9-M9-AE9),6)</f>
        <v>0</v>
      </c>
      <c r="BD9" s="957"/>
      <c r="BE9" s="69"/>
      <c r="BF9" s="66">
        <v>0</v>
      </c>
      <c r="BG9" s="66">
        <v>0</v>
      </c>
      <c r="BH9" s="66">
        <v>0</v>
      </c>
      <c r="BI9" s="66">
        <v>0</v>
      </c>
      <c r="BJ9" s="66">
        <v>0</v>
      </c>
      <c r="BK9" s="66">
        <v>0</v>
      </c>
      <c r="BL9" s="66">
        <v>0</v>
      </c>
      <c r="BM9" s="66">
        <v>0</v>
      </c>
      <c r="BN9" s="67">
        <f t="shared" ref="BN9:BN44" si="22">SUM(BJ9:BM9)</f>
        <v>0</v>
      </c>
      <c r="BO9" s="68">
        <f t="shared" si="7"/>
        <v>0</v>
      </c>
      <c r="BP9" s="69"/>
      <c r="BQ9" s="133">
        <f t="shared" ref="BQ9:BQ62" si="23">IF($L9=0,0,($M9/$L9*100))</f>
        <v>0</v>
      </c>
      <c r="BR9" s="69"/>
      <c r="BS9" s="133">
        <f t="shared" ref="BS9:BS62" si="24">IF($L9=0,0,($P9/$L9*100))</f>
        <v>0</v>
      </c>
      <c r="BT9" s="133">
        <f t="shared" ref="BT9:BT62" si="25">IF($L9=0,0,($Q9/$L9*100))</f>
        <v>0</v>
      </c>
      <c r="BU9" s="133">
        <f t="shared" ref="BU9:BU62" si="26">IF($L9=0,0,($R9/$L9*100))</f>
        <v>0</v>
      </c>
      <c r="BV9" s="133">
        <f t="shared" ref="BV9:BV62" si="27">IF($L9=0,0,($S9/$L9*100))</f>
        <v>0</v>
      </c>
      <c r="BW9" s="133">
        <f t="shared" ref="BW9:BW62" si="28">IF($L9=0,0,($T9/$L9*100))</f>
        <v>0</v>
      </c>
      <c r="BX9" s="144">
        <f t="shared" ref="BX9:BX62" si="29">IF($L9=0,0,($U9/$L9*100))</f>
        <v>0</v>
      </c>
      <c r="BY9" s="69"/>
      <c r="BZ9" s="133">
        <f t="shared" ref="BZ9:BZ62" si="30">IF($L9=0,0,($W9/$L9*100))</f>
        <v>0</v>
      </c>
      <c r="CA9" s="133">
        <f t="shared" ref="CA9:CA62" si="31">IF($L9=0,0,($X9/$L9*100))</f>
        <v>0</v>
      </c>
      <c r="CB9" s="133">
        <f t="shared" ref="CB9:CB62" si="32">IF($L9=0,0,($Y9/$L9*100))</f>
        <v>0</v>
      </c>
      <c r="CC9" s="133">
        <f t="shared" ref="CC9:CC62" si="33">IF($L9=0,0,($Z9/$L9*100))</f>
        <v>0</v>
      </c>
      <c r="CD9" s="133">
        <f t="shared" ref="CD9:CD62" si="34">IF($L9=0,0,($AA9/$L9*100))</f>
        <v>0</v>
      </c>
      <c r="CE9" s="144">
        <f t="shared" ref="CE9:CE62" si="35">IF($L9=0,0,($AB9/$L9*100))</f>
        <v>0</v>
      </c>
      <c r="CF9" s="133">
        <f t="shared" ref="CF9:CF62" si="36">IF($L9=0,0,($AC9/$L9*100))</f>
        <v>0</v>
      </c>
      <c r="CG9" s="133">
        <f t="shared" ref="CG9:CG62" si="37">IF($L9=0,0,($AD9/$L9*100))</f>
        <v>0</v>
      </c>
      <c r="CH9" s="145">
        <f t="shared" si="8"/>
        <v>0</v>
      </c>
    </row>
    <row r="10" spans="1:86" ht="14.1" customHeight="1" x14ac:dyDescent="0.25">
      <c r="A10" s="70"/>
      <c r="B10" s="133" t="s">
        <v>1322</v>
      </c>
      <c r="C10" s="133" t="s">
        <v>1323</v>
      </c>
      <c r="D10" s="934" t="s">
        <v>1347</v>
      </c>
      <c r="E10" s="133" t="s">
        <v>1532</v>
      </c>
      <c r="F10" s="66"/>
      <c r="G10" s="66">
        <f>_xlfn.IFNA(INDEX(NewRecipeTable[Percentage Yield],MATCH(E10,NewRecipeTable[ShortCode],0)),0)</f>
        <v>36.4</v>
      </c>
      <c r="H10" s="146">
        <v>1570</v>
      </c>
      <c r="I10" s="66" t="str">
        <v>No</v>
      </c>
      <c r="J10" s="133" t="s">
        <v>244</v>
      </c>
      <c r="K10" s="133">
        <f>_xlfn.IFNA(INDEX(Middles!$G$8:$G$88,MATCH($E$8:$E$62,ActivatedRecipe,0)),0)</f>
        <v>0</v>
      </c>
      <c r="L10" s="66">
        <f t="shared" si="9"/>
        <v>0</v>
      </c>
      <c r="M10" s="133">
        <f>_xlfn.IFNA(INDEX(Middles!$H$8:$H$88,MATCH($E$8:$E$62,ActivatedRecipe,0)),0)</f>
        <v>0</v>
      </c>
      <c r="N10" s="69"/>
      <c r="O10" s="92" t="s">
        <v>639</v>
      </c>
      <c r="P10" s="147">
        <f t="shared" si="10"/>
        <v>0</v>
      </c>
      <c r="Q10" s="147">
        <f t="shared" si="11"/>
        <v>0</v>
      </c>
      <c r="R10" s="147">
        <f t="shared" si="12"/>
        <v>0</v>
      </c>
      <c r="S10" s="147">
        <f t="shared" si="13"/>
        <v>0</v>
      </c>
      <c r="T10" s="147">
        <f t="shared" si="14"/>
        <v>0</v>
      </c>
      <c r="U10" s="147">
        <f t="shared" si="15"/>
        <v>0</v>
      </c>
      <c r="V10" s="69"/>
      <c r="W10" s="147">
        <v>0</v>
      </c>
      <c r="X10" s="147">
        <v>0</v>
      </c>
      <c r="Y10" s="147">
        <v>0</v>
      </c>
      <c r="Z10" s="147">
        <v>0</v>
      </c>
      <c r="AA10" s="147">
        <v>0</v>
      </c>
      <c r="AB10" s="147">
        <v>0</v>
      </c>
      <c r="AC10" s="147">
        <v>0</v>
      </c>
      <c r="AD10" s="147">
        <v>0</v>
      </c>
      <c r="AE10" s="924">
        <f t="shared" si="16"/>
        <v>0</v>
      </c>
      <c r="AF10" s="84"/>
      <c r="AG10" s="66">
        <f t="shared" si="17"/>
        <v>0</v>
      </c>
      <c r="AH10" s="139">
        <f t="shared" si="18"/>
        <v>0</v>
      </c>
      <c r="AI10" s="137">
        <f t="shared" si="19"/>
        <v>0</v>
      </c>
      <c r="AJ10" s="69"/>
      <c r="AK10" s="66">
        <v>0</v>
      </c>
      <c r="AL10" s="66">
        <v>0</v>
      </c>
      <c r="AM10" s="66">
        <v>0</v>
      </c>
      <c r="AN10" s="66">
        <v>0</v>
      </c>
      <c r="AO10" s="66">
        <v>0</v>
      </c>
      <c r="AP10" s="66">
        <v>0</v>
      </c>
      <c r="AQ10" s="69"/>
      <c r="AR10" s="66">
        <v>0</v>
      </c>
      <c r="AS10" s="66">
        <v>0</v>
      </c>
      <c r="AT10" s="66">
        <v>0</v>
      </c>
      <c r="AU10" s="66">
        <v>0</v>
      </c>
      <c r="AV10" s="66">
        <v>0</v>
      </c>
      <c r="AW10" s="66">
        <v>0</v>
      </c>
      <c r="AX10" s="66">
        <v>0</v>
      </c>
      <c r="AY10" s="66">
        <v>0</v>
      </c>
      <c r="AZ10" s="66">
        <f t="array" ref="AZ10">SUMIF($W$2:$AD$2,"&gt;"&amp;0,AR10:AY10)</f>
        <v>0</v>
      </c>
      <c r="BA10" s="67">
        <f t="shared" si="20"/>
        <v>0</v>
      </c>
      <c r="BB10" s="84"/>
      <c r="BC10" s="71">
        <f t="shared" si="21"/>
        <v>0</v>
      </c>
      <c r="BD10" s="957"/>
      <c r="BE10" s="69"/>
      <c r="BF10" s="66">
        <v>0</v>
      </c>
      <c r="BG10" s="66">
        <v>0</v>
      </c>
      <c r="BH10" s="66">
        <v>0</v>
      </c>
      <c r="BI10" s="66">
        <v>0</v>
      </c>
      <c r="BJ10" s="66">
        <v>0</v>
      </c>
      <c r="BK10" s="66">
        <v>0</v>
      </c>
      <c r="BL10" s="66">
        <v>0</v>
      </c>
      <c r="BM10" s="66">
        <v>0</v>
      </c>
      <c r="BN10" s="67">
        <f t="shared" si="22"/>
        <v>0</v>
      </c>
      <c r="BO10" s="68">
        <f t="shared" si="7"/>
        <v>0</v>
      </c>
      <c r="BP10" s="69"/>
      <c r="BQ10" s="133">
        <f t="shared" si="23"/>
        <v>0</v>
      </c>
      <c r="BR10" s="69"/>
      <c r="BS10" s="133">
        <f t="shared" si="24"/>
        <v>0</v>
      </c>
      <c r="BT10" s="133">
        <f t="shared" si="25"/>
        <v>0</v>
      </c>
      <c r="BU10" s="133">
        <f t="shared" si="26"/>
        <v>0</v>
      </c>
      <c r="BV10" s="133">
        <f t="shared" si="27"/>
        <v>0</v>
      </c>
      <c r="BW10" s="133">
        <f t="shared" si="28"/>
        <v>0</v>
      </c>
      <c r="BX10" s="144">
        <f t="shared" si="29"/>
        <v>0</v>
      </c>
      <c r="BY10" s="69"/>
      <c r="BZ10" s="133">
        <f t="shared" si="30"/>
        <v>0</v>
      </c>
      <c r="CA10" s="133">
        <f t="shared" si="31"/>
        <v>0</v>
      </c>
      <c r="CB10" s="133">
        <f t="shared" si="32"/>
        <v>0</v>
      </c>
      <c r="CC10" s="133">
        <f t="shared" si="33"/>
        <v>0</v>
      </c>
      <c r="CD10" s="133">
        <f t="shared" si="34"/>
        <v>0</v>
      </c>
      <c r="CE10" s="144">
        <f t="shared" si="35"/>
        <v>0</v>
      </c>
      <c r="CF10" s="133">
        <f t="shared" si="36"/>
        <v>0</v>
      </c>
      <c r="CG10" s="133">
        <f t="shared" si="37"/>
        <v>0</v>
      </c>
      <c r="CH10" s="145">
        <f t="shared" si="8"/>
        <v>0</v>
      </c>
    </row>
    <row r="11" spans="1:86" ht="14.1" customHeight="1" x14ac:dyDescent="0.25">
      <c r="A11" s="70"/>
      <c r="B11" s="133" t="s">
        <v>112</v>
      </c>
      <c r="C11" s="133" t="s">
        <v>292</v>
      </c>
      <c r="D11" s="934" t="s">
        <v>552</v>
      </c>
      <c r="E11" s="133" t="s">
        <v>604</v>
      </c>
      <c r="F11" s="66"/>
      <c r="G11" s="66">
        <f>_xlfn.IFNA(INDEX(NewRecipeTable[Percentage Yield],MATCH(E11,NewRecipeTable[ShortCode],0)),0)</f>
        <v>25.16</v>
      </c>
      <c r="H11" s="146">
        <v>1570</v>
      </c>
      <c r="I11" s="66" t="str">
        <v>Yes</v>
      </c>
      <c r="J11" s="133" t="s">
        <v>244</v>
      </c>
      <c r="K11" s="133">
        <f>_xlfn.IFNA(INDEX(Middles!$G$8:$G$88,MATCH($E$8:$E$62,ActivatedRecipe,0)),0)</f>
        <v>332</v>
      </c>
      <c r="L11" s="66">
        <f t="shared" si="9"/>
        <v>3190.4061371841153</v>
      </c>
      <c r="M11" s="133">
        <f>_xlfn.IFNA(INDEX(Middles!$H$8:$H$88,MATCH($E$8:$E$62,ActivatedRecipe,0)),0)</f>
        <v>718</v>
      </c>
      <c r="N11" s="69"/>
      <c r="O11" s="92" t="s">
        <v>639</v>
      </c>
      <c r="P11" s="147">
        <f t="shared" si="10"/>
        <v>0</v>
      </c>
      <c r="Q11" s="147">
        <f t="shared" si="11"/>
        <v>0</v>
      </c>
      <c r="R11" s="147">
        <f t="shared" si="12"/>
        <v>0</v>
      </c>
      <c r="S11" s="147">
        <f t="shared" si="13"/>
        <v>0</v>
      </c>
      <c r="T11" s="147">
        <f t="shared" si="14"/>
        <v>0</v>
      </c>
      <c r="U11" s="147">
        <f t="shared" si="15"/>
        <v>0</v>
      </c>
      <c r="V11" s="69"/>
      <c r="W11" s="147">
        <v>582.79669516559466</v>
      </c>
      <c r="X11" s="147">
        <v>954.77910158509792</v>
      </c>
      <c r="Y11" s="147">
        <v>310.86667441385572</v>
      </c>
      <c r="Z11" s="147">
        <v>82.476047449820044</v>
      </c>
      <c r="AA11" s="147">
        <v>0</v>
      </c>
      <c r="AB11" s="147">
        <v>394.56696664912545</v>
      </c>
      <c r="AC11" s="147">
        <v>146.92065287883514</v>
      </c>
      <c r="AD11" s="147">
        <v>0</v>
      </c>
      <c r="AE11" s="924">
        <f t="shared" si="16"/>
        <v>2472.4061381423285</v>
      </c>
      <c r="AF11" s="84"/>
      <c r="AG11" s="66">
        <f t="shared" si="17"/>
        <v>22.504971753649961</v>
      </c>
      <c r="AH11" s="139">
        <f t="shared" si="18"/>
        <v>25.16</v>
      </c>
      <c r="AI11" s="137">
        <f t="shared" si="19"/>
        <v>2.6550282463500388</v>
      </c>
      <c r="AJ11" s="69"/>
      <c r="AK11" s="66">
        <v>0</v>
      </c>
      <c r="AL11" s="66">
        <v>0</v>
      </c>
      <c r="AM11" s="66">
        <v>0</v>
      </c>
      <c r="AN11" s="66">
        <v>0</v>
      </c>
      <c r="AO11" s="66">
        <v>0</v>
      </c>
      <c r="AP11" s="66">
        <v>0</v>
      </c>
      <c r="AQ11" s="69"/>
      <c r="AR11" s="66">
        <v>30.85</v>
      </c>
      <c r="AS11" s="66">
        <v>20.78</v>
      </c>
      <c r="AT11" s="66">
        <v>7.84</v>
      </c>
      <c r="AU11" s="66">
        <v>3.07</v>
      </c>
      <c r="AV11" s="66">
        <v>0</v>
      </c>
      <c r="AW11" s="66">
        <v>6.27</v>
      </c>
      <c r="AX11" s="66">
        <v>6.02</v>
      </c>
      <c r="AY11" s="66">
        <v>0.01</v>
      </c>
      <c r="AZ11" s="66">
        <f t="array" ref="AZ11">SUMIF($W$2:$AD$2,"&gt;"&amp;0,AR11:AY11)</f>
        <v>74.83</v>
      </c>
      <c r="BA11" s="67">
        <f t="shared" si="20"/>
        <v>100</v>
      </c>
      <c r="BB11" s="84"/>
      <c r="BC11" s="71">
        <f t="shared" si="21"/>
        <v>0</v>
      </c>
      <c r="BD11" s="957">
        <v>-136.20841999999999</v>
      </c>
      <c r="BE11" s="69"/>
      <c r="BF11" s="66">
        <v>-51.838133124309721</v>
      </c>
      <c r="BG11" s="66">
        <v>-53.861189254037939</v>
      </c>
      <c r="BH11" s="66">
        <v>0</v>
      </c>
      <c r="BI11" s="66">
        <v>-6.5192973643300949</v>
      </c>
      <c r="BJ11" s="66">
        <v>0</v>
      </c>
      <c r="BK11" s="66">
        <v>0</v>
      </c>
      <c r="BL11" s="66">
        <v>-23.914288414349198</v>
      </c>
      <c r="BM11" s="66">
        <v>-7.5511842973059032E-2</v>
      </c>
      <c r="BN11" s="67">
        <f t="shared" si="22"/>
        <v>-23.989800257322258</v>
      </c>
      <c r="BO11" s="68">
        <f t="shared" si="7"/>
        <v>-136.20842000000002</v>
      </c>
      <c r="BP11" s="69"/>
      <c r="BQ11" s="133">
        <f t="shared" si="23"/>
        <v>22.504971753649961</v>
      </c>
      <c r="BR11" s="69"/>
      <c r="BS11" s="133">
        <f t="shared" si="24"/>
        <v>0</v>
      </c>
      <c r="BT11" s="133">
        <f t="shared" si="25"/>
        <v>0</v>
      </c>
      <c r="BU11" s="133">
        <f t="shared" si="26"/>
        <v>0</v>
      </c>
      <c r="BV11" s="133">
        <f t="shared" si="27"/>
        <v>0</v>
      </c>
      <c r="BW11" s="133">
        <f t="shared" si="28"/>
        <v>0</v>
      </c>
      <c r="BX11" s="144">
        <f t="shared" si="29"/>
        <v>0</v>
      </c>
      <c r="BY11" s="69"/>
      <c r="BZ11" s="133">
        <f t="shared" si="30"/>
        <v>18.267163179418183</v>
      </c>
      <c r="CA11" s="133">
        <f t="shared" si="31"/>
        <v>29.926569236974814</v>
      </c>
      <c r="CB11" s="133">
        <f t="shared" si="32"/>
        <v>9.74379627692886</v>
      </c>
      <c r="CC11" s="133">
        <f t="shared" si="33"/>
        <v>2.5851269055862032</v>
      </c>
      <c r="CD11" s="133">
        <f t="shared" si="34"/>
        <v>0</v>
      </c>
      <c r="CE11" s="144">
        <f t="shared" si="35"/>
        <v>12.367295876548628</v>
      </c>
      <c r="CF11" s="133">
        <f t="shared" si="36"/>
        <v>4.60507680092757</v>
      </c>
      <c r="CG11" s="133">
        <f t="shared" si="37"/>
        <v>0</v>
      </c>
      <c r="CH11" s="145">
        <f t="shared" si="8"/>
        <v>100.00000003003422</v>
      </c>
    </row>
    <row r="12" spans="1:86" ht="14.1" customHeight="1" x14ac:dyDescent="0.25">
      <c r="A12" s="70"/>
      <c r="B12" s="133" t="s">
        <v>112</v>
      </c>
      <c r="C12" s="133" t="s">
        <v>292</v>
      </c>
      <c r="D12" s="934" t="s">
        <v>556</v>
      </c>
      <c r="E12" s="133" t="s">
        <v>609</v>
      </c>
      <c r="F12" s="66"/>
      <c r="G12" s="66">
        <f>_xlfn.IFNA(INDEX(NewRecipeTable[Percentage Yield],MATCH(E12,NewRecipeTable[ShortCode],0)),0)</f>
        <v>25.96</v>
      </c>
      <c r="H12" s="146">
        <v>1570</v>
      </c>
      <c r="I12" s="66" t="str">
        <v>No</v>
      </c>
      <c r="J12" s="133" t="s">
        <v>244</v>
      </c>
      <c r="K12" s="133">
        <f>_xlfn.IFNA(INDEX(Middles!$G$8:$G$88,MATCH($E$8:$E$62,ActivatedRecipe,0)),0)</f>
        <v>0</v>
      </c>
      <c r="L12" s="66">
        <f t="shared" si="9"/>
        <v>0</v>
      </c>
      <c r="M12" s="133">
        <f>_xlfn.IFNA(INDEX(Middles!$H$8:$H$88,MATCH($E$8:$E$62,ActivatedRecipe,0)),0)</f>
        <v>0</v>
      </c>
      <c r="N12" s="69"/>
      <c r="O12" s="92" t="s">
        <v>639</v>
      </c>
      <c r="P12" s="147">
        <f t="shared" si="10"/>
        <v>0</v>
      </c>
      <c r="Q12" s="147">
        <f t="shared" si="11"/>
        <v>0</v>
      </c>
      <c r="R12" s="147">
        <f t="shared" si="12"/>
        <v>0</v>
      </c>
      <c r="S12" s="147">
        <f t="shared" si="13"/>
        <v>0</v>
      </c>
      <c r="T12" s="147">
        <f t="shared" si="14"/>
        <v>0</v>
      </c>
      <c r="U12" s="147">
        <f t="shared" si="15"/>
        <v>0</v>
      </c>
      <c r="V12" s="69"/>
      <c r="W12" s="147">
        <v>0</v>
      </c>
      <c r="X12" s="147">
        <v>0</v>
      </c>
      <c r="Y12" s="147">
        <v>0</v>
      </c>
      <c r="Z12" s="147">
        <v>0</v>
      </c>
      <c r="AA12" s="147">
        <v>0</v>
      </c>
      <c r="AB12" s="147">
        <v>0</v>
      </c>
      <c r="AC12" s="147">
        <v>0</v>
      </c>
      <c r="AD12" s="147">
        <v>0</v>
      </c>
      <c r="AE12" s="924">
        <f t="shared" si="16"/>
        <v>0</v>
      </c>
      <c r="AF12" s="84"/>
      <c r="AG12" s="66">
        <f t="shared" si="17"/>
        <v>0</v>
      </c>
      <c r="AH12" s="139">
        <f t="shared" si="18"/>
        <v>0</v>
      </c>
      <c r="AI12" s="137">
        <f t="shared" si="19"/>
        <v>0</v>
      </c>
      <c r="AJ12" s="69"/>
      <c r="AK12" s="66">
        <v>0</v>
      </c>
      <c r="AL12" s="66">
        <v>0</v>
      </c>
      <c r="AM12" s="66">
        <v>0</v>
      </c>
      <c r="AN12" s="66">
        <v>0</v>
      </c>
      <c r="AO12" s="66">
        <v>0</v>
      </c>
      <c r="AP12" s="66">
        <v>0</v>
      </c>
      <c r="AQ12" s="69"/>
      <c r="AR12" s="66">
        <v>0</v>
      </c>
      <c r="AS12" s="66">
        <v>0</v>
      </c>
      <c r="AT12" s="66">
        <v>0</v>
      </c>
      <c r="AU12" s="66">
        <v>0</v>
      </c>
      <c r="AV12" s="66">
        <v>0</v>
      </c>
      <c r="AW12" s="66">
        <v>0</v>
      </c>
      <c r="AX12" s="66">
        <v>0</v>
      </c>
      <c r="AY12" s="66">
        <v>0</v>
      </c>
      <c r="AZ12" s="66">
        <f t="array" ref="AZ12">SUMIF($W$2:$AD$2,"&gt;"&amp;0,AR12:AY12)</f>
        <v>0</v>
      </c>
      <c r="BA12" s="67">
        <f t="shared" si="20"/>
        <v>0</v>
      </c>
      <c r="BB12" s="84"/>
      <c r="BC12" s="71">
        <f t="shared" si="21"/>
        <v>0</v>
      </c>
      <c r="BD12" s="957"/>
      <c r="BE12" s="70"/>
      <c r="BF12" s="66">
        <v>0</v>
      </c>
      <c r="BG12" s="66">
        <v>0</v>
      </c>
      <c r="BH12" s="66">
        <v>0</v>
      </c>
      <c r="BI12" s="66">
        <v>0</v>
      </c>
      <c r="BJ12" s="66">
        <v>0</v>
      </c>
      <c r="BK12" s="66">
        <v>0</v>
      </c>
      <c r="BL12" s="66">
        <v>0</v>
      </c>
      <c r="BM12" s="66">
        <v>0</v>
      </c>
      <c r="BN12" s="67">
        <f t="shared" si="22"/>
        <v>0</v>
      </c>
      <c r="BO12" s="68">
        <f t="shared" si="7"/>
        <v>0</v>
      </c>
      <c r="BP12" s="69"/>
      <c r="BQ12" s="133">
        <f t="shared" si="23"/>
        <v>0</v>
      </c>
      <c r="BR12" s="69"/>
      <c r="BS12" s="133">
        <f t="shared" si="24"/>
        <v>0</v>
      </c>
      <c r="BT12" s="133">
        <f t="shared" si="25"/>
        <v>0</v>
      </c>
      <c r="BU12" s="133">
        <f t="shared" si="26"/>
        <v>0</v>
      </c>
      <c r="BV12" s="133">
        <f t="shared" si="27"/>
        <v>0</v>
      </c>
      <c r="BW12" s="133">
        <f t="shared" si="28"/>
        <v>0</v>
      </c>
      <c r="BX12" s="144">
        <f t="shared" si="29"/>
        <v>0</v>
      </c>
      <c r="BY12" s="69"/>
      <c r="BZ12" s="133">
        <f t="shared" si="30"/>
        <v>0</v>
      </c>
      <c r="CA12" s="133">
        <f t="shared" si="31"/>
        <v>0</v>
      </c>
      <c r="CB12" s="133">
        <f t="shared" si="32"/>
        <v>0</v>
      </c>
      <c r="CC12" s="133">
        <f t="shared" si="33"/>
        <v>0</v>
      </c>
      <c r="CD12" s="133">
        <f t="shared" si="34"/>
        <v>0</v>
      </c>
      <c r="CE12" s="144">
        <f t="shared" si="35"/>
        <v>0</v>
      </c>
      <c r="CF12" s="133">
        <f t="shared" si="36"/>
        <v>0</v>
      </c>
      <c r="CG12" s="133">
        <f t="shared" si="37"/>
        <v>0</v>
      </c>
      <c r="CH12" s="145">
        <f t="shared" si="8"/>
        <v>0</v>
      </c>
    </row>
    <row r="13" spans="1:86" ht="14.1" customHeight="1" x14ac:dyDescent="0.25">
      <c r="A13" s="70"/>
      <c r="B13" s="133" t="s">
        <v>112</v>
      </c>
      <c r="C13" s="133" t="s">
        <v>292</v>
      </c>
      <c r="D13" s="934" t="s">
        <v>558</v>
      </c>
      <c r="E13" s="133" t="s">
        <v>642</v>
      </c>
      <c r="F13" s="66"/>
      <c r="G13" s="66">
        <f>_xlfn.IFNA(INDEX(NewRecipeTable[Percentage Yield],MATCH(E13,NewRecipeTable[ShortCode],0)),0)</f>
        <v>25.86</v>
      </c>
      <c r="H13" s="146">
        <v>1570</v>
      </c>
      <c r="I13" s="66" t="str">
        <v>No</v>
      </c>
      <c r="J13" s="133" t="s">
        <v>244</v>
      </c>
      <c r="K13" s="133">
        <f>_xlfn.IFNA(INDEX(Middles!$G$8:$G$88,MATCH($E$8:$E$62,ActivatedRecipe,0)),0)</f>
        <v>0</v>
      </c>
      <c r="L13" s="66">
        <f t="shared" si="9"/>
        <v>0</v>
      </c>
      <c r="M13" s="133">
        <f>_xlfn.IFNA(INDEX(Middles!$H$8:$H$88,MATCH($E$8:$E$62,ActivatedRecipe,0)),0)</f>
        <v>0</v>
      </c>
      <c r="N13" s="69"/>
      <c r="O13" s="92" t="s">
        <v>639</v>
      </c>
      <c r="P13" s="147">
        <f t="shared" si="10"/>
        <v>0</v>
      </c>
      <c r="Q13" s="147">
        <f t="shared" si="11"/>
        <v>0</v>
      </c>
      <c r="R13" s="147">
        <f t="shared" si="12"/>
        <v>0</v>
      </c>
      <c r="S13" s="147">
        <f t="shared" si="13"/>
        <v>0</v>
      </c>
      <c r="T13" s="147">
        <f t="shared" si="14"/>
        <v>0</v>
      </c>
      <c r="U13" s="147">
        <f t="shared" si="15"/>
        <v>0</v>
      </c>
      <c r="V13" s="69"/>
      <c r="W13" s="147">
        <v>0</v>
      </c>
      <c r="X13" s="147">
        <v>0</v>
      </c>
      <c r="Y13" s="147">
        <v>0</v>
      </c>
      <c r="Z13" s="147">
        <v>0</v>
      </c>
      <c r="AA13" s="147">
        <v>0</v>
      </c>
      <c r="AB13" s="147">
        <v>0</v>
      </c>
      <c r="AC13" s="147">
        <v>0</v>
      </c>
      <c r="AD13" s="147">
        <v>0</v>
      </c>
      <c r="AE13" s="924">
        <f t="shared" si="16"/>
        <v>0</v>
      </c>
      <c r="AF13" s="84"/>
      <c r="AG13" s="66">
        <f t="shared" si="17"/>
        <v>0</v>
      </c>
      <c r="AH13" s="139">
        <f t="shared" si="18"/>
        <v>0</v>
      </c>
      <c r="AI13" s="137">
        <f t="shared" si="19"/>
        <v>0</v>
      </c>
      <c r="AJ13" s="69"/>
      <c r="AK13" s="66">
        <v>0</v>
      </c>
      <c r="AL13" s="66">
        <v>0</v>
      </c>
      <c r="AM13" s="66">
        <v>0</v>
      </c>
      <c r="AN13" s="66">
        <v>0</v>
      </c>
      <c r="AO13" s="66">
        <v>0</v>
      </c>
      <c r="AP13" s="66">
        <v>0</v>
      </c>
      <c r="AQ13" s="69"/>
      <c r="AR13" s="66">
        <v>0</v>
      </c>
      <c r="AS13" s="66">
        <v>0</v>
      </c>
      <c r="AT13" s="66">
        <v>0</v>
      </c>
      <c r="AU13" s="66">
        <v>0</v>
      </c>
      <c r="AV13" s="66">
        <v>0</v>
      </c>
      <c r="AW13" s="66">
        <v>0</v>
      </c>
      <c r="AX13" s="66">
        <v>0</v>
      </c>
      <c r="AY13" s="66">
        <v>0</v>
      </c>
      <c r="AZ13" s="66">
        <f t="array" ref="AZ13">SUMIF($W$2:$AD$2,"&gt;"&amp;0,AR13:AY13)</f>
        <v>0</v>
      </c>
      <c r="BA13" s="67">
        <f t="shared" si="20"/>
        <v>0</v>
      </c>
      <c r="BB13" s="84"/>
      <c r="BC13" s="71">
        <f t="shared" si="21"/>
        <v>0</v>
      </c>
      <c r="BD13" s="958"/>
      <c r="BE13" s="70"/>
      <c r="BF13" s="66">
        <v>0</v>
      </c>
      <c r="BG13" s="66">
        <v>0</v>
      </c>
      <c r="BH13" s="66">
        <v>0</v>
      </c>
      <c r="BI13" s="66">
        <v>0</v>
      </c>
      <c r="BJ13" s="66">
        <v>0</v>
      </c>
      <c r="BK13" s="66">
        <v>0</v>
      </c>
      <c r="BL13" s="66">
        <v>0</v>
      </c>
      <c r="BM13" s="66">
        <v>0</v>
      </c>
      <c r="BN13" s="67">
        <f t="shared" si="22"/>
        <v>0</v>
      </c>
      <c r="BO13" s="68">
        <f t="shared" si="7"/>
        <v>0</v>
      </c>
      <c r="BP13" s="69"/>
      <c r="BQ13" s="133">
        <f t="shared" si="23"/>
        <v>0</v>
      </c>
      <c r="BR13" s="69"/>
      <c r="BS13" s="133">
        <f t="shared" si="24"/>
        <v>0</v>
      </c>
      <c r="BT13" s="133">
        <f t="shared" si="25"/>
        <v>0</v>
      </c>
      <c r="BU13" s="133">
        <f t="shared" si="26"/>
        <v>0</v>
      </c>
      <c r="BV13" s="133">
        <f t="shared" si="27"/>
        <v>0</v>
      </c>
      <c r="BW13" s="133">
        <f t="shared" si="28"/>
        <v>0</v>
      </c>
      <c r="BX13" s="144">
        <f t="shared" si="29"/>
        <v>0</v>
      </c>
      <c r="BY13" s="69"/>
      <c r="BZ13" s="133">
        <f t="shared" si="30"/>
        <v>0</v>
      </c>
      <c r="CA13" s="133">
        <f t="shared" si="31"/>
        <v>0</v>
      </c>
      <c r="CB13" s="133">
        <f t="shared" si="32"/>
        <v>0</v>
      </c>
      <c r="CC13" s="133">
        <f t="shared" si="33"/>
        <v>0</v>
      </c>
      <c r="CD13" s="133">
        <f t="shared" si="34"/>
        <v>0</v>
      </c>
      <c r="CE13" s="144">
        <f t="shared" si="35"/>
        <v>0</v>
      </c>
      <c r="CF13" s="133">
        <f t="shared" si="36"/>
        <v>0</v>
      </c>
      <c r="CG13" s="133">
        <f t="shared" si="37"/>
        <v>0</v>
      </c>
      <c r="CH13" s="145">
        <f t="shared" si="8"/>
        <v>0</v>
      </c>
    </row>
    <row r="14" spans="1:86" ht="14.1" customHeight="1" x14ac:dyDescent="0.25">
      <c r="A14" s="70"/>
      <c r="B14" s="133" t="s">
        <v>112</v>
      </c>
      <c r="C14" s="133" t="s">
        <v>292</v>
      </c>
      <c r="D14" s="934" t="s">
        <v>560</v>
      </c>
      <c r="E14" s="133" t="s">
        <v>610</v>
      </c>
      <c r="F14" s="66"/>
      <c r="G14" s="66">
        <f>_xlfn.IFNA(INDEX(NewRecipeTable[Percentage Yield],MATCH(E14,NewRecipeTable[ShortCode],0)),0)</f>
        <v>24.7</v>
      </c>
      <c r="H14" s="146">
        <v>1570</v>
      </c>
      <c r="I14" s="66" t="str">
        <v>No</v>
      </c>
      <c r="J14" s="133" t="s">
        <v>244</v>
      </c>
      <c r="K14" s="133">
        <f>_xlfn.IFNA(INDEX(Middles!$G$8:$G$88,MATCH($E$8:$E$62,ActivatedRecipe,0)),0)</f>
        <v>0</v>
      </c>
      <c r="L14" s="66">
        <f t="shared" si="9"/>
        <v>0</v>
      </c>
      <c r="M14" s="133">
        <f>_xlfn.IFNA(INDEX(Middles!$H$8:$H$88,MATCH($E$8:$E$62,ActivatedRecipe,0)),0)</f>
        <v>0</v>
      </c>
      <c r="N14" s="69"/>
      <c r="O14" s="92" t="s">
        <v>639</v>
      </c>
      <c r="P14" s="147">
        <f t="shared" si="10"/>
        <v>0</v>
      </c>
      <c r="Q14" s="147">
        <f t="shared" si="11"/>
        <v>0</v>
      </c>
      <c r="R14" s="147">
        <f t="shared" si="12"/>
        <v>0</v>
      </c>
      <c r="S14" s="147">
        <f t="shared" si="13"/>
        <v>0</v>
      </c>
      <c r="T14" s="147">
        <f t="shared" si="14"/>
        <v>0</v>
      </c>
      <c r="U14" s="147">
        <f t="shared" si="15"/>
        <v>0</v>
      </c>
      <c r="V14" s="69"/>
      <c r="W14" s="147">
        <v>0</v>
      </c>
      <c r="X14" s="147">
        <v>0</v>
      </c>
      <c r="Y14" s="147">
        <v>0</v>
      </c>
      <c r="Z14" s="147">
        <v>0</v>
      </c>
      <c r="AA14" s="147">
        <v>0</v>
      </c>
      <c r="AB14" s="147">
        <v>0</v>
      </c>
      <c r="AC14" s="147">
        <v>0</v>
      </c>
      <c r="AD14" s="147">
        <v>0</v>
      </c>
      <c r="AE14" s="924">
        <f t="shared" si="16"/>
        <v>0</v>
      </c>
      <c r="AF14" s="84"/>
      <c r="AG14" s="66">
        <f t="shared" si="17"/>
        <v>0</v>
      </c>
      <c r="AH14" s="139">
        <f t="shared" si="18"/>
        <v>0</v>
      </c>
      <c r="AI14" s="137">
        <f t="shared" si="19"/>
        <v>0</v>
      </c>
      <c r="AJ14" s="69"/>
      <c r="AK14" s="66">
        <v>0</v>
      </c>
      <c r="AL14" s="66">
        <v>0</v>
      </c>
      <c r="AM14" s="66">
        <v>0</v>
      </c>
      <c r="AN14" s="66">
        <v>0</v>
      </c>
      <c r="AO14" s="66">
        <v>0</v>
      </c>
      <c r="AP14" s="66">
        <v>0</v>
      </c>
      <c r="AQ14" s="69"/>
      <c r="AR14" s="66">
        <v>0</v>
      </c>
      <c r="AS14" s="66">
        <v>0</v>
      </c>
      <c r="AT14" s="66">
        <v>0</v>
      </c>
      <c r="AU14" s="66">
        <v>0</v>
      </c>
      <c r="AV14" s="66">
        <v>0</v>
      </c>
      <c r="AW14" s="66">
        <v>0</v>
      </c>
      <c r="AX14" s="66">
        <v>0</v>
      </c>
      <c r="AY14" s="66">
        <v>0</v>
      </c>
      <c r="AZ14" s="66">
        <f t="array" ref="AZ14">SUMIF($W$2:$AD$2,"&gt;"&amp;0,AR14:AY14)</f>
        <v>0</v>
      </c>
      <c r="BA14" s="67">
        <f t="shared" si="20"/>
        <v>0</v>
      </c>
      <c r="BB14" s="84"/>
      <c r="BC14" s="71">
        <f t="shared" si="21"/>
        <v>0</v>
      </c>
      <c r="BD14" s="957"/>
      <c r="BE14" s="70"/>
      <c r="BF14" s="66">
        <v>0</v>
      </c>
      <c r="BG14" s="66">
        <v>0</v>
      </c>
      <c r="BH14" s="66">
        <v>0</v>
      </c>
      <c r="BI14" s="66">
        <v>0</v>
      </c>
      <c r="BJ14" s="66">
        <v>0</v>
      </c>
      <c r="BK14" s="66">
        <v>0</v>
      </c>
      <c r="BL14" s="66">
        <v>0</v>
      </c>
      <c r="BM14" s="66">
        <v>0</v>
      </c>
      <c r="BN14" s="67">
        <f t="shared" si="22"/>
        <v>0</v>
      </c>
      <c r="BO14" s="68">
        <f t="shared" si="7"/>
        <v>0</v>
      </c>
      <c r="BP14" s="69"/>
      <c r="BQ14" s="133">
        <f t="shared" si="23"/>
        <v>0</v>
      </c>
      <c r="BR14" s="69"/>
      <c r="BS14" s="133">
        <f t="shared" si="24"/>
        <v>0</v>
      </c>
      <c r="BT14" s="133">
        <f t="shared" si="25"/>
        <v>0</v>
      </c>
      <c r="BU14" s="133">
        <f t="shared" si="26"/>
        <v>0</v>
      </c>
      <c r="BV14" s="133">
        <f t="shared" si="27"/>
        <v>0</v>
      </c>
      <c r="BW14" s="133">
        <f t="shared" si="28"/>
        <v>0</v>
      </c>
      <c r="BX14" s="144">
        <f t="shared" si="29"/>
        <v>0</v>
      </c>
      <c r="BY14" s="69"/>
      <c r="BZ14" s="133">
        <f t="shared" si="30"/>
        <v>0</v>
      </c>
      <c r="CA14" s="133">
        <f t="shared" si="31"/>
        <v>0</v>
      </c>
      <c r="CB14" s="133">
        <f t="shared" si="32"/>
        <v>0</v>
      </c>
      <c r="CC14" s="133">
        <f t="shared" si="33"/>
        <v>0</v>
      </c>
      <c r="CD14" s="133">
        <f t="shared" si="34"/>
        <v>0</v>
      </c>
      <c r="CE14" s="144">
        <f t="shared" si="35"/>
        <v>0</v>
      </c>
      <c r="CF14" s="133">
        <f t="shared" si="36"/>
        <v>0</v>
      </c>
      <c r="CG14" s="133">
        <f t="shared" si="37"/>
        <v>0</v>
      </c>
      <c r="CH14" s="145">
        <f t="shared" si="8"/>
        <v>0</v>
      </c>
    </row>
    <row r="15" spans="1:86" ht="14.1" customHeight="1" x14ac:dyDescent="0.25">
      <c r="A15" s="70"/>
      <c r="B15" s="133" t="s">
        <v>112</v>
      </c>
      <c r="C15" s="133" t="s">
        <v>292</v>
      </c>
      <c r="D15" s="934" t="s">
        <v>562</v>
      </c>
      <c r="E15" s="133" t="s">
        <v>611</v>
      </c>
      <c r="F15" s="66"/>
      <c r="G15" s="66">
        <f>_xlfn.IFNA(INDEX(NewRecipeTable[Percentage Yield],MATCH(E15,NewRecipeTable[ShortCode],0)),0)</f>
        <v>29.8</v>
      </c>
      <c r="H15" s="146">
        <v>1570</v>
      </c>
      <c r="I15" s="66" t="str">
        <v>No</v>
      </c>
      <c r="J15" s="133" t="s">
        <v>244</v>
      </c>
      <c r="K15" s="133">
        <f>_xlfn.IFNA(INDEX(Middles!$G$8:$G$88,MATCH($E$8:$E$62,ActivatedRecipe,0)),0)</f>
        <v>0</v>
      </c>
      <c r="L15" s="66">
        <f t="shared" si="9"/>
        <v>0</v>
      </c>
      <c r="M15" s="133">
        <f>_xlfn.IFNA(INDEX(Middles!$H$8:$H$88,MATCH($E$8:$E$62,ActivatedRecipe,0)),0)</f>
        <v>0</v>
      </c>
      <c r="N15" s="69"/>
      <c r="O15" s="92" t="s">
        <v>639</v>
      </c>
      <c r="P15" s="147">
        <f t="shared" si="10"/>
        <v>0</v>
      </c>
      <c r="Q15" s="147">
        <f t="shared" si="11"/>
        <v>0</v>
      </c>
      <c r="R15" s="147">
        <f t="shared" si="12"/>
        <v>0</v>
      </c>
      <c r="S15" s="147">
        <f t="shared" si="13"/>
        <v>0</v>
      </c>
      <c r="T15" s="147">
        <f t="shared" si="14"/>
        <v>0</v>
      </c>
      <c r="U15" s="147">
        <f t="shared" si="15"/>
        <v>0</v>
      </c>
      <c r="V15" s="69"/>
      <c r="W15" s="147">
        <v>0</v>
      </c>
      <c r="X15" s="147">
        <v>0</v>
      </c>
      <c r="Y15" s="147">
        <v>0</v>
      </c>
      <c r="Z15" s="147">
        <v>0</v>
      </c>
      <c r="AA15" s="147">
        <v>0</v>
      </c>
      <c r="AB15" s="147">
        <v>0</v>
      </c>
      <c r="AC15" s="147">
        <v>0</v>
      </c>
      <c r="AD15" s="147">
        <v>0</v>
      </c>
      <c r="AE15" s="924">
        <f t="shared" si="16"/>
        <v>0</v>
      </c>
      <c r="AF15" s="84"/>
      <c r="AG15" s="66">
        <f t="shared" si="17"/>
        <v>0</v>
      </c>
      <c r="AH15" s="139">
        <f t="shared" si="18"/>
        <v>0</v>
      </c>
      <c r="AI15" s="137">
        <f t="shared" si="19"/>
        <v>0</v>
      </c>
      <c r="AJ15" s="69"/>
      <c r="AK15" s="66">
        <v>0</v>
      </c>
      <c r="AL15" s="66">
        <v>0</v>
      </c>
      <c r="AM15" s="66">
        <v>0</v>
      </c>
      <c r="AN15" s="66">
        <v>0</v>
      </c>
      <c r="AO15" s="66">
        <v>0</v>
      </c>
      <c r="AP15" s="66">
        <v>0</v>
      </c>
      <c r="AQ15" s="69"/>
      <c r="AR15" s="66">
        <v>0</v>
      </c>
      <c r="AS15" s="66">
        <v>0</v>
      </c>
      <c r="AT15" s="66">
        <v>0</v>
      </c>
      <c r="AU15" s="66">
        <v>0</v>
      </c>
      <c r="AV15" s="66">
        <v>0</v>
      </c>
      <c r="AW15" s="66">
        <v>0</v>
      </c>
      <c r="AX15" s="66">
        <v>0</v>
      </c>
      <c r="AY15" s="66">
        <v>0</v>
      </c>
      <c r="AZ15" s="66">
        <f t="array" ref="AZ15">SUMIF($W$2:$AD$2,"&gt;"&amp;0,AR15:AY15)</f>
        <v>0</v>
      </c>
      <c r="BA15" s="67">
        <f t="shared" si="20"/>
        <v>0</v>
      </c>
      <c r="BB15" s="84"/>
      <c r="BC15" s="71">
        <f t="shared" si="21"/>
        <v>0</v>
      </c>
      <c r="BD15" s="957"/>
      <c r="BE15" s="70"/>
      <c r="BF15" s="66">
        <v>0</v>
      </c>
      <c r="BG15" s="66">
        <v>0</v>
      </c>
      <c r="BH15" s="66">
        <v>0</v>
      </c>
      <c r="BI15" s="66">
        <v>0</v>
      </c>
      <c r="BJ15" s="66">
        <v>0</v>
      </c>
      <c r="BK15" s="66">
        <v>0</v>
      </c>
      <c r="BL15" s="66">
        <v>0</v>
      </c>
      <c r="BM15" s="66">
        <v>0</v>
      </c>
      <c r="BN15" s="67">
        <f t="shared" si="22"/>
        <v>0</v>
      </c>
      <c r="BO15" s="68">
        <f t="shared" si="7"/>
        <v>0</v>
      </c>
      <c r="BP15" s="69"/>
      <c r="BQ15" s="133">
        <f t="shared" si="23"/>
        <v>0</v>
      </c>
      <c r="BR15" s="69"/>
      <c r="BS15" s="133">
        <f t="shared" si="24"/>
        <v>0</v>
      </c>
      <c r="BT15" s="133">
        <f t="shared" si="25"/>
        <v>0</v>
      </c>
      <c r="BU15" s="133">
        <f t="shared" si="26"/>
        <v>0</v>
      </c>
      <c r="BV15" s="133">
        <f t="shared" si="27"/>
        <v>0</v>
      </c>
      <c r="BW15" s="133">
        <f t="shared" si="28"/>
        <v>0</v>
      </c>
      <c r="BX15" s="144">
        <f t="shared" si="29"/>
        <v>0</v>
      </c>
      <c r="BY15" s="69"/>
      <c r="BZ15" s="133">
        <f t="shared" si="30"/>
        <v>0</v>
      </c>
      <c r="CA15" s="133">
        <f t="shared" si="31"/>
        <v>0</v>
      </c>
      <c r="CB15" s="133">
        <f t="shared" si="32"/>
        <v>0</v>
      </c>
      <c r="CC15" s="133">
        <f t="shared" si="33"/>
        <v>0</v>
      </c>
      <c r="CD15" s="133">
        <f t="shared" si="34"/>
        <v>0</v>
      </c>
      <c r="CE15" s="144">
        <f t="shared" si="35"/>
        <v>0</v>
      </c>
      <c r="CF15" s="133">
        <f t="shared" si="36"/>
        <v>0</v>
      </c>
      <c r="CG15" s="133">
        <f t="shared" si="37"/>
        <v>0</v>
      </c>
      <c r="CH15" s="145">
        <f t="shared" si="8"/>
        <v>0</v>
      </c>
    </row>
    <row r="16" spans="1:86" ht="14.1" customHeight="1" x14ac:dyDescent="0.25">
      <c r="A16" s="70"/>
      <c r="B16" s="133" t="s">
        <v>112</v>
      </c>
      <c r="C16" s="133" t="s">
        <v>292</v>
      </c>
      <c r="D16" s="934" t="s">
        <v>111</v>
      </c>
      <c r="E16" s="133" t="s">
        <v>145</v>
      </c>
      <c r="F16" s="66"/>
      <c r="G16" s="66">
        <f>_xlfn.IFNA(INDEX(NewRecipeTable[Percentage Yield],MATCH(E16,NewRecipeTable[ShortCode],0)),0)</f>
        <v>25.96</v>
      </c>
      <c r="H16" s="146">
        <v>1570</v>
      </c>
      <c r="I16" s="66" t="str">
        <v>No</v>
      </c>
      <c r="J16" s="133" t="s">
        <v>244</v>
      </c>
      <c r="K16" s="133">
        <f>_xlfn.IFNA(INDEX(Middles!$G$8:$G$88,MATCH($E$8:$E$62,ActivatedRecipe,0)),0)</f>
        <v>0</v>
      </c>
      <c r="L16" s="66">
        <f t="shared" si="9"/>
        <v>0</v>
      </c>
      <c r="M16" s="133">
        <f>_xlfn.IFNA(INDEX(Middles!$H$8:$H$88,MATCH($E$8:$E$62,ActivatedRecipe,0)),0)</f>
        <v>0</v>
      </c>
      <c r="N16" s="69"/>
      <c r="O16" s="92" t="s">
        <v>639</v>
      </c>
      <c r="P16" s="147">
        <f t="shared" si="10"/>
        <v>0</v>
      </c>
      <c r="Q16" s="147">
        <f t="shared" si="11"/>
        <v>0</v>
      </c>
      <c r="R16" s="147">
        <f t="shared" si="12"/>
        <v>0</v>
      </c>
      <c r="S16" s="147">
        <f t="shared" si="13"/>
        <v>0</v>
      </c>
      <c r="T16" s="147">
        <f t="shared" si="14"/>
        <v>0</v>
      </c>
      <c r="U16" s="147">
        <f t="shared" si="15"/>
        <v>0</v>
      </c>
      <c r="V16" s="69"/>
      <c r="W16" s="147">
        <v>0</v>
      </c>
      <c r="X16" s="147">
        <v>0</v>
      </c>
      <c r="Y16" s="147">
        <v>0</v>
      </c>
      <c r="Z16" s="147">
        <v>0</v>
      </c>
      <c r="AA16" s="147">
        <v>0</v>
      </c>
      <c r="AB16" s="147">
        <v>0</v>
      </c>
      <c r="AC16" s="147">
        <v>0</v>
      </c>
      <c r="AD16" s="147">
        <v>0</v>
      </c>
      <c r="AE16" s="924">
        <f t="shared" si="16"/>
        <v>0</v>
      </c>
      <c r="AF16" s="84"/>
      <c r="AG16" s="66">
        <f t="shared" si="17"/>
        <v>0</v>
      </c>
      <c r="AH16" s="139">
        <f t="shared" si="18"/>
        <v>0</v>
      </c>
      <c r="AI16" s="137">
        <f t="shared" si="19"/>
        <v>0</v>
      </c>
      <c r="AJ16" s="69"/>
      <c r="AK16" s="66">
        <v>0</v>
      </c>
      <c r="AL16" s="66">
        <v>0</v>
      </c>
      <c r="AM16" s="66">
        <v>0</v>
      </c>
      <c r="AN16" s="66">
        <v>0</v>
      </c>
      <c r="AO16" s="66">
        <v>0</v>
      </c>
      <c r="AP16" s="66">
        <v>0</v>
      </c>
      <c r="AQ16" s="69"/>
      <c r="AR16" s="66">
        <v>0</v>
      </c>
      <c r="AS16" s="66">
        <v>0</v>
      </c>
      <c r="AT16" s="66">
        <v>0</v>
      </c>
      <c r="AU16" s="66">
        <v>0</v>
      </c>
      <c r="AV16" s="66">
        <v>0</v>
      </c>
      <c r="AW16" s="66">
        <v>0</v>
      </c>
      <c r="AX16" s="66">
        <v>0</v>
      </c>
      <c r="AY16" s="66">
        <v>0</v>
      </c>
      <c r="AZ16" s="66">
        <f t="array" ref="AZ16">SUMIF($W$2:$AD$2,"&gt;"&amp;0,AR16:AY16)</f>
        <v>0</v>
      </c>
      <c r="BA16" s="67">
        <f t="shared" si="20"/>
        <v>0</v>
      </c>
      <c r="BB16" s="84"/>
      <c r="BC16" s="71">
        <f t="shared" si="21"/>
        <v>0</v>
      </c>
      <c r="BD16" s="957"/>
      <c r="BE16" s="70"/>
      <c r="BF16" s="66">
        <v>0</v>
      </c>
      <c r="BG16" s="66">
        <v>0</v>
      </c>
      <c r="BH16" s="66">
        <v>0</v>
      </c>
      <c r="BI16" s="66">
        <v>0</v>
      </c>
      <c r="BJ16" s="66">
        <v>0</v>
      </c>
      <c r="BK16" s="66">
        <v>0</v>
      </c>
      <c r="BL16" s="66">
        <v>0</v>
      </c>
      <c r="BM16" s="66">
        <v>0</v>
      </c>
      <c r="BN16" s="67">
        <f t="shared" si="22"/>
        <v>0</v>
      </c>
      <c r="BO16" s="68">
        <f t="shared" si="7"/>
        <v>0</v>
      </c>
      <c r="BP16" s="69"/>
      <c r="BQ16" s="133">
        <f t="shared" si="23"/>
        <v>0</v>
      </c>
      <c r="BR16" s="69"/>
      <c r="BS16" s="133">
        <f t="shared" si="24"/>
        <v>0</v>
      </c>
      <c r="BT16" s="133">
        <f t="shared" si="25"/>
        <v>0</v>
      </c>
      <c r="BU16" s="133">
        <f t="shared" si="26"/>
        <v>0</v>
      </c>
      <c r="BV16" s="133">
        <f t="shared" si="27"/>
        <v>0</v>
      </c>
      <c r="BW16" s="133">
        <f t="shared" si="28"/>
        <v>0</v>
      </c>
      <c r="BX16" s="144">
        <f t="shared" si="29"/>
        <v>0</v>
      </c>
      <c r="BY16" s="69"/>
      <c r="BZ16" s="133">
        <f t="shared" si="30"/>
        <v>0</v>
      </c>
      <c r="CA16" s="133">
        <f t="shared" si="31"/>
        <v>0</v>
      </c>
      <c r="CB16" s="133">
        <f t="shared" si="32"/>
        <v>0</v>
      </c>
      <c r="CC16" s="133">
        <f t="shared" si="33"/>
        <v>0</v>
      </c>
      <c r="CD16" s="133">
        <f t="shared" si="34"/>
        <v>0</v>
      </c>
      <c r="CE16" s="144">
        <f t="shared" si="35"/>
        <v>0</v>
      </c>
      <c r="CF16" s="133">
        <f t="shared" si="36"/>
        <v>0</v>
      </c>
      <c r="CG16" s="133">
        <f t="shared" si="37"/>
        <v>0</v>
      </c>
      <c r="CH16" s="145">
        <f t="shared" si="8"/>
        <v>0</v>
      </c>
    </row>
    <row r="17" spans="1:86" ht="14.1" customHeight="1" x14ac:dyDescent="0.25">
      <c r="A17" s="70"/>
      <c r="B17" s="133" t="s">
        <v>1357</v>
      </c>
      <c r="C17" s="133" t="s">
        <v>1358</v>
      </c>
      <c r="D17" s="934" t="s">
        <v>1355</v>
      </c>
      <c r="E17" s="133" t="s">
        <v>1533</v>
      </c>
      <c r="F17" s="66"/>
      <c r="G17" s="66">
        <f>_xlfn.IFNA(INDEX(NewRecipeTable[Percentage Yield],MATCH(E17,NewRecipeTable[ShortCode],0)),0)</f>
        <v>88.4</v>
      </c>
      <c r="H17" s="146">
        <v>1570</v>
      </c>
      <c r="I17" s="66" t="str">
        <v>No</v>
      </c>
      <c r="J17" s="133" t="s">
        <v>244</v>
      </c>
      <c r="K17" s="133">
        <f>_xlfn.IFNA(INDEX(Middles!$G$8:$G$88,MATCH($E$8:$E$62,ActivatedRecipe,0)),0)</f>
        <v>0</v>
      </c>
      <c r="L17" s="66">
        <f t="shared" si="9"/>
        <v>0</v>
      </c>
      <c r="M17" s="133">
        <f>_xlfn.IFNA(INDEX(Middles!$H$8:$H$88,MATCH($E$8:$E$62,ActivatedRecipe,0)),0)</f>
        <v>0</v>
      </c>
      <c r="N17" s="69"/>
      <c r="O17" s="92" t="s">
        <v>639</v>
      </c>
      <c r="P17" s="147">
        <f t="shared" si="10"/>
        <v>0</v>
      </c>
      <c r="Q17" s="147">
        <f t="shared" si="11"/>
        <v>0</v>
      </c>
      <c r="R17" s="147">
        <f t="shared" si="12"/>
        <v>0</v>
      </c>
      <c r="S17" s="147">
        <f t="shared" si="13"/>
        <v>0</v>
      </c>
      <c r="T17" s="147">
        <f t="shared" si="14"/>
        <v>0</v>
      </c>
      <c r="U17" s="147">
        <f t="shared" si="15"/>
        <v>0</v>
      </c>
      <c r="V17" s="69"/>
      <c r="W17" s="147">
        <v>0</v>
      </c>
      <c r="X17" s="147">
        <v>0</v>
      </c>
      <c r="Y17" s="147">
        <v>0</v>
      </c>
      <c r="Z17" s="147">
        <v>0</v>
      </c>
      <c r="AA17" s="147">
        <v>0</v>
      </c>
      <c r="AB17" s="147">
        <v>0</v>
      </c>
      <c r="AC17" s="147">
        <v>0</v>
      </c>
      <c r="AD17" s="147">
        <v>0</v>
      </c>
      <c r="AE17" s="924">
        <f t="shared" si="16"/>
        <v>0</v>
      </c>
      <c r="AF17" s="84"/>
      <c r="AG17" s="66">
        <f t="shared" si="17"/>
        <v>0</v>
      </c>
      <c r="AH17" s="139">
        <f t="shared" si="18"/>
        <v>0</v>
      </c>
      <c r="AI17" s="137">
        <f t="shared" si="19"/>
        <v>0</v>
      </c>
      <c r="AJ17" s="69"/>
      <c r="AK17" s="66">
        <v>0</v>
      </c>
      <c r="AL17" s="66">
        <v>0</v>
      </c>
      <c r="AM17" s="66">
        <v>0</v>
      </c>
      <c r="AN17" s="66">
        <v>0</v>
      </c>
      <c r="AO17" s="66">
        <v>0</v>
      </c>
      <c r="AP17" s="66">
        <v>0</v>
      </c>
      <c r="AQ17" s="69"/>
      <c r="AR17" s="66">
        <v>0</v>
      </c>
      <c r="AS17" s="66">
        <v>0</v>
      </c>
      <c r="AT17" s="66">
        <v>0</v>
      </c>
      <c r="AU17" s="66">
        <v>0</v>
      </c>
      <c r="AV17" s="66">
        <v>0</v>
      </c>
      <c r="AW17" s="66">
        <v>0</v>
      </c>
      <c r="AX17" s="66">
        <v>0</v>
      </c>
      <c r="AY17" s="66">
        <v>0</v>
      </c>
      <c r="AZ17" s="66">
        <f t="array" ref="AZ17">SUMIF($W$2:$AD$2,"&gt;"&amp;0,AR17:AY17)</f>
        <v>0</v>
      </c>
      <c r="BA17" s="67">
        <f t="shared" si="20"/>
        <v>0</v>
      </c>
      <c r="BB17" s="84"/>
      <c r="BC17" s="71">
        <f t="shared" si="21"/>
        <v>0</v>
      </c>
      <c r="BD17" s="957"/>
      <c r="BE17" s="70"/>
      <c r="BF17" s="66">
        <v>0</v>
      </c>
      <c r="BG17" s="66">
        <v>0</v>
      </c>
      <c r="BH17" s="66">
        <v>0</v>
      </c>
      <c r="BI17" s="66">
        <v>0</v>
      </c>
      <c r="BJ17" s="66">
        <v>0</v>
      </c>
      <c r="BK17" s="66">
        <v>0</v>
      </c>
      <c r="BL17" s="66">
        <v>0</v>
      </c>
      <c r="BM17" s="66">
        <v>0</v>
      </c>
      <c r="BN17" s="67">
        <f t="shared" si="22"/>
        <v>0</v>
      </c>
      <c r="BO17" s="68">
        <f t="shared" si="7"/>
        <v>0</v>
      </c>
      <c r="BP17" s="69"/>
      <c r="BQ17" s="133">
        <f t="shared" si="23"/>
        <v>0</v>
      </c>
      <c r="BR17" s="69"/>
      <c r="BS17" s="133">
        <f t="shared" si="24"/>
        <v>0</v>
      </c>
      <c r="BT17" s="133">
        <f t="shared" si="25"/>
        <v>0</v>
      </c>
      <c r="BU17" s="133">
        <f t="shared" si="26"/>
        <v>0</v>
      </c>
      <c r="BV17" s="133">
        <f t="shared" si="27"/>
        <v>0</v>
      </c>
      <c r="BW17" s="133">
        <f t="shared" si="28"/>
        <v>0</v>
      </c>
      <c r="BX17" s="144">
        <f t="shared" si="29"/>
        <v>0</v>
      </c>
      <c r="BY17" s="69"/>
      <c r="BZ17" s="133">
        <f t="shared" si="30"/>
        <v>0</v>
      </c>
      <c r="CA17" s="133">
        <f t="shared" si="31"/>
        <v>0</v>
      </c>
      <c r="CB17" s="133">
        <f t="shared" si="32"/>
        <v>0</v>
      </c>
      <c r="CC17" s="133">
        <f t="shared" si="33"/>
        <v>0</v>
      </c>
      <c r="CD17" s="133">
        <f t="shared" si="34"/>
        <v>0</v>
      </c>
      <c r="CE17" s="144">
        <f t="shared" si="35"/>
        <v>0</v>
      </c>
      <c r="CF17" s="133">
        <f t="shared" si="36"/>
        <v>0</v>
      </c>
      <c r="CG17" s="133">
        <f t="shared" si="37"/>
        <v>0</v>
      </c>
      <c r="CH17" s="145">
        <f t="shared" si="8"/>
        <v>0</v>
      </c>
    </row>
    <row r="18" spans="1:86" ht="14.1" customHeight="1" x14ac:dyDescent="0.25">
      <c r="A18" s="70"/>
      <c r="B18" s="133" t="s">
        <v>114</v>
      </c>
      <c r="C18" s="133" t="s">
        <v>276</v>
      </c>
      <c r="D18" s="934" t="s">
        <v>113</v>
      </c>
      <c r="E18" s="133" t="s">
        <v>146</v>
      </c>
      <c r="F18" s="66"/>
      <c r="G18" s="66">
        <f>_xlfn.IFNA(INDEX(NewRecipeTable[Percentage Yield],MATCH(E18,NewRecipeTable[ShortCode],0)),0)</f>
        <v>26.03</v>
      </c>
      <c r="H18" s="146">
        <v>1570</v>
      </c>
      <c r="I18" s="66" t="str">
        <v>No</v>
      </c>
      <c r="J18" s="133" t="s">
        <v>244</v>
      </c>
      <c r="K18" s="133">
        <f>_xlfn.IFNA(INDEX(Middles!$G$8:$G$88,MATCH($E$8:$E$62,ActivatedRecipe,0)),0)</f>
        <v>0</v>
      </c>
      <c r="L18" s="66">
        <f t="shared" si="9"/>
        <v>0</v>
      </c>
      <c r="M18" s="133">
        <f>_xlfn.IFNA(INDEX(Middles!$H$8:$H$88,MATCH($E$8:$E$62,ActivatedRecipe,0)),0)</f>
        <v>0</v>
      </c>
      <c r="N18" s="69"/>
      <c r="O18" s="92" t="s">
        <v>639</v>
      </c>
      <c r="P18" s="147">
        <f t="shared" si="10"/>
        <v>0</v>
      </c>
      <c r="Q18" s="147">
        <f t="shared" si="11"/>
        <v>0</v>
      </c>
      <c r="R18" s="147">
        <f t="shared" si="12"/>
        <v>0</v>
      </c>
      <c r="S18" s="147">
        <f t="shared" si="13"/>
        <v>0</v>
      </c>
      <c r="T18" s="147">
        <f t="shared" si="14"/>
        <v>0</v>
      </c>
      <c r="U18" s="147">
        <f t="shared" si="15"/>
        <v>0</v>
      </c>
      <c r="V18" s="69"/>
      <c r="W18" s="147">
        <v>0</v>
      </c>
      <c r="X18" s="147">
        <v>0</v>
      </c>
      <c r="Y18" s="147">
        <v>0</v>
      </c>
      <c r="Z18" s="147">
        <v>0</v>
      </c>
      <c r="AA18" s="147">
        <v>0</v>
      </c>
      <c r="AB18" s="147">
        <v>0</v>
      </c>
      <c r="AC18" s="147">
        <v>0</v>
      </c>
      <c r="AD18" s="147">
        <v>0</v>
      </c>
      <c r="AE18" s="924">
        <f t="shared" si="16"/>
        <v>0</v>
      </c>
      <c r="AF18" s="84"/>
      <c r="AG18" s="66">
        <f t="shared" si="17"/>
        <v>0</v>
      </c>
      <c r="AH18" s="139">
        <f t="shared" si="18"/>
        <v>0</v>
      </c>
      <c r="AI18" s="137">
        <f t="shared" si="19"/>
        <v>0</v>
      </c>
      <c r="AJ18" s="69"/>
      <c r="AK18" s="66">
        <v>0</v>
      </c>
      <c r="AL18" s="66">
        <v>0</v>
      </c>
      <c r="AM18" s="66">
        <v>0</v>
      </c>
      <c r="AN18" s="66">
        <v>0</v>
      </c>
      <c r="AO18" s="66">
        <v>0</v>
      </c>
      <c r="AP18" s="66">
        <v>0</v>
      </c>
      <c r="AQ18" s="69"/>
      <c r="AR18" s="66">
        <v>0</v>
      </c>
      <c r="AS18" s="66">
        <v>0</v>
      </c>
      <c r="AT18" s="66">
        <v>0</v>
      </c>
      <c r="AU18" s="66">
        <v>0</v>
      </c>
      <c r="AV18" s="66">
        <v>0</v>
      </c>
      <c r="AW18" s="66">
        <v>0</v>
      </c>
      <c r="AX18" s="66">
        <v>0</v>
      </c>
      <c r="AY18" s="66">
        <v>0</v>
      </c>
      <c r="AZ18" s="66">
        <f t="array" ref="AZ18">SUMIF($W$2:$AD$2,"&gt;"&amp;0,AR18:AY18)</f>
        <v>0</v>
      </c>
      <c r="BA18" s="67">
        <f t="shared" si="20"/>
        <v>0</v>
      </c>
      <c r="BB18" s="84"/>
      <c r="BC18" s="71">
        <f t="shared" si="21"/>
        <v>0</v>
      </c>
      <c r="BD18" s="957"/>
      <c r="BE18" s="70"/>
      <c r="BF18" s="66">
        <v>0</v>
      </c>
      <c r="BG18" s="66">
        <v>0</v>
      </c>
      <c r="BH18" s="66">
        <v>0</v>
      </c>
      <c r="BI18" s="66">
        <v>0</v>
      </c>
      <c r="BJ18" s="66">
        <v>0</v>
      </c>
      <c r="BK18" s="66">
        <v>0</v>
      </c>
      <c r="BL18" s="66">
        <v>0</v>
      </c>
      <c r="BM18" s="66">
        <v>0</v>
      </c>
      <c r="BN18" s="67">
        <f t="shared" si="22"/>
        <v>0</v>
      </c>
      <c r="BO18" s="68">
        <f t="shared" si="7"/>
        <v>0</v>
      </c>
      <c r="BP18" s="69"/>
      <c r="BQ18" s="133">
        <f t="shared" si="23"/>
        <v>0</v>
      </c>
      <c r="BR18" s="69"/>
      <c r="BS18" s="133">
        <f t="shared" si="24"/>
        <v>0</v>
      </c>
      <c r="BT18" s="133">
        <f t="shared" si="25"/>
        <v>0</v>
      </c>
      <c r="BU18" s="133">
        <f t="shared" si="26"/>
        <v>0</v>
      </c>
      <c r="BV18" s="133">
        <f t="shared" si="27"/>
        <v>0</v>
      </c>
      <c r="BW18" s="133">
        <f t="shared" si="28"/>
        <v>0</v>
      </c>
      <c r="BX18" s="144">
        <f t="shared" si="29"/>
        <v>0</v>
      </c>
      <c r="BY18" s="69"/>
      <c r="BZ18" s="133">
        <f t="shared" si="30"/>
        <v>0</v>
      </c>
      <c r="CA18" s="133">
        <f t="shared" si="31"/>
        <v>0</v>
      </c>
      <c r="CB18" s="133">
        <f t="shared" si="32"/>
        <v>0</v>
      </c>
      <c r="CC18" s="133">
        <f t="shared" si="33"/>
        <v>0</v>
      </c>
      <c r="CD18" s="133">
        <f t="shared" si="34"/>
        <v>0</v>
      </c>
      <c r="CE18" s="144">
        <f t="shared" si="35"/>
        <v>0</v>
      </c>
      <c r="CF18" s="133">
        <f t="shared" si="36"/>
        <v>0</v>
      </c>
      <c r="CG18" s="133">
        <f t="shared" si="37"/>
        <v>0</v>
      </c>
      <c r="CH18" s="145">
        <f t="shared" si="8"/>
        <v>0</v>
      </c>
    </row>
    <row r="19" spans="1:86" ht="14.1" customHeight="1" x14ac:dyDescent="0.25">
      <c r="A19" s="70"/>
      <c r="B19" s="133" t="s">
        <v>114</v>
      </c>
      <c r="C19" s="133" t="s">
        <v>276</v>
      </c>
      <c r="D19" s="934" t="s">
        <v>110</v>
      </c>
      <c r="E19" s="133" t="s">
        <v>605</v>
      </c>
      <c r="F19" s="66"/>
      <c r="G19" s="66">
        <f>_xlfn.IFNA(INDEX(NewRecipeTable[Percentage Yield],MATCH(E19,NewRecipeTable[ShortCode],0)),0)</f>
        <v>33.770000000000003</v>
      </c>
      <c r="H19" s="146">
        <v>1570</v>
      </c>
      <c r="I19" s="66" t="str">
        <v>No</v>
      </c>
      <c r="J19" s="133" t="s">
        <v>244</v>
      </c>
      <c r="K19" s="133">
        <f>_xlfn.IFNA(INDEX(Middles!$G$8:$G$88,MATCH($E$8:$E$62,ActivatedRecipe,0)),0)</f>
        <v>0</v>
      </c>
      <c r="L19" s="66">
        <f t="shared" si="9"/>
        <v>0</v>
      </c>
      <c r="M19" s="133">
        <f>_xlfn.IFNA(INDEX(Middles!$H$8:$H$88,MATCH($E$8:$E$62,ActivatedRecipe,0)),0)</f>
        <v>0</v>
      </c>
      <c r="N19" s="69"/>
      <c r="O19" s="92" t="s">
        <v>639</v>
      </c>
      <c r="P19" s="147">
        <f t="shared" si="10"/>
        <v>0</v>
      </c>
      <c r="Q19" s="147">
        <f t="shared" si="11"/>
        <v>0</v>
      </c>
      <c r="R19" s="147">
        <f t="shared" si="12"/>
        <v>0</v>
      </c>
      <c r="S19" s="147">
        <f t="shared" si="13"/>
        <v>0</v>
      </c>
      <c r="T19" s="147">
        <f t="shared" si="14"/>
        <v>0</v>
      </c>
      <c r="U19" s="147">
        <f t="shared" si="15"/>
        <v>0</v>
      </c>
      <c r="V19" s="69"/>
      <c r="W19" s="147">
        <v>0</v>
      </c>
      <c r="X19" s="147">
        <v>0</v>
      </c>
      <c r="Y19" s="147">
        <v>0</v>
      </c>
      <c r="Z19" s="147">
        <v>0</v>
      </c>
      <c r="AA19" s="147">
        <v>0</v>
      </c>
      <c r="AB19" s="147">
        <v>0</v>
      </c>
      <c r="AC19" s="147">
        <v>0</v>
      </c>
      <c r="AD19" s="147">
        <v>0</v>
      </c>
      <c r="AE19" s="924">
        <f t="shared" si="16"/>
        <v>0</v>
      </c>
      <c r="AF19" s="84"/>
      <c r="AG19" s="66">
        <f t="shared" si="17"/>
        <v>0</v>
      </c>
      <c r="AH19" s="139">
        <f t="shared" si="18"/>
        <v>0</v>
      </c>
      <c r="AI19" s="137">
        <f t="shared" si="19"/>
        <v>0</v>
      </c>
      <c r="AJ19" s="69"/>
      <c r="AK19" s="66">
        <v>0</v>
      </c>
      <c r="AL19" s="66">
        <v>0</v>
      </c>
      <c r="AM19" s="66">
        <v>0</v>
      </c>
      <c r="AN19" s="66">
        <v>0</v>
      </c>
      <c r="AO19" s="66">
        <v>0</v>
      </c>
      <c r="AP19" s="66">
        <v>0</v>
      </c>
      <c r="AQ19" s="69"/>
      <c r="AR19" s="66">
        <v>0</v>
      </c>
      <c r="AS19" s="66">
        <v>0</v>
      </c>
      <c r="AT19" s="66">
        <v>0</v>
      </c>
      <c r="AU19" s="66">
        <v>0</v>
      </c>
      <c r="AV19" s="66">
        <v>0</v>
      </c>
      <c r="AW19" s="66">
        <v>0</v>
      </c>
      <c r="AX19" s="66">
        <v>0</v>
      </c>
      <c r="AY19" s="66">
        <v>0</v>
      </c>
      <c r="AZ19" s="66">
        <f t="array" ref="AZ19">SUMIF($W$2:$AD$2,"&gt;"&amp;0,AR19:AY19)</f>
        <v>0</v>
      </c>
      <c r="BA19" s="67">
        <f t="shared" si="20"/>
        <v>0</v>
      </c>
      <c r="BB19" s="84"/>
      <c r="BC19" s="71">
        <f t="shared" si="21"/>
        <v>0</v>
      </c>
      <c r="BD19" s="957"/>
      <c r="BE19" s="70"/>
      <c r="BF19" s="66">
        <v>0</v>
      </c>
      <c r="BG19" s="66">
        <v>0</v>
      </c>
      <c r="BH19" s="66">
        <v>0</v>
      </c>
      <c r="BI19" s="66">
        <v>0</v>
      </c>
      <c r="BJ19" s="66">
        <v>0</v>
      </c>
      <c r="BK19" s="66">
        <v>0</v>
      </c>
      <c r="BL19" s="66">
        <v>0</v>
      </c>
      <c r="BM19" s="66">
        <v>0</v>
      </c>
      <c r="BN19" s="67">
        <f t="shared" si="22"/>
        <v>0</v>
      </c>
      <c r="BO19" s="68">
        <f t="shared" si="7"/>
        <v>0</v>
      </c>
      <c r="BP19" s="69"/>
      <c r="BQ19" s="133">
        <f t="shared" si="23"/>
        <v>0</v>
      </c>
      <c r="BR19" s="69"/>
      <c r="BS19" s="133">
        <f t="shared" si="24"/>
        <v>0</v>
      </c>
      <c r="BT19" s="133">
        <f t="shared" si="25"/>
        <v>0</v>
      </c>
      <c r="BU19" s="133">
        <f t="shared" si="26"/>
        <v>0</v>
      </c>
      <c r="BV19" s="133">
        <f t="shared" si="27"/>
        <v>0</v>
      </c>
      <c r="BW19" s="133">
        <f t="shared" si="28"/>
        <v>0</v>
      </c>
      <c r="BX19" s="144">
        <f t="shared" si="29"/>
        <v>0</v>
      </c>
      <c r="BY19" s="69"/>
      <c r="BZ19" s="133">
        <f t="shared" si="30"/>
        <v>0</v>
      </c>
      <c r="CA19" s="133">
        <f t="shared" si="31"/>
        <v>0</v>
      </c>
      <c r="CB19" s="133">
        <f t="shared" si="32"/>
        <v>0</v>
      </c>
      <c r="CC19" s="133">
        <f t="shared" si="33"/>
        <v>0</v>
      </c>
      <c r="CD19" s="133">
        <f t="shared" si="34"/>
        <v>0</v>
      </c>
      <c r="CE19" s="144">
        <f t="shared" si="35"/>
        <v>0</v>
      </c>
      <c r="CF19" s="133">
        <f t="shared" si="36"/>
        <v>0</v>
      </c>
      <c r="CG19" s="133">
        <f t="shared" si="37"/>
        <v>0</v>
      </c>
      <c r="CH19" s="145">
        <f t="shared" si="8"/>
        <v>0</v>
      </c>
    </row>
    <row r="20" spans="1:86" ht="14.1" customHeight="1" x14ac:dyDescent="0.25">
      <c r="A20" s="70"/>
      <c r="B20" s="133" t="s">
        <v>114</v>
      </c>
      <c r="C20" s="133" t="s">
        <v>276</v>
      </c>
      <c r="D20" s="934" t="s">
        <v>115</v>
      </c>
      <c r="E20" s="133" t="s">
        <v>148</v>
      </c>
      <c r="F20" s="66"/>
      <c r="G20" s="66">
        <f>_xlfn.IFNA(INDEX(NewRecipeTable[Percentage Yield],MATCH(E20,NewRecipeTable[ShortCode],0)),0)</f>
        <v>25.91</v>
      </c>
      <c r="H20" s="146">
        <v>1570</v>
      </c>
      <c r="I20" s="66" t="str">
        <v>No</v>
      </c>
      <c r="J20" s="133" t="s">
        <v>244</v>
      </c>
      <c r="K20" s="133">
        <f>_xlfn.IFNA(INDEX(Middles!$G$8:$G$88,MATCH($E$8:$E$62,ActivatedRecipe,0)),0)</f>
        <v>0</v>
      </c>
      <c r="L20" s="66">
        <f t="shared" si="9"/>
        <v>0</v>
      </c>
      <c r="M20" s="133">
        <f>_xlfn.IFNA(INDEX(Middles!$H$8:$H$88,MATCH($E$8:$E$62,ActivatedRecipe,0)),0)</f>
        <v>0</v>
      </c>
      <c r="N20" s="69"/>
      <c r="O20" s="92" t="s">
        <v>639</v>
      </c>
      <c r="P20" s="147">
        <f t="shared" si="10"/>
        <v>0</v>
      </c>
      <c r="Q20" s="147">
        <f t="shared" si="11"/>
        <v>0</v>
      </c>
      <c r="R20" s="147">
        <f t="shared" si="12"/>
        <v>0</v>
      </c>
      <c r="S20" s="147">
        <f t="shared" si="13"/>
        <v>0</v>
      </c>
      <c r="T20" s="147">
        <f t="shared" si="14"/>
        <v>0</v>
      </c>
      <c r="U20" s="147">
        <f t="shared" si="15"/>
        <v>0</v>
      </c>
      <c r="V20" s="69"/>
      <c r="W20" s="147">
        <v>0</v>
      </c>
      <c r="X20" s="147">
        <v>0</v>
      </c>
      <c r="Y20" s="147">
        <v>0</v>
      </c>
      <c r="Z20" s="147">
        <v>0</v>
      </c>
      <c r="AA20" s="147">
        <v>0</v>
      </c>
      <c r="AB20" s="147">
        <v>0</v>
      </c>
      <c r="AC20" s="147">
        <v>0</v>
      </c>
      <c r="AD20" s="147">
        <v>0</v>
      </c>
      <c r="AE20" s="924">
        <f t="shared" si="16"/>
        <v>0</v>
      </c>
      <c r="AF20" s="84"/>
      <c r="AG20" s="66">
        <f t="shared" si="17"/>
        <v>0</v>
      </c>
      <c r="AH20" s="139">
        <f t="shared" si="18"/>
        <v>0</v>
      </c>
      <c r="AI20" s="137">
        <f t="shared" si="19"/>
        <v>0</v>
      </c>
      <c r="AJ20" s="69"/>
      <c r="AK20" s="66">
        <v>0</v>
      </c>
      <c r="AL20" s="66">
        <v>0</v>
      </c>
      <c r="AM20" s="66">
        <v>0</v>
      </c>
      <c r="AN20" s="66">
        <v>0</v>
      </c>
      <c r="AO20" s="66">
        <v>0</v>
      </c>
      <c r="AP20" s="66">
        <v>0</v>
      </c>
      <c r="AQ20" s="69"/>
      <c r="AR20" s="66">
        <v>0</v>
      </c>
      <c r="AS20" s="66">
        <v>0</v>
      </c>
      <c r="AT20" s="66">
        <v>0</v>
      </c>
      <c r="AU20" s="66">
        <v>0</v>
      </c>
      <c r="AV20" s="66">
        <v>0</v>
      </c>
      <c r="AW20" s="66">
        <v>0</v>
      </c>
      <c r="AX20" s="66">
        <v>0</v>
      </c>
      <c r="AY20" s="66">
        <v>0</v>
      </c>
      <c r="AZ20" s="66">
        <f t="array" ref="AZ20">SUMIF($W$2:$AD$2,"&gt;"&amp;0,AR20:AY20)</f>
        <v>0</v>
      </c>
      <c r="BA20" s="67">
        <f t="shared" si="20"/>
        <v>0</v>
      </c>
      <c r="BB20" s="84"/>
      <c r="BC20" s="71">
        <f t="shared" si="21"/>
        <v>0</v>
      </c>
      <c r="BD20" s="957"/>
      <c r="BE20" s="70"/>
      <c r="BF20" s="66">
        <v>0</v>
      </c>
      <c r="BG20" s="66">
        <v>0</v>
      </c>
      <c r="BH20" s="66">
        <v>0</v>
      </c>
      <c r="BI20" s="66">
        <v>0</v>
      </c>
      <c r="BJ20" s="66">
        <v>0</v>
      </c>
      <c r="BK20" s="66">
        <v>0</v>
      </c>
      <c r="BL20" s="66">
        <v>0</v>
      </c>
      <c r="BM20" s="66">
        <v>0</v>
      </c>
      <c r="BN20" s="67">
        <f t="shared" si="22"/>
        <v>0</v>
      </c>
      <c r="BO20" s="68">
        <f t="shared" si="7"/>
        <v>0</v>
      </c>
      <c r="BP20" s="69"/>
      <c r="BQ20" s="133">
        <f t="shared" si="23"/>
        <v>0</v>
      </c>
      <c r="BR20" s="69"/>
      <c r="BS20" s="133">
        <f t="shared" si="24"/>
        <v>0</v>
      </c>
      <c r="BT20" s="133">
        <f t="shared" si="25"/>
        <v>0</v>
      </c>
      <c r="BU20" s="133">
        <f t="shared" si="26"/>
        <v>0</v>
      </c>
      <c r="BV20" s="133">
        <f t="shared" si="27"/>
        <v>0</v>
      </c>
      <c r="BW20" s="133">
        <f t="shared" si="28"/>
        <v>0</v>
      </c>
      <c r="BX20" s="144">
        <f t="shared" si="29"/>
        <v>0</v>
      </c>
      <c r="BY20" s="69"/>
      <c r="BZ20" s="133">
        <f t="shared" si="30"/>
        <v>0</v>
      </c>
      <c r="CA20" s="133">
        <f t="shared" si="31"/>
        <v>0</v>
      </c>
      <c r="CB20" s="133">
        <f t="shared" si="32"/>
        <v>0</v>
      </c>
      <c r="CC20" s="133">
        <f t="shared" si="33"/>
        <v>0</v>
      </c>
      <c r="CD20" s="133">
        <f t="shared" si="34"/>
        <v>0</v>
      </c>
      <c r="CE20" s="144">
        <f t="shared" si="35"/>
        <v>0</v>
      </c>
      <c r="CF20" s="133">
        <f t="shared" si="36"/>
        <v>0</v>
      </c>
      <c r="CG20" s="133">
        <f t="shared" si="37"/>
        <v>0</v>
      </c>
      <c r="CH20" s="145">
        <f t="shared" si="8"/>
        <v>0</v>
      </c>
    </row>
    <row r="21" spans="1:86" ht="14.1" customHeight="1" x14ac:dyDescent="0.25">
      <c r="A21" s="70"/>
      <c r="B21" s="133" t="s">
        <v>114</v>
      </c>
      <c r="C21" s="133" t="s">
        <v>276</v>
      </c>
      <c r="D21" s="934" t="s">
        <v>116</v>
      </c>
      <c r="E21" s="133" t="s">
        <v>150</v>
      </c>
      <c r="F21" s="66"/>
      <c r="G21" s="66">
        <f>_xlfn.IFNA(INDEX(NewRecipeTable[Percentage Yield],MATCH(E21,NewRecipeTable[ShortCode],0)),0)</f>
        <v>25.83</v>
      </c>
      <c r="H21" s="146">
        <v>1570</v>
      </c>
      <c r="I21" s="66" t="str">
        <v>No</v>
      </c>
      <c r="J21" s="133" t="s">
        <v>244</v>
      </c>
      <c r="K21" s="133">
        <f>_xlfn.IFNA(INDEX(Middles!$G$8:$G$88,MATCH($E$8:$E$62,ActivatedRecipe,0)),0)</f>
        <v>0</v>
      </c>
      <c r="L21" s="66">
        <f t="shared" si="9"/>
        <v>0</v>
      </c>
      <c r="M21" s="133">
        <f>_xlfn.IFNA(INDEX(Middles!$H$8:$H$88,MATCH($E$8:$E$62,ActivatedRecipe,0)),0)</f>
        <v>0</v>
      </c>
      <c r="N21" s="69"/>
      <c r="O21" s="92" t="s">
        <v>639</v>
      </c>
      <c r="P21" s="147">
        <f t="shared" si="10"/>
        <v>0</v>
      </c>
      <c r="Q21" s="147">
        <f t="shared" si="11"/>
        <v>0</v>
      </c>
      <c r="R21" s="147">
        <f t="shared" si="12"/>
        <v>0</v>
      </c>
      <c r="S21" s="147">
        <f t="shared" si="13"/>
        <v>0</v>
      </c>
      <c r="T21" s="147">
        <f t="shared" si="14"/>
        <v>0</v>
      </c>
      <c r="U21" s="147">
        <f t="shared" si="15"/>
        <v>0</v>
      </c>
      <c r="V21" s="69"/>
      <c r="W21" s="147">
        <v>0</v>
      </c>
      <c r="X21" s="147">
        <v>0</v>
      </c>
      <c r="Y21" s="147">
        <v>0</v>
      </c>
      <c r="Z21" s="147">
        <v>0</v>
      </c>
      <c r="AA21" s="147">
        <v>0</v>
      </c>
      <c r="AB21" s="147">
        <v>0</v>
      </c>
      <c r="AC21" s="147">
        <v>0</v>
      </c>
      <c r="AD21" s="147">
        <v>0</v>
      </c>
      <c r="AE21" s="924">
        <f t="shared" si="16"/>
        <v>0</v>
      </c>
      <c r="AF21" s="84"/>
      <c r="AG21" s="66">
        <f t="shared" si="17"/>
        <v>0</v>
      </c>
      <c r="AH21" s="139">
        <f t="shared" si="18"/>
        <v>0</v>
      </c>
      <c r="AI21" s="137">
        <f t="shared" si="19"/>
        <v>0</v>
      </c>
      <c r="AJ21" s="69"/>
      <c r="AK21" s="66">
        <v>0</v>
      </c>
      <c r="AL21" s="66">
        <v>0</v>
      </c>
      <c r="AM21" s="66">
        <v>0</v>
      </c>
      <c r="AN21" s="66">
        <v>0</v>
      </c>
      <c r="AO21" s="66">
        <v>0</v>
      </c>
      <c r="AP21" s="66">
        <v>0</v>
      </c>
      <c r="AQ21" s="69"/>
      <c r="AR21" s="66">
        <v>0</v>
      </c>
      <c r="AS21" s="66">
        <v>0</v>
      </c>
      <c r="AT21" s="66">
        <v>0</v>
      </c>
      <c r="AU21" s="66">
        <v>0</v>
      </c>
      <c r="AV21" s="66">
        <v>0</v>
      </c>
      <c r="AW21" s="66">
        <v>0</v>
      </c>
      <c r="AX21" s="66">
        <v>0</v>
      </c>
      <c r="AY21" s="66">
        <v>0</v>
      </c>
      <c r="AZ21" s="66">
        <f t="array" ref="AZ21">SUMIF($W$2:$AD$2,"&gt;"&amp;0,AR21:AY21)</f>
        <v>0</v>
      </c>
      <c r="BA21" s="67">
        <f t="shared" si="20"/>
        <v>0</v>
      </c>
      <c r="BB21" s="84"/>
      <c r="BC21" s="71">
        <f t="shared" si="21"/>
        <v>0</v>
      </c>
      <c r="BD21" s="957"/>
      <c r="BE21" s="70"/>
      <c r="BF21" s="66">
        <v>0</v>
      </c>
      <c r="BG21" s="66">
        <v>0</v>
      </c>
      <c r="BH21" s="66">
        <v>0</v>
      </c>
      <c r="BI21" s="66">
        <v>0</v>
      </c>
      <c r="BJ21" s="66">
        <v>0</v>
      </c>
      <c r="BK21" s="66">
        <v>0</v>
      </c>
      <c r="BL21" s="66">
        <v>0</v>
      </c>
      <c r="BM21" s="66">
        <v>0</v>
      </c>
      <c r="BN21" s="67">
        <f t="shared" si="22"/>
        <v>0</v>
      </c>
      <c r="BO21" s="68">
        <f t="shared" si="7"/>
        <v>0</v>
      </c>
      <c r="BP21" s="69"/>
      <c r="BQ21" s="133">
        <f t="shared" si="23"/>
        <v>0</v>
      </c>
      <c r="BR21" s="69"/>
      <c r="BS21" s="133">
        <f t="shared" si="24"/>
        <v>0</v>
      </c>
      <c r="BT21" s="133">
        <f t="shared" si="25"/>
        <v>0</v>
      </c>
      <c r="BU21" s="133">
        <f t="shared" si="26"/>
        <v>0</v>
      </c>
      <c r="BV21" s="133">
        <f t="shared" si="27"/>
        <v>0</v>
      </c>
      <c r="BW21" s="133">
        <f t="shared" si="28"/>
        <v>0</v>
      </c>
      <c r="BX21" s="144">
        <f t="shared" si="29"/>
        <v>0</v>
      </c>
      <c r="BY21" s="69"/>
      <c r="BZ21" s="133">
        <f t="shared" si="30"/>
        <v>0</v>
      </c>
      <c r="CA21" s="133">
        <f t="shared" si="31"/>
        <v>0</v>
      </c>
      <c r="CB21" s="133">
        <f t="shared" si="32"/>
        <v>0</v>
      </c>
      <c r="CC21" s="133">
        <f t="shared" si="33"/>
        <v>0</v>
      </c>
      <c r="CD21" s="133">
        <f t="shared" si="34"/>
        <v>0</v>
      </c>
      <c r="CE21" s="144">
        <f t="shared" si="35"/>
        <v>0</v>
      </c>
      <c r="CF21" s="133">
        <f t="shared" si="36"/>
        <v>0</v>
      </c>
      <c r="CG21" s="133">
        <f t="shared" si="37"/>
        <v>0</v>
      </c>
      <c r="CH21" s="145">
        <f t="shared" si="8"/>
        <v>0</v>
      </c>
    </row>
    <row r="22" spans="1:86" ht="14.1" customHeight="1" x14ac:dyDescent="0.25">
      <c r="A22" s="70"/>
      <c r="B22" s="133" t="s">
        <v>114</v>
      </c>
      <c r="C22" s="133" t="s">
        <v>276</v>
      </c>
      <c r="D22" s="934" t="s">
        <v>1339</v>
      </c>
      <c r="E22" s="133" t="s">
        <v>1534</v>
      </c>
      <c r="F22" s="66"/>
      <c r="G22" s="66">
        <f>_xlfn.IFNA(INDEX(NewRecipeTable[Percentage Yield],MATCH(E22,NewRecipeTable[ShortCode],0)),0)</f>
        <v>32.1</v>
      </c>
      <c r="H22" s="146">
        <v>1570</v>
      </c>
      <c r="I22" s="66" t="str">
        <v>No</v>
      </c>
      <c r="J22" s="133" t="s">
        <v>244</v>
      </c>
      <c r="K22" s="133">
        <f>_xlfn.IFNA(INDEX(Middles!$G$8:$G$88,MATCH($E$8:$E$62,ActivatedRecipe,0)),0)</f>
        <v>0</v>
      </c>
      <c r="L22" s="66">
        <f t="shared" si="9"/>
        <v>0</v>
      </c>
      <c r="M22" s="133">
        <f>_xlfn.IFNA(INDEX(Middles!$H$8:$H$88,MATCH($E$8:$E$62,ActivatedRecipe,0)),0)</f>
        <v>0</v>
      </c>
      <c r="N22" s="69"/>
      <c r="O22" s="92" t="s">
        <v>639</v>
      </c>
      <c r="P22" s="147">
        <f t="shared" si="10"/>
        <v>0</v>
      </c>
      <c r="Q22" s="147">
        <f t="shared" si="11"/>
        <v>0</v>
      </c>
      <c r="R22" s="147">
        <f t="shared" si="12"/>
        <v>0</v>
      </c>
      <c r="S22" s="147">
        <f t="shared" si="13"/>
        <v>0</v>
      </c>
      <c r="T22" s="147">
        <f t="shared" si="14"/>
        <v>0</v>
      </c>
      <c r="U22" s="147">
        <f t="shared" si="15"/>
        <v>0</v>
      </c>
      <c r="V22" s="69"/>
      <c r="W22" s="147">
        <v>0</v>
      </c>
      <c r="X22" s="147">
        <v>0</v>
      </c>
      <c r="Y22" s="147">
        <v>0</v>
      </c>
      <c r="Z22" s="147">
        <v>0</v>
      </c>
      <c r="AA22" s="147">
        <v>0</v>
      </c>
      <c r="AB22" s="147">
        <v>0</v>
      </c>
      <c r="AC22" s="147">
        <v>0</v>
      </c>
      <c r="AD22" s="147">
        <v>0</v>
      </c>
      <c r="AE22" s="924">
        <f t="shared" si="16"/>
        <v>0</v>
      </c>
      <c r="AF22" s="84"/>
      <c r="AG22" s="66">
        <f t="shared" si="17"/>
        <v>0</v>
      </c>
      <c r="AH22" s="139">
        <f t="shared" si="18"/>
        <v>0</v>
      </c>
      <c r="AI22" s="137">
        <f t="shared" si="19"/>
        <v>0</v>
      </c>
      <c r="AJ22" s="69"/>
      <c r="AK22" s="66">
        <v>0</v>
      </c>
      <c r="AL22" s="66">
        <v>0</v>
      </c>
      <c r="AM22" s="66">
        <v>0</v>
      </c>
      <c r="AN22" s="66">
        <v>0</v>
      </c>
      <c r="AO22" s="66">
        <v>0</v>
      </c>
      <c r="AP22" s="66">
        <v>0</v>
      </c>
      <c r="AQ22" s="69"/>
      <c r="AR22" s="66">
        <v>0</v>
      </c>
      <c r="AS22" s="66">
        <v>0</v>
      </c>
      <c r="AT22" s="66">
        <v>0</v>
      </c>
      <c r="AU22" s="66">
        <v>0</v>
      </c>
      <c r="AV22" s="66">
        <v>0</v>
      </c>
      <c r="AW22" s="66">
        <v>0</v>
      </c>
      <c r="AX22" s="66">
        <v>0</v>
      </c>
      <c r="AY22" s="66">
        <v>0</v>
      </c>
      <c r="AZ22" s="66">
        <f t="array" ref="AZ22">SUMIF($W$2:$AD$2,"&gt;"&amp;0,AR22:AY22)</f>
        <v>0</v>
      </c>
      <c r="BA22" s="67">
        <f t="shared" si="20"/>
        <v>0</v>
      </c>
      <c r="BB22" s="84"/>
      <c r="BC22" s="71">
        <f t="shared" si="21"/>
        <v>0</v>
      </c>
      <c r="BD22" s="957"/>
      <c r="BE22" s="70"/>
      <c r="BF22" s="66">
        <v>0</v>
      </c>
      <c r="BG22" s="66">
        <v>0</v>
      </c>
      <c r="BH22" s="66">
        <v>0</v>
      </c>
      <c r="BI22" s="66">
        <v>0</v>
      </c>
      <c r="BJ22" s="66">
        <v>0</v>
      </c>
      <c r="BK22" s="66">
        <v>0</v>
      </c>
      <c r="BL22" s="66">
        <v>0</v>
      </c>
      <c r="BM22" s="66">
        <v>0</v>
      </c>
      <c r="BN22" s="67">
        <f t="shared" si="22"/>
        <v>0</v>
      </c>
      <c r="BO22" s="68">
        <f t="shared" si="7"/>
        <v>0</v>
      </c>
      <c r="BP22" s="69"/>
      <c r="BQ22" s="133">
        <f t="shared" si="23"/>
        <v>0</v>
      </c>
      <c r="BR22" s="69"/>
      <c r="BS22" s="133">
        <f t="shared" si="24"/>
        <v>0</v>
      </c>
      <c r="BT22" s="133">
        <f t="shared" si="25"/>
        <v>0</v>
      </c>
      <c r="BU22" s="133">
        <f t="shared" si="26"/>
        <v>0</v>
      </c>
      <c r="BV22" s="133">
        <f t="shared" si="27"/>
        <v>0</v>
      </c>
      <c r="BW22" s="133">
        <f t="shared" si="28"/>
        <v>0</v>
      </c>
      <c r="BX22" s="144">
        <f t="shared" si="29"/>
        <v>0</v>
      </c>
      <c r="BY22" s="69"/>
      <c r="BZ22" s="133">
        <f t="shared" si="30"/>
        <v>0</v>
      </c>
      <c r="CA22" s="133">
        <f t="shared" si="31"/>
        <v>0</v>
      </c>
      <c r="CB22" s="133">
        <f t="shared" si="32"/>
        <v>0</v>
      </c>
      <c r="CC22" s="133">
        <f t="shared" si="33"/>
        <v>0</v>
      </c>
      <c r="CD22" s="133">
        <f t="shared" si="34"/>
        <v>0</v>
      </c>
      <c r="CE22" s="144">
        <f t="shared" si="35"/>
        <v>0</v>
      </c>
      <c r="CF22" s="133">
        <f t="shared" si="36"/>
        <v>0</v>
      </c>
      <c r="CG22" s="133">
        <f t="shared" si="37"/>
        <v>0</v>
      </c>
      <c r="CH22" s="145">
        <f t="shared" si="8"/>
        <v>0</v>
      </c>
    </row>
    <row r="23" spans="1:86" ht="14.1" customHeight="1" x14ac:dyDescent="0.25">
      <c r="A23" s="70"/>
      <c r="B23" s="133" t="s">
        <v>114</v>
      </c>
      <c r="C23" s="133" t="s">
        <v>276</v>
      </c>
      <c r="D23" s="934" t="s">
        <v>117</v>
      </c>
      <c r="E23" s="133" t="s">
        <v>152</v>
      </c>
      <c r="F23" s="66"/>
      <c r="G23" s="66">
        <f>_xlfn.IFNA(INDEX(NewRecipeTable[Percentage Yield],MATCH(E23,NewRecipeTable[ShortCode],0)),0)</f>
        <v>26.03</v>
      </c>
      <c r="H23" s="146">
        <v>1570</v>
      </c>
      <c r="I23" s="66" t="str">
        <v>Yes</v>
      </c>
      <c r="J23" s="133" t="s">
        <v>244</v>
      </c>
      <c r="K23" s="133">
        <f>_xlfn.IFNA(INDEX(Middles!$G$8:$G$88,MATCH($E$8:$E$62,ActivatedRecipe,0)),0)</f>
        <v>25</v>
      </c>
      <c r="L23" s="66">
        <f t="shared" si="9"/>
        <v>240.24142599277977</v>
      </c>
      <c r="M23" s="133">
        <f>_xlfn.IFNA(INDEX(Middles!$H$8:$H$88,MATCH($E$8:$E$62,ActivatedRecipe,0)),0)</f>
        <v>549.5</v>
      </c>
      <c r="N23" s="69"/>
      <c r="O23" s="92" t="s">
        <v>639</v>
      </c>
      <c r="P23" s="147">
        <f t="shared" si="10"/>
        <v>0</v>
      </c>
      <c r="Q23" s="147">
        <f t="shared" si="11"/>
        <v>0</v>
      </c>
      <c r="R23" s="147">
        <f t="shared" si="12"/>
        <v>0</v>
      </c>
      <c r="S23" s="147">
        <f t="shared" si="13"/>
        <v>0</v>
      </c>
      <c r="T23" s="147">
        <f t="shared" si="14"/>
        <v>54.2</v>
      </c>
      <c r="U23" s="147">
        <f t="shared" si="15"/>
        <v>0</v>
      </c>
      <c r="V23" s="69"/>
      <c r="W23" s="147">
        <v>5.8250805513711246</v>
      </c>
      <c r="X23" s="147">
        <v>63.055826876386583</v>
      </c>
      <c r="Y23" s="147">
        <v>31.264403190621316</v>
      </c>
      <c r="Z23" s="147">
        <v>2.7288790311492508</v>
      </c>
      <c r="AA23" s="147">
        <v>0</v>
      </c>
      <c r="AB23" s="147">
        <v>35.733033350874607</v>
      </c>
      <c r="AC23" s="147">
        <v>17.353280920352979</v>
      </c>
      <c r="AD23" s="147">
        <v>0</v>
      </c>
      <c r="AE23" s="924">
        <f t="shared" si="16"/>
        <v>210.16050392075584</v>
      </c>
      <c r="AF23" s="84"/>
      <c r="AG23" s="66">
        <f t="shared" si="17"/>
        <v>228.72824606715193</v>
      </c>
      <c r="AH23" s="139">
        <f t="shared" si="18"/>
        <v>26.03</v>
      </c>
      <c r="AI23" s="137">
        <f t="shared" si="19"/>
        <v>-202.69824606715193</v>
      </c>
      <c r="AJ23" s="69"/>
      <c r="AK23" s="66">
        <v>0</v>
      </c>
      <c r="AL23" s="66">
        <v>0</v>
      </c>
      <c r="AM23" s="66">
        <v>0</v>
      </c>
      <c r="AN23" s="66">
        <v>0</v>
      </c>
      <c r="AO23" s="66">
        <v>25.26</v>
      </c>
      <c r="AP23" s="66">
        <v>0</v>
      </c>
      <c r="AQ23" s="69"/>
      <c r="AR23" s="66">
        <v>3.76</v>
      </c>
      <c r="AS23" s="66">
        <v>17.25</v>
      </c>
      <c r="AT23" s="66">
        <v>10.47</v>
      </c>
      <c r="AU23" s="66">
        <v>1.25</v>
      </c>
      <c r="AV23" s="66">
        <v>0</v>
      </c>
      <c r="AW23" s="66">
        <v>7.54</v>
      </c>
      <c r="AX23" s="66">
        <v>8.1199999999999992</v>
      </c>
      <c r="AY23" s="66">
        <v>0.31</v>
      </c>
      <c r="AZ23" s="66">
        <f t="array" ref="AZ23">SUMIF($W$2:$AD$2,"&gt;"&amp;0,AR23:AY23)</f>
        <v>48.389999999999993</v>
      </c>
      <c r="BA23" s="67">
        <f t="shared" si="20"/>
        <v>99.990000000000009</v>
      </c>
      <c r="BB23" s="84"/>
      <c r="BC23" s="71">
        <v>0</v>
      </c>
      <c r="BD23" s="957"/>
      <c r="BE23" s="70"/>
      <c r="BF23" s="66">
        <v>0</v>
      </c>
      <c r="BG23" s="66">
        <v>0</v>
      </c>
      <c r="BH23" s="66">
        <v>0</v>
      </c>
      <c r="BI23" s="66">
        <v>0</v>
      </c>
      <c r="BJ23" s="66">
        <v>0</v>
      </c>
      <c r="BK23" s="66">
        <v>0</v>
      </c>
      <c r="BL23" s="66">
        <v>0</v>
      </c>
      <c r="BM23" s="66">
        <v>0</v>
      </c>
      <c r="BN23" s="67">
        <f t="shared" si="22"/>
        <v>0</v>
      </c>
      <c r="BO23" s="68">
        <f t="shared" si="7"/>
        <v>0</v>
      </c>
      <c r="BP23" s="69"/>
      <c r="BQ23" s="133">
        <f t="shared" si="23"/>
        <v>228.72824606715193</v>
      </c>
      <c r="BR23" s="69"/>
      <c r="BS23" s="133">
        <f t="shared" si="24"/>
        <v>0</v>
      </c>
      <c r="BT23" s="133">
        <f t="shared" si="25"/>
        <v>0</v>
      </c>
      <c r="BU23" s="133">
        <f t="shared" si="26"/>
        <v>0</v>
      </c>
      <c r="BV23" s="133">
        <f t="shared" si="27"/>
        <v>0</v>
      </c>
      <c r="BW23" s="133">
        <f t="shared" si="28"/>
        <v>22.560638647569856</v>
      </c>
      <c r="BX23" s="144">
        <f t="shared" si="29"/>
        <v>0</v>
      </c>
      <c r="BY23" s="69"/>
      <c r="BZ23" s="133">
        <f t="shared" si="30"/>
        <v>2.4246778120382086</v>
      </c>
      <c r="CA23" s="133">
        <f t="shared" si="31"/>
        <v>26.246858390809614</v>
      </c>
      <c r="CB23" s="133">
        <f t="shared" si="32"/>
        <v>13.013743596227629</v>
      </c>
      <c r="CC23" s="133">
        <f t="shared" si="33"/>
        <v>1.1358902903079109</v>
      </c>
      <c r="CD23" s="133">
        <f t="shared" si="34"/>
        <v>0</v>
      </c>
      <c r="CE23" s="144">
        <f t="shared" si="35"/>
        <v>14.873801719753581</v>
      </c>
      <c r="CF23" s="133">
        <f t="shared" si="36"/>
        <v>7.2232675312518815</v>
      </c>
      <c r="CG23" s="133">
        <f t="shared" si="37"/>
        <v>0</v>
      </c>
      <c r="CH23" s="145">
        <f t="shared" si="8"/>
        <v>316.20712405511063</v>
      </c>
    </row>
    <row r="24" spans="1:86" ht="14.1" customHeight="1" x14ac:dyDescent="0.25">
      <c r="A24" s="70"/>
      <c r="B24" s="133" t="s">
        <v>114</v>
      </c>
      <c r="C24" s="133" t="s">
        <v>276</v>
      </c>
      <c r="D24" s="934" t="s">
        <v>1349</v>
      </c>
      <c r="E24" s="133" t="s">
        <v>1535</v>
      </c>
      <c r="F24" s="66"/>
      <c r="G24" s="66">
        <f>_xlfn.IFNA(INDEX(NewRecipeTable[Percentage Yield],MATCH(E24,NewRecipeTable[ShortCode],0)),0)</f>
        <v>29.3</v>
      </c>
      <c r="H24" s="146">
        <v>1570</v>
      </c>
      <c r="I24" s="66" t="str">
        <v>No</v>
      </c>
      <c r="J24" s="133" t="s">
        <v>244</v>
      </c>
      <c r="K24" s="133">
        <f>_xlfn.IFNA(INDEX(Middles!$G$8:$G$88,MATCH($E$8:$E$62,ActivatedRecipe,0)),0)</f>
        <v>0</v>
      </c>
      <c r="L24" s="66">
        <f t="shared" si="9"/>
        <v>0</v>
      </c>
      <c r="M24" s="133">
        <f>_xlfn.IFNA(INDEX(Middles!$H$8:$H$88,MATCH($E$8:$E$62,ActivatedRecipe,0)),0)</f>
        <v>0</v>
      </c>
      <c r="N24" s="69"/>
      <c r="O24" s="92" t="s">
        <v>639</v>
      </c>
      <c r="P24" s="147">
        <f t="shared" si="10"/>
        <v>0</v>
      </c>
      <c r="Q24" s="147">
        <f t="shared" si="11"/>
        <v>0</v>
      </c>
      <c r="R24" s="147">
        <f t="shared" si="12"/>
        <v>0</v>
      </c>
      <c r="S24" s="147">
        <f t="shared" si="13"/>
        <v>0</v>
      </c>
      <c r="T24" s="147">
        <f t="shared" si="14"/>
        <v>0</v>
      </c>
      <c r="U24" s="147">
        <f t="shared" si="15"/>
        <v>0</v>
      </c>
      <c r="V24" s="69"/>
      <c r="W24" s="147">
        <v>0</v>
      </c>
      <c r="X24" s="147">
        <v>0</v>
      </c>
      <c r="Y24" s="147">
        <v>0</v>
      </c>
      <c r="Z24" s="147">
        <v>0</v>
      </c>
      <c r="AA24" s="147">
        <v>0</v>
      </c>
      <c r="AB24" s="147">
        <v>0</v>
      </c>
      <c r="AC24" s="147">
        <v>0</v>
      </c>
      <c r="AD24" s="147">
        <v>0</v>
      </c>
      <c r="AE24" s="924">
        <f t="shared" si="16"/>
        <v>0</v>
      </c>
      <c r="AF24" s="84"/>
      <c r="AG24" s="66">
        <f t="shared" si="17"/>
        <v>0</v>
      </c>
      <c r="AH24" s="139">
        <f t="shared" si="18"/>
        <v>0</v>
      </c>
      <c r="AI24" s="137">
        <f t="shared" si="19"/>
        <v>0</v>
      </c>
      <c r="AJ24" s="69"/>
      <c r="AK24" s="66">
        <v>0</v>
      </c>
      <c r="AL24" s="66">
        <v>0</v>
      </c>
      <c r="AM24" s="66">
        <v>0</v>
      </c>
      <c r="AN24" s="66">
        <v>0</v>
      </c>
      <c r="AO24" s="66">
        <v>0</v>
      </c>
      <c r="AP24" s="66">
        <v>0</v>
      </c>
      <c r="AQ24" s="69"/>
      <c r="AR24" s="66">
        <v>0</v>
      </c>
      <c r="AS24" s="66">
        <v>0</v>
      </c>
      <c r="AT24" s="66">
        <v>0</v>
      </c>
      <c r="AU24" s="66">
        <v>0</v>
      </c>
      <c r="AV24" s="66">
        <v>0</v>
      </c>
      <c r="AW24" s="66">
        <v>0</v>
      </c>
      <c r="AX24" s="66">
        <v>0</v>
      </c>
      <c r="AY24" s="66">
        <v>0</v>
      </c>
      <c r="AZ24" s="66">
        <f t="array" ref="AZ24">SUMIF($W$2:$AD$2,"&gt;"&amp;0,AR24:AY24)</f>
        <v>0</v>
      </c>
      <c r="BA24" s="67">
        <f t="shared" si="20"/>
        <v>0</v>
      </c>
      <c r="BB24" s="84"/>
      <c r="BC24" s="71">
        <f t="shared" si="21"/>
        <v>0</v>
      </c>
      <c r="BD24" s="957"/>
      <c r="BE24" s="70"/>
      <c r="BF24" s="66">
        <v>0</v>
      </c>
      <c r="BG24" s="66">
        <v>0</v>
      </c>
      <c r="BH24" s="66">
        <v>0</v>
      </c>
      <c r="BI24" s="66">
        <v>0</v>
      </c>
      <c r="BJ24" s="66">
        <v>0</v>
      </c>
      <c r="BK24" s="66">
        <v>0</v>
      </c>
      <c r="BL24" s="66">
        <v>0</v>
      </c>
      <c r="BM24" s="66">
        <v>0</v>
      </c>
      <c r="BN24" s="67">
        <f t="shared" si="22"/>
        <v>0</v>
      </c>
      <c r="BO24" s="68">
        <f t="shared" si="7"/>
        <v>0</v>
      </c>
      <c r="BP24" s="69"/>
      <c r="BQ24" s="133">
        <f t="shared" si="23"/>
        <v>0</v>
      </c>
      <c r="BR24" s="69"/>
      <c r="BS24" s="133">
        <f t="shared" si="24"/>
        <v>0</v>
      </c>
      <c r="BT24" s="133">
        <f t="shared" si="25"/>
        <v>0</v>
      </c>
      <c r="BU24" s="133">
        <f t="shared" si="26"/>
        <v>0</v>
      </c>
      <c r="BV24" s="133">
        <f t="shared" si="27"/>
        <v>0</v>
      </c>
      <c r="BW24" s="133">
        <f t="shared" si="28"/>
        <v>0</v>
      </c>
      <c r="BX24" s="144">
        <f t="shared" si="29"/>
        <v>0</v>
      </c>
      <c r="BY24" s="69"/>
      <c r="BZ24" s="133">
        <f t="shared" si="30"/>
        <v>0</v>
      </c>
      <c r="CA24" s="133">
        <f t="shared" si="31"/>
        <v>0</v>
      </c>
      <c r="CB24" s="133">
        <f t="shared" si="32"/>
        <v>0</v>
      </c>
      <c r="CC24" s="133">
        <f t="shared" si="33"/>
        <v>0</v>
      </c>
      <c r="CD24" s="133">
        <f t="shared" si="34"/>
        <v>0</v>
      </c>
      <c r="CE24" s="144">
        <f t="shared" si="35"/>
        <v>0</v>
      </c>
      <c r="CF24" s="133">
        <f t="shared" si="36"/>
        <v>0</v>
      </c>
      <c r="CG24" s="133">
        <f t="shared" si="37"/>
        <v>0</v>
      </c>
      <c r="CH24" s="145">
        <f t="shared" si="8"/>
        <v>0</v>
      </c>
    </row>
    <row r="25" spans="1:86" ht="14.1" customHeight="1" x14ac:dyDescent="0.25">
      <c r="A25" s="70"/>
      <c r="B25" s="133" t="s">
        <v>114</v>
      </c>
      <c r="C25" s="133" t="s">
        <v>276</v>
      </c>
      <c r="D25" s="934" t="s">
        <v>1373</v>
      </c>
      <c r="E25" s="133" t="s">
        <v>1536</v>
      </c>
      <c r="F25" s="66"/>
      <c r="G25" s="66">
        <f>_xlfn.IFNA(INDEX(NewRecipeTable[Percentage Yield],MATCH(E25,NewRecipeTable[ShortCode],0)),0)</f>
        <v>26.17</v>
      </c>
      <c r="H25" s="146">
        <v>1570</v>
      </c>
      <c r="I25" s="66" t="str">
        <v>No</v>
      </c>
      <c r="J25" s="133" t="s">
        <v>244</v>
      </c>
      <c r="K25" s="133">
        <f>_xlfn.IFNA(INDEX(Middles!$G$8:$G$88,MATCH($E$8:$E$62,ActivatedRecipe,0)),0)</f>
        <v>0</v>
      </c>
      <c r="L25" s="66">
        <f t="shared" si="9"/>
        <v>0</v>
      </c>
      <c r="M25" s="133">
        <f>_xlfn.IFNA(INDEX(Middles!$H$8:$H$88,MATCH($E$8:$E$62,ActivatedRecipe,0)),0)</f>
        <v>0</v>
      </c>
      <c r="N25" s="69"/>
      <c r="O25" s="92" t="s">
        <v>639</v>
      </c>
      <c r="P25" s="147">
        <f t="shared" si="10"/>
        <v>0</v>
      </c>
      <c r="Q25" s="147">
        <f t="shared" si="11"/>
        <v>0</v>
      </c>
      <c r="R25" s="147">
        <f t="shared" si="12"/>
        <v>0</v>
      </c>
      <c r="S25" s="147">
        <f t="shared" si="13"/>
        <v>0</v>
      </c>
      <c r="T25" s="147">
        <f t="shared" si="14"/>
        <v>0</v>
      </c>
      <c r="U25" s="147">
        <f t="shared" si="15"/>
        <v>0</v>
      </c>
      <c r="V25" s="69"/>
      <c r="W25" s="147">
        <v>0</v>
      </c>
      <c r="X25" s="147">
        <v>0</v>
      </c>
      <c r="Y25" s="147">
        <v>0</v>
      </c>
      <c r="Z25" s="147">
        <v>0</v>
      </c>
      <c r="AA25" s="147">
        <v>0</v>
      </c>
      <c r="AB25" s="147">
        <v>0</v>
      </c>
      <c r="AC25" s="147">
        <v>0</v>
      </c>
      <c r="AD25" s="147">
        <v>0</v>
      </c>
      <c r="AE25" s="924">
        <f t="shared" si="16"/>
        <v>0</v>
      </c>
      <c r="AF25" s="84"/>
      <c r="AG25" s="66">
        <f t="shared" si="17"/>
        <v>0</v>
      </c>
      <c r="AH25" s="139">
        <f t="shared" si="18"/>
        <v>0</v>
      </c>
      <c r="AI25" s="137">
        <f t="shared" si="19"/>
        <v>0</v>
      </c>
      <c r="AJ25" s="69"/>
      <c r="AK25" s="66">
        <v>0</v>
      </c>
      <c r="AL25" s="66">
        <v>0</v>
      </c>
      <c r="AM25" s="66">
        <v>0</v>
      </c>
      <c r="AN25" s="66">
        <v>0</v>
      </c>
      <c r="AO25" s="66">
        <v>0</v>
      </c>
      <c r="AP25" s="66">
        <v>0</v>
      </c>
      <c r="AQ25" s="69"/>
      <c r="AR25" s="66">
        <v>0</v>
      </c>
      <c r="AS25" s="66">
        <v>0</v>
      </c>
      <c r="AT25" s="66">
        <v>0</v>
      </c>
      <c r="AU25" s="66">
        <v>0</v>
      </c>
      <c r="AV25" s="66">
        <v>0</v>
      </c>
      <c r="AW25" s="66">
        <v>0</v>
      </c>
      <c r="AX25" s="66">
        <v>0</v>
      </c>
      <c r="AY25" s="66">
        <v>0</v>
      </c>
      <c r="AZ25" s="66">
        <f t="array" ref="AZ25">SUMIF($W$2:$AD$2,"&gt;"&amp;0,AR25:AY25)</f>
        <v>0</v>
      </c>
      <c r="BA25" s="67">
        <f t="shared" si="20"/>
        <v>0</v>
      </c>
      <c r="BB25" s="84"/>
      <c r="BC25" s="71">
        <f t="shared" si="21"/>
        <v>0</v>
      </c>
      <c r="BD25" s="957"/>
      <c r="BE25" s="70"/>
      <c r="BF25" s="66">
        <v>0</v>
      </c>
      <c r="BG25" s="66">
        <v>0</v>
      </c>
      <c r="BH25" s="66">
        <v>0</v>
      </c>
      <c r="BI25" s="66">
        <v>0</v>
      </c>
      <c r="BJ25" s="66">
        <v>0</v>
      </c>
      <c r="BK25" s="66">
        <v>0</v>
      </c>
      <c r="BL25" s="66">
        <v>0</v>
      </c>
      <c r="BM25" s="66">
        <v>0</v>
      </c>
      <c r="BN25" s="67">
        <f t="shared" si="22"/>
        <v>0</v>
      </c>
      <c r="BO25" s="68">
        <f t="shared" si="7"/>
        <v>0</v>
      </c>
      <c r="BP25" s="69"/>
      <c r="BQ25" s="133">
        <f t="shared" si="23"/>
        <v>0</v>
      </c>
      <c r="BR25" s="69"/>
      <c r="BS25" s="133">
        <f t="shared" si="24"/>
        <v>0</v>
      </c>
      <c r="BT25" s="133">
        <f t="shared" si="25"/>
        <v>0</v>
      </c>
      <c r="BU25" s="133">
        <f t="shared" si="26"/>
        <v>0</v>
      </c>
      <c r="BV25" s="133">
        <f t="shared" si="27"/>
        <v>0</v>
      </c>
      <c r="BW25" s="133">
        <f t="shared" si="28"/>
        <v>0</v>
      </c>
      <c r="BX25" s="144">
        <f t="shared" si="29"/>
        <v>0</v>
      </c>
      <c r="BY25" s="69"/>
      <c r="BZ25" s="133">
        <f t="shared" si="30"/>
        <v>0</v>
      </c>
      <c r="CA25" s="133">
        <f t="shared" si="31"/>
        <v>0</v>
      </c>
      <c r="CB25" s="133">
        <f t="shared" si="32"/>
        <v>0</v>
      </c>
      <c r="CC25" s="133">
        <f t="shared" si="33"/>
        <v>0</v>
      </c>
      <c r="CD25" s="133">
        <f t="shared" si="34"/>
        <v>0</v>
      </c>
      <c r="CE25" s="144">
        <f t="shared" si="35"/>
        <v>0</v>
      </c>
      <c r="CF25" s="133">
        <f t="shared" si="36"/>
        <v>0</v>
      </c>
      <c r="CG25" s="133">
        <f t="shared" si="37"/>
        <v>0</v>
      </c>
      <c r="CH25" s="145">
        <f t="shared" si="8"/>
        <v>0</v>
      </c>
    </row>
    <row r="26" spans="1:86" ht="14.1" customHeight="1" x14ac:dyDescent="0.25">
      <c r="A26" s="70"/>
      <c r="B26" s="133" t="s">
        <v>114</v>
      </c>
      <c r="C26" s="133" t="s">
        <v>276</v>
      </c>
      <c r="D26" s="934" t="s">
        <v>564</v>
      </c>
      <c r="E26" s="133" t="s">
        <v>612</v>
      </c>
      <c r="F26" s="66"/>
      <c r="G26" s="66">
        <f>_xlfn.IFNA(INDEX(NewRecipeTable[Percentage Yield],MATCH(E26,NewRecipeTable[ShortCode],0)),0)</f>
        <v>28.89</v>
      </c>
      <c r="H26" s="146">
        <v>1570</v>
      </c>
      <c r="I26" s="66" t="str">
        <v>No</v>
      </c>
      <c r="J26" s="133" t="s">
        <v>244</v>
      </c>
      <c r="K26" s="133">
        <f>_xlfn.IFNA(INDEX(Middles!$G$8:$G$88,MATCH($E$8:$E$62,ActivatedRecipe,0)),0)</f>
        <v>0</v>
      </c>
      <c r="L26" s="66">
        <f t="shared" si="9"/>
        <v>0</v>
      </c>
      <c r="M26" s="133">
        <f>_xlfn.IFNA(INDEX(Middles!$H$8:$H$88,MATCH($E$8:$E$62,ActivatedRecipe,0)),0)</f>
        <v>0</v>
      </c>
      <c r="N26" s="69"/>
      <c r="O26" s="92" t="s">
        <v>639</v>
      </c>
      <c r="P26" s="147">
        <f t="shared" si="10"/>
        <v>0</v>
      </c>
      <c r="Q26" s="147">
        <f t="shared" si="11"/>
        <v>0</v>
      </c>
      <c r="R26" s="147">
        <f t="shared" si="12"/>
        <v>0</v>
      </c>
      <c r="S26" s="147">
        <f t="shared" si="13"/>
        <v>0</v>
      </c>
      <c r="T26" s="147">
        <f t="shared" si="14"/>
        <v>0</v>
      </c>
      <c r="U26" s="147">
        <f t="shared" si="15"/>
        <v>0</v>
      </c>
      <c r="V26" s="69"/>
      <c r="W26" s="147">
        <v>0</v>
      </c>
      <c r="X26" s="147">
        <v>0</v>
      </c>
      <c r="Y26" s="147">
        <v>0</v>
      </c>
      <c r="Z26" s="147">
        <v>0</v>
      </c>
      <c r="AA26" s="147">
        <v>0</v>
      </c>
      <c r="AB26" s="147">
        <v>0</v>
      </c>
      <c r="AC26" s="147">
        <v>0</v>
      </c>
      <c r="AD26" s="147">
        <v>0</v>
      </c>
      <c r="AE26" s="924">
        <f t="shared" si="16"/>
        <v>0</v>
      </c>
      <c r="AF26" s="84"/>
      <c r="AG26" s="66">
        <f t="shared" si="17"/>
        <v>0</v>
      </c>
      <c r="AH26" s="139">
        <f t="shared" si="18"/>
        <v>0</v>
      </c>
      <c r="AI26" s="137">
        <f t="shared" si="19"/>
        <v>0</v>
      </c>
      <c r="AJ26" s="69"/>
      <c r="AK26" s="66">
        <v>0</v>
      </c>
      <c r="AL26" s="66">
        <v>0</v>
      </c>
      <c r="AM26" s="66">
        <v>0</v>
      </c>
      <c r="AN26" s="66">
        <v>0</v>
      </c>
      <c r="AO26" s="66">
        <v>0</v>
      </c>
      <c r="AP26" s="66">
        <v>0</v>
      </c>
      <c r="AQ26" s="69"/>
      <c r="AR26" s="66">
        <v>0</v>
      </c>
      <c r="AS26" s="66">
        <v>0</v>
      </c>
      <c r="AT26" s="66">
        <v>0</v>
      </c>
      <c r="AU26" s="66">
        <v>0</v>
      </c>
      <c r="AV26" s="66">
        <v>0</v>
      </c>
      <c r="AW26" s="66">
        <v>0</v>
      </c>
      <c r="AX26" s="66">
        <v>0</v>
      </c>
      <c r="AY26" s="66">
        <v>0</v>
      </c>
      <c r="AZ26" s="66">
        <f t="array" ref="AZ26">SUMIF($W$2:$AD$2,"&gt;"&amp;0,AR26:AY26)</f>
        <v>0</v>
      </c>
      <c r="BA26" s="67">
        <f t="shared" si="20"/>
        <v>0</v>
      </c>
      <c r="BB26" s="84"/>
      <c r="BC26" s="71">
        <f t="shared" si="21"/>
        <v>0</v>
      </c>
      <c r="BD26" s="957"/>
      <c r="BE26" s="70"/>
      <c r="BF26" s="66">
        <v>0</v>
      </c>
      <c r="BG26" s="66">
        <v>0</v>
      </c>
      <c r="BH26" s="66">
        <v>0</v>
      </c>
      <c r="BI26" s="66">
        <v>0</v>
      </c>
      <c r="BJ26" s="66">
        <v>0</v>
      </c>
      <c r="BK26" s="66">
        <v>0</v>
      </c>
      <c r="BL26" s="66">
        <v>0</v>
      </c>
      <c r="BM26" s="66">
        <v>0</v>
      </c>
      <c r="BN26" s="67">
        <f t="shared" si="22"/>
        <v>0</v>
      </c>
      <c r="BO26" s="68">
        <f t="shared" si="7"/>
        <v>0</v>
      </c>
      <c r="BP26" s="69"/>
      <c r="BQ26" s="133">
        <f t="shared" si="23"/>
        <v>0</v>
      </c>
      <c r="BR26" s="69"/>
      <c r="BS26" s="133">
        <f t="shared" si="24"/>
        <v>0</v>
      </c>
      <c r="BT26" s="133">
        <f t="shared" si="25"/>
        <v>0</v>
      </c>
      <c r="BU26" s="133">
        <f t="shared" si="26"/>
        <v>0</v>
      </c>
      <c r="BV26" s="133">
        <f t="shared" si="27"/>
        <v>0</v>
      </c>
      <c r="BW26" s="133">
        <f t="shared" si="28"/>
        <v>0</v>
      </c>
      <c r="BX26" s="144">
        <f t="shared" si="29"/>
        <v>0</v>
      </c>
      <c r="BY26" s="69"/>
      <c r="BZ26" s="133">
        <f t="shared" si="30"/>
        <v>0</v>
      </c>
      <c r="CA26" s="133">
        <f t="shared" si="31"/>
        <v>0</v>
      </c>
      <c r="CB26" s="133">
        <f t="shared" si="32"/>
        <v>0</v>
      </c>
      <c r="CC26" s="133">
        <f t="shared" si="33"/>
        <v>0</v>
      </c>
      <c r="CD26" s="133">
        <f t="shared" si="34"/>
        <v>0</v>
      </c>
      <c r="CE26" s="144">
        <f t="shared" si="35"/>
        <v>0</v>
      </c>
      <c r="CF26" s="133">
        <f t="shared" si="36"/>
        <v>0</v>
      </c>
      <c r="CG26" s="133">
        <f t="shared" si="37"/>
        <v>0</v>
      </c>
      <c r="CH26" s="145">
        <f t="shared" si="8"/>
        <v>0</v>
      </c>
    </row>
    <row r="27" spans="1:86" ht="14.1" customHeight="1" x14ac:dyDescent="0.25">
      <c r="A27" s="70"/>
      <c r="B27" s="133" t="s">
        <v>1318</v>
      </c>
      <c r="C27" s="133" t="s">
        <v>1319</v>
      </c>
      <c r="D27" s="934" t="s">
        <v>1316</v>
      </c>
      <c r="E27" s="133" t="s">
        <v>1537</v>
      </c>
      <c r="F27" s="66"/>
      <c r="G27" s="66">
        <f>_xlfn.IFNA(INDEX(NewRecipeTable[Percentage Yield],MATCH(E27,NewRecipeTable[ShortCode],0)),0)</f>
        <v>38</v>
      </c>
      <c r="H27" s="146">
        <v>1570</v>
      </c>
      <c r="I27" s="66" t="str">
        <v>No</v>
      </c>
      <c r="J27" s="133" t="s">
        <v>244</v>
      </c>
      <c r="K27" s="133">
        <f>_xlfn.IFNA(INDEX(Middles!$G$8:$G$88,MATCH($E$8:$E$62,ActivatedRecipe,0)),0)</f>
        <v>0</v>
      </c>
      <c r="L27" s="66">
        <f t="shared" si="9"/>
        <v>0</v>
      </c>
      <c r="M27" s="133">
        <f>_xlfn.IFNA(INDEX(Middles!$H$8:$H$88,MATCH($E$8:$E$62,ActivatedRecipe,0)),0)</f>
        <v>0</v>
      </c>
      <c r="N27" s="69"/>
      <c r="O27" s="92" t="s">
        <v>639</v>
      </c>
      <c r="P27" s="147">
        <f t="shared" si="10"/>
        <v>0</v>
      </c>
      <c r="Q27" s="147">
        <f t="shared" si="11"/>
        <v>0</v>
      </c>
      <c r="R27" s="147">
        <f t="shared" si="12"/>
        <v>0</v>
      </c>
      <c r="S27" s="147">
        <f t="shared" si="13"/>
        <v>0</v>
      </c>
      <c r="T27" s="147">
        <f t="shared" si="14"/>
        <v>0</v>
      </c>
      <c r="U27" s="147">
        <f t="shared" si="15"/>
        <v>0</v>
      </c>
      <c r="V27" s="69"/>
      <c r="W27" s="147">
        <v>0</v>
      </c>
      <c r="X27" s="147">
        <v>0</v>
      </c>
      <c r="Y27" s="147">
        <v>0</v>
      </c>
      <c r="Z27" s="147">
        <v>0</v>
      </c>
      <c r="AA27" s="147">
        <v>0</v>
      </c>
      <c r="AB27" s="147">
        <v>0</v>
      </c>
      <c r="AC27" s="147">
        <v>0</v>
      </c>
      <c r="AD27" s="147">
        <v>0</v>
      </c>
      <c r="AE27" s="924">
        <f t="shared" si="16"/>
        <v>0</v>
      </c>
      <c r="AF27" s="84"/>
      <c r="AG27" s="66">
        <f t="shared" si="17"/>
        <v>0</v>
      </c>
      <c r="AH27" s="139">
        <f t="shared" si="18"/>
        <v>0</v>
      </c>
      <c r="AI27" s="137">
        <f t="shared" si="19"/>
        <v>0</v>
      </c>
      <c r="AJ27" s="69"/>
      <c r="AK27" s="66">
        <v>0</v>
      </c>
      <c r="AL27" s="66">
        <v>0</v>
      </c>
      <c r="AM27" s="66">
        <v>0</v>
      </c>
      <c r="AN27" s="66">
        <v>0</v>
      </c>
      <c r="AO27" s="66">
        <v>0</v>
      </c>
      <c r="AP27" s="66">
        <v>0</v>
      </c>
      <c r="AQ27" s="69"/>
      <c r="AR27" s="66">
        <v>0</v>
      </c>
      <c r="AS27" s="66">
        <v>0</v>
      </c>
      <c r="AT27" s="66">
        <v>0</v>
      </c>
      <c r="AU27" s="66">
        <v>0</v>
      </c>
      <c r="AV27" s="66">
        <v>0</v>
      </c>
      <c r="AW27" s="66">
        <v>0</v>
      </c>
      <c r="AX27" s="66">
        <v>0</v>
      </c>
      <c r="AY27" s="66">
        <v>0</v>
      </c>
      <c r="AZ27" s="66">
        <f t="array" ref="AZ27">SUMIF($W$2:$AD$2,"&gt;"&amp;0,AR27:AY27)</f>
        <v>0</v>
      </c>
      <c r="BA27" s="67">
        <f t="shared" si="20"/>
        <v>0</v>
      </c>
      <c r="BB27" s="84"/>
      <c r="BC27" s="71">
        <f t="shared" si="21"/>
        <v>0</v>
      </c>
      <c r="BD27" s="957"/>
      <c r="BE27" s="70"/>
      <c r="BF27" s="66">
        <v>0</v>
      </c>
      <c r="BG27" s="66">
        <v>0</v>
      </c>
      <c r="BH27" s="66">
        <v>0</v>
      </c>
      <c r="BI27" s="66">
        <v>0</v>
      </c>
      <c r="BJ27" s="66">
        <v>0</v>
      </c>
      <c r="BK27" s="66">
        <v>0</v>
      </c>
      <c r="BL27" s="66">
        <v>0</v>
      </c>
      <c r="BM27" s="66">
        <v>0</v>
      </c>
      <c r="BN27" s="67">
        <f t="shared" si="22"/>
        <v>0</v>
      </c>
      <c r="BO27" s="68">
        <f t="shared" si="7"/>
        <v>0</v>
      </c>
      <c r="BP27" s="69"/>
      <c r="BQ27" s="133">
        <f t="shared" si="23"/>
        <v>0</v>
      </c>
      <c r="BR27" s="69"/>
      <c r="BS27" s="133">
        <f t="shared" si="24"/>
        <v>0</v>
      </c>
      <c r="BT27" s="133">
        <f t="shared" si="25"/>
        <v>0</v>
      </c>
      <c r="BU27" s="133">
        <f t="shared" si="26"/>
        <v>0</v>
      </c>
      <c r="BV27" s="133">
        <f t="shared" si="27"/>
        <v>0</v>
      </c>
      <c r="BW27" s="133">
        <f t="shared" si="28"/>
        <v>0</v>
      </c>
      <c r="BX27" s="144">
        <f t="shared" si="29"/>
        <v>0</v>
      </c>
      <c r="BY27" s="69"/>
      <c r="BZ27" s="133">
        <f t="shared" si="30"/>
        <v>0</v>
      </c>
      <c r="CA27" s="133">
        <f t="shared" si="31"/>
        <v>0</v>
      </c>
      <c r="CB27" s="133">
        <f t="shared" si="32"/>
        <v>0</v>
      </c>
      <c r="CC27" s="133">
        <f t="shared" si="33"/>
        <v>0</v>
      </c>
      <c r="CD27" s="133">
        <f t="shared" si="34"/>
        <v>0</v>
      </c>
      <c r="CE27" s="144">
        <f t="shared" si="35"/>
        <v>0</v>
      </c>
      <c r="CF27" s="133">
        <f t="shared" si="36"/>
        <v>0</v>
      </c>
      <c r="CG27" s="133">
        <f t="shared" si="37"/>
        <v>0</v>
      </c>
      <c r="CH27" s="145">
        <f t="shared" si="8"/>
        <v>0</v>
      </c>
    </row>
    <row r="28" spans="1:86" ht="14.1" customHeight="1" x14ac:dyDescent="0.25">
      <c r="A28" s="70"/>
      <c r="B28" s="133" t="s">
        <v>119</v>
      </c>
      <c r="C28" s="133" t="s">
        <v>274</v>
      </c>
      <c r="D28" s="934" t="s">
        <v>118</v>
      </c>
      <c r="E28" s="133" t="s">
        <v>153</v>
      </c>
      <c r="F28" s="66"/>
      <c r="G28" s="66">
        <f>_xlfn.IFNA(INDEX(NewRecipeTable[Percentage Yield],MATCH(E28,NewRecipeTable[ShortCode],0)),0)</f>
        <v>23.53</v>
      </c>
      <c r="H28" s="146">
        <v>1570</v>
      </c>
      <c r="I28" s="66" t="str">
        <v>No</v>
      </c>
      <c r="J28" s="133" t="s">
        <v>244</v>
      </c>
      <c r="K28" s="133">
        <f>_xlfn.IFNA(INDEX(Middles!$G$8:$G$88,MATCH($E$8:$E$62,ActivatedRecipe,0)),0)</f>
        <v>0</v>
      </c>
      <c r="L28" s="66">
        <f t="shared" si="9"/>
        <v>0</v>
      </c>
      <c r="M28" s="133">
        <f>_xlfn.IFNA(INDEX(Middles!$H$8:$H$88,MATCH($E$8:$E$62,ActivatedRecipe,0)),0)</f>
        <v>0</v>
      </c>
      <c r="N28" s="69"/>
      <c r="O28" s="92" t="s">
        <v>639</v>
      </c>
      <c r="P28" s="147">
        <f t="shared" si="10"/>
        <v>0</v>
      </c>
      <c r="Q28" s="147">
        <f t="shared" si="11"/>
        <v>0</v>
      </c>
      <c r="R28" s="147">
        <f t="shared" si="12"/>
        <v>0</v>
      </c>
      <c r="S28" s="147">
        <f t="shared" si="13"/>
        <v>0</v>
      </c>
      <c r="T28" s="147">
        <f t="shared" si="14"/>
        <v>0</v>
      </c>
      <c r="U28" s="147">
        <f t="shared" si="15"/>
        <v>0</v>
      </c>
      <c r="V28" s="69"/>
      <c r="W28" s="147">
        <v>0</v>
      </c>
      <c r="X28" s="147">
        <v>0</v>
      </c>
      <c r="Y28" s="147">
        <v>0</v>
      </c>
      <c r="Z28" s="147">
        <v>0</v>
      </c>
      <c r="AA28" s="147">
        <v>0</v>
      </c>
      <c r="AB28" s="147">
        <v>0</v>
      </c>
      <c r="AC28" s="147">
        <v>0</v>
      </c>
      <c r="AD28" s="147">
        <v>0</v>
      </c>
      <c r="AE28" s="924">
        <f t="shared" si="16"/>
        <v>0</v>
      </c>
      <c r="AF28" s="84"/>
      <c r="AG28" s="66">
        <f t="shared" si="17"/>
        <v>0</v>
      </c>
      <c r="AH28" s="139">
        <f t="shared" si="18"/>
        <v>0</v>
      </c>
      <c r="AI28" s="137">
        <f t="shared" si="19"/>
        <v>0</v>
      </c>
      <c r="AJ28" s="69"/>
      <c r="AK28" s="66">
        <v>0</v>
      </c>
      <c r="AL28" s="66">
        <v>0</v>
      </c>
      <c r="AM28" s="66">
        <v>0</v>
      </c>
      <c r="AN28" s="66">
        <v>0</v>
      </c>
      <c r="AO28" s="66">
        <v>0</v>
      </c>
      <c r="AP28" s="66">
        <v>0</v>
      </c>
      <c r="AQ28" s="69"/>
      <c r="AR28" s="66">
        <v>0</v>
      </c>
      <c r="AS28" s="66">
        <v>0</v>
      </c>
      <c r="AT28" s="66">
        <v>0</v>
      </c>
      <c r="AU28" s="66">
        <v>0</v>
      </c>
      <c r="AV28" s="66">
        <v>0</v>
      </c>
      <c r="AW28" s="66">
        <v>0</v>
      </c>
      <c r="AX28" s="66">
        <v>0</v>
      </c>
      <c r="AY28" s="66">
        <v>0</v>
      </c>
      <c r="AZ28" s="66">
        <f t="array" ref="AZ28">SUMIF($W$2:$AD$2,"&gt;"&amp;0,AR28:AY28)</f>
        <v>0</v>
      </c>
      <c r="BA28" s="67">
        <f t="shared" si="20"/>
        <v>0</v>
      </c>
      <c r="BB28" s="84"/>
      <c r="BC28" s="71">
        <f t="shared" si="21"/>
        <v>0</v>
      </c>
      <c r="BD28" s="957"/>
      <c r="BE28" s="70"/>
      <c r="BF28" s="66">
        <v>0</v>
      </c>
      <c r="BG28" s="66">
        <v>0</v>
      </c>
      <c r="BH28" s="66">
        <v>0</v>
      </c>
      <c r="BI28" s="66">
        <v>0</v>
      </c>
      <c r="BJ28" s="66">
        <v>0</v>
      </c>
      <c r="BK28" s="66">
        <v>0</v>
      </c>
      <c r="BL28" s="66">
        <v>0</v>
      </c>
      <c r="BM28" s="66">
        <v>0</v>
      </c>
      <c r="BN28" s="67">
        <f t="shared" si="22"/>
        <v>0</v>
      </c>
      <c r="BO28" s="68">
        <f t="shared" si="7"/>
        <v>0</v>
      </c>
      <c r="BP28" s="69"/>
      <c r="BQ28" s="133">
        <f t="shared" si="23"/>
        <v>0</v>
      </c>
      <c r="BR28" s="69"/>
      <c r="BS28" s="133">
        <f t="shared" si="24"/>
        <v>0</v>
      </c>
      <c r="BT28" s="133">
        <f t="shared" si="25"/>
        <v>0</v>
      </c>
      <c r="BU28" s="133">
        <f t="shared" si="26"/>
        <v>0</v>
      </c>
      <c r="BV28" s="133">
        <f t="shared" si="27"/>
        <v>0</v>
      </c>
      <c r="BW28" s="133">
        <f t="shared" si="28"/>
        <v>0</v>
      </c>
      <c r="BX28" s="144">
        <f t="shared" si="29"/>
        <v>0</v>
      </c>
      <c r="BY28" s="69"/>
      <c r="BZ28" s="133">
        <f t="shared" si="30"/>
        <v>0</v>
      </c>
      <c r="CA28" s="133">
        <f t="shared" si="31"/>
        <v>0</v>
      </c>
      <c r="CB28" s="133">
        <f t="shared" si="32"/>
        <v>0</v>
      </c>
      <c r="CC28" s="133">
        <f t="shared" si="33"/>
        <v>0</v>
      </c>
      <c r="CD28" s="133">
        <f t="shared" si="34"/>
        <v>0</v>
      </c>
      <c r="CE28" s="144">
        <f t="shared" si="35"/>
        <v>0</v>
      </c>
      <c r="CF28" s="133">
        <f t="shared" si="36"/>
        <v>0</v>
      </c>
      <c r="CG28" s="133">
        <f t="shared" si="37"/>
        <v>0</v>
      </c>
      <c r="CH28" s="145">
        <f t="shared" si="8"/>
        <v>0</v>
      </c>
    </row>
    <row r="29" spans="1:86" ht="14.1" customHeight="1" x14ac:dyDescent="0.25">
      <c r="A29" s="70"/>
      <c r="B29" s="133" t="s">
        <v>119</v>
      </c>
      <c r="C29" s="133" t="s">
        <v>274</v>
      </c>
      <c r="D29" s="934" t="s">
        <v>1343</v>
      </c>
      <c r="E29" s="133" t="s">
        <v>1538</v>
      </c>
      <c r="F29" s="66"/>
      <c r="G29" s="66">
        <f>_xlfn.IFNA(INDEX(NewRecipeTable[Percentage Yield],MATCH(E29,NewRecipeTable[ShortCode],0)),0)</f>
        <v>20</v>
      </c>
      <c r="H29" s="146">
        <v>1570</v>
      </c>
      <c r="I29" s="66" t="str">
        <v>No</v>
      </c>
      <c r="J29" s="133" t="s">
        <v>244</v>
      </c>
      <c r="K29" s="133">
        <f>_xlfn.IFNA(INDEX(Middles!$G$8:$G$88,MATCH($E$8:$E$62,ActivatedRecipe,0)),0)</f>
        <v>0</v>
      </c>
      <c r="L29" s="66">
        <f t="shared" si="9"/>
        <v>0</v>
      </c>
      <c r="M29" s="133">
        <f>_xlfn.IFNA(INDEX(Middles!$H$8:$H$88,MATCH($E$8:$E$62,ActivatedRecipe,0)),0)</f>
        <v>0</v>
      </c>
      <c r="N29" s="69"/>
      <c r="O29" s="92" t="s">
        <v>639</v>
      </c>
      <c r="P29" s="147">
        <f t="shared" si="10"/>
        <v>0</v>
      </c>
      <c r="Q29" s="147">
        <f t="shared" si="11"/>
        <v>0</v>
      </c>
      <c r="R29" s="147">
        <f t="shared" si="12"/>
        <v>0</v>
      </c>
      <c r="S29" s="147">
        <f t="shared" si="13"/>
        <v>0</v>
      </c>
      <c r="T29" s="147">
        <f t="shared" si="14"/>
        <v>0</v>
      </c>
      <c r="U29" s="147">
        <f t="shared" si="15"/>
        <v>0</v>
      </c>
      <c r="V29" s="69"/>
      <c r="W29" s="147">
        <v>0</v>
      </c>
      <c r="X29" s="147">
        <v>0</v>
      </c>
      <c r="Y29" s="147">
        <v>0</v>
      </c>
      <c r="Z29" s="147">
        <v>0</v>
      </c>
      <c r="AA29" s="147">
        <v>0</v>
      </c>
      <c r="AB29" s="147">
        <v>0</v>
      </c>
      <c r="AC29" s="147">
        <v>0</v>
      </c>
      <c r="AD29" s="147">
        <v>0</v>
      </c>
      <c r="AE29" s="924">
        <f t="shared" si="16"/>
        <v>0</v>
      </c>
      <c r="AF29" s="84"/>
      <c r="AG29" s="66">
        <f t="shared" si="17"/>
        <v>0</v>
      </c>
      <c r="AH29" s="139">
        <f t="shared" si="18"/>
        <v>0</v>
      </c>
      <c r="AI29" s="137">
        <f t="shared" si="19"/>
        <v>0</v>
      </c>
      <c r="AJ29" s="69"/>
      <c r="AK29" s="66">
        <v>0</v>
      </c>
      <c r="AL29" s="66">
        <v>0</v>
      </c>
      <c r="AM29" s="66">
        <v>0</v>
      </c>
      <c r="AN29" s="66">
        <v>0</v>
      </c>
      <c r="AO29" s="66">
        <v>0</v>
      </c>
      <c r="AP29" s="66">
        <v>0</v>
      </c>
      <c r="AQ29" s="69"/>
      <c r="AR29" s="66">
        <v>0</v>
      </c>
      <c r="AS29" s="66">
        <v>0</v>
      </c>
      <c r="AT29" s="66">
        <v>0</v>
      </c>
      <c r="AU29" s="66">
        <v>0</v>
      </c>
      <c r="AV29" s="66">
        <v>0</v>
      </c>
      <c r="AW29" s="66">
        <v>0</v>
      </c>
      <c r="AX29" s="66">
        <v>0</v>
      </c>
      <c r="AY29" s="66">
        <v>0</v>
      </c>
      <c r="AZ29" s="66">
        <f t="array" ref="AZ29">SUMIF($W$2:$AD$2,"&gt;"&amp;0,AR29:AY29)</f>
        <v>0</v>
      </c>
      <c r="BA29" s="67">
        <f t="shared" si="20"/>
        <v>0</v>
      </c>
      <c r="BB29" s="84"/>
      <c r="BC29" s="71">
        <f t="shared" si="21"/>
        <v>0</v>
      </c>
      <c r="BD29" s="957"/>
      <c r="BE29" s="70"/>
      <c r="BF29" s="66">
        <v>0</v>
      </c>
      <c r="BG29" s="66">
        <v>0</v>
      </c>
      <c r="BH29" s="66">
        <v>0</v>
      </c>
      <c r="BI29" s="66">
        <v>0</v>
      </c>
      <c r="BJ29" s="66">
        <v>0</v>
      </c>
      <c r="BK29" s="66">
        <v>0</v>
      </c>
      <c r="BL29" s="66">
        <v>0</v>
      </c>
      <c r="BM29" s="66">
        <v>0</v>
      </c>
      <c r="BN29" s="67">
        <f t="shared" si="22"/>
        <v>0</v>
      </c>
      <c r="BO29" s="68">
        <f t="shared" si="7"/>
        <v>0</v>
      </c>
      <c r="BP29" s="69"/>
      <c r="BQ29" s="133">
        <f t="shared" si="23"/>
        <v>0</v>
      </c>
      <c r="BR29" s="69"/>
      <c r="BS29" s="133">
        <f t="shared" si="24"/>
        <v>0</v>
      </c>
      <c r="BT29" s="133">
        <f t="shared" si="25"/>
        <v>0</v>
      </c>
      <c r="BU29" s="133">
        <f t="shared" si="26"/>
        <v>0</v>
      </c>
      <c r="BV29" s="133">
        <f t="shared" si="27"/>
        <v>0</v>
      </c>
      <c r="BW29" s="133">
        <f t="shared" si="28"/>
        <v>0</v>
      </c>
      <c r="BX29" s="144">
        <f t="shared" si="29"/>
        <v>0</v>
      </c>
      <c r="BY29" s="69"/>
      <c r="BZ29" s="133">
        <f t="shared" si="30"/>
        <v>0</v>
      </c>
      <c r="CA29" s="133">
        <f t="shared" si="31"/>
        <v>0</v>
      </c>
      <c r="CB29" s="133">
        <f t="shared" si="32"/>
        <v>0</v>
      </c>
      <c r="CC29" s="133">
        <f t="shared" si="33"/>
        <v>0</v>
      </c>
      <c r="CD29" s="133">
        <f t="shared" si="34"/>
        <v>0</v>
      </c>
      <c r="CE29" s="144">
        <f t="shared" si="35"/>
        <v>0</v>
      </c>
      <c r="CF29" s="133">
        <f t="shared" si="36"/>
        <v>0</v>
      </c>
      <c r="CG29" s="133">
        <f t="shared" si="37"/>
        <v>0</v>
      </c>
      <c r="CH29" s="145">
        <f t="shared" si="8"/>
        <v>0</v>
      </c>
    </row>
    <row r="30" spans="1:86" ht="14.1" customHeight="1" x14ac:dyDescent="0.25">
      <c r="A30" s="70"/>
      <c r="B30" s="133" t="s">
        <v>119</v>
      </c>
      <c r="C30" s="133" t="s">
        <v>274</v>
      </c>
      <c r="D30" s="934" t="s">
        <v>120</v>
      </c>
      <c r="E30" s="133" t="s">
        <v>154</v>
      </c>
      <c r="F30" s="66"/>
      <c r="G30" s="66">
        <f>_xlfn.IFNA(INDEX(NewRecipeTable[Percentage Yield],MATCH(E30,NewRecipeTable[ShortCode],0)),0)</f>
        <v>23.53</v>
      </c>
      <c r="H30" s="146">
        <v>1570</v>
      </c>
      <c r="I30" s="66" t="str">
        <v>No</v>
      </c>
      <c r="J30" s="133" t="s">
        <v>244</v>
      </c>
      <c r="K30" s="133">
        <f>_xlfn.IFNA(INDEX(Middles!$G$8:$G$88,MATCH($E$8:$E$62,ActivatedRecipe,0)),0)</f>
        <v>0</v>
      </c>
      <c r="L30" s="66">
        <f t="shared" si="9"/>
        <v>0</v>
      </c>
      <c r="M30" s="133">
        <f>_xlfn.IFNA(INDEX(Middles!$H$8:$H$88,MATCH($E$8:$E$62,ActivatedRecipe,0)),0)</f>
        <v>0</v>
      </c>
      <c r="N30" s="69"/>
      <c r="O30" s="92" t="s">
        <v>639</v>
      </c>
      <c r="P30" s="147">
        <f t="shared" si="10"/>
        <v>0</v>
      </c>
      <c r="Q30" s="147">
        <f t="shared" si="11"/>
        <v>0</v>
      </c>
      <c r="R30" s="147">
        <f t="shared" si="12"/>
        <v>0</v>
      </c>
      <c r="S30" s="147">
        <f t="shared" si="13"/>
        <v>0</v>
      </c>
      <c r="T30" s="147">
        <f t="shared" si="14"/>
        <v>0</v>
      </c>
      <c r="U30" s="147">
        <f t="shared" si="15"/>
        <v>0</v>
      </c>
      <c r="V30" s="69"/>
      <c r="W30" s="147">
        <v>0</v>
      </c>
      <c r="X30" s="147">
        <v>0</v>
      </c>
      <c r="Y30" s="147">
        <v>0</v>
      </c>
      <c r="Z30" s="147">
        <v>0</v>
      </c>
      <c r="AA30" s="147">
        <v>0</v>
      </c>
      <c r="AB30" s="147">
        <v>0</v>
      </c>
      <c r="AC30" s="147">
        <v>0</v>
      </c>
      <c r="AD30" s="147">
        <v>0</v>
      </c>
      <c r="AE30" s="924">
        <f t="shared" si="16"/>
        <v>0</v>
      </c>
      <c r="AF30" s="84"/>
      <c r="AG30" s="66">
        <f t="shared" si="17"/>
        <v>0</v>
      </c>
      <c r="AH30" s="139">
        <f t="shared" si="18"/>
        <v>0</v>
      </c>
      <c r="AI30" s="137">
        <f t="shared" si="19"/>
        <v>0</v>
      </c>
      <c r="AJ30" s="69"/>
      <c r="AK30" s="66">
        <v>0</v>
      </c>
      <c r="AL30" s="66">
        <v>0</v>
      </c>
      <c r="AM30" s="66">
        <v>0</v>
      </c>
      <c r="AN30" s="66">
        <v>0</v>
      </c>
      <c r="AO30" s="66">
        <v>0</v>
      </c>
      <c r="AP30" s="66">
        <v>0</v>
      </c>
      <c r="AQ30" s="69"/>
      <c r="AR30" s="66">
        <v>0</v>
      </c>
      <c r="AS30" s="66">
        <v>0</v>
      </c>
      <c r="AT30" s="66">
        <v>0</v>
      </c>
      <c r="AU30" s="66">
        <v>0</v>
      </c>
      <c r="AV30" s="66">
        <v>0</v>
      </c>
      <c r="AW30" s="66">
        <v>0</v>
      </c>
      <c r="AX30" s="66">
        <v>0</v>
      </c>
      <c r="AY30" s="66">
        <v>0</v>
      </c>
      <c r="AZ30" s="66">
        <f t="array" ref="AZ30">SUMIF($W$2:$AD$2,"&gt;"&amp;0,AR30:AY30)</f>
        <v>0</v>
      </c>
      <c r="BA30" s="67">
        <f t="shared" si="20"/>
        <v>0</v>
      </c>
      <c r="BB30" s="84"/>
      <c r="BC30" s="71">
        <f t="shared" si="21"/>
        <v>0</v>
      </c>
      <c r="BD30" s="957"/>
      <c r="BE30" s="70"/>
      <c r="BF30" s="66">
        <v>0</v>
      </c>
      <c r="BG30" s="66">
        <v>0</v>
      </c>
      <c r="BH30" s="66">
        <v>0</v>
      </c>
      <c r="BI30" s="66">
        <v>0</v>
      </c>
      <c r="BJ30" s="66">
        <v>0</v>
      </c>
      <c r="BK30" s="66">
        <v>0</v>
      </c>
      <c r="BL30" s="66">
        <v>0</v>
      </c>
      <c r="BM30" s="66">
        <v>0</v>
      </c>
      <c r="BN30" s="67">
        <f t="shared" si="22"/>
        <v>0</v>
      </c>
      <c r="BO30" s="68">
        <f t="shared" si="7"/>
        <v>0</v>
      </c>
      <c r="BP30" s="69"/>
      <c r="BQ30" s="133">
        <f t="shared" si="23"/>
        <v>0</v>
      </c>
      <c r="BR30" s="69"/>
      <c r="BS30" s="133">
        <f t="shared" si="24"/>
        <v>0</v>
      </c>
      <c r="BT30" s="133">
        <f t="shared" si="25"/>
        <v>0</v>
      </c>
      <c r="BU30" s="133">
        <f t="shared" si="26"/>
        <v>0</v>
      </c>
      <c r="BV30" s="133">
        <f t="shared" si="27"/>
        <v>0</v>
      </c>
      <c r="BW30" s="133">
        <f t="shared" si="28"/>
        <v>0</v>
      </c>
      <c r="BX30" s="144">
        <f t="shared" si="29"/>
        <v>0</v>
      </c>
      <c r="BY30" s="69"/>
      <c r="BZ30" s="133">
        <f t="shared" si="30"/>
        <v>0</v>
      </c>
      <c r="CA30" s="133">
        <f t="shared" si="31"/>
        <v>0</v>
      </c>
      <c r="CB30" s="133">
        <f t="shared" si="32"/>
        <v>0</v>
      </c>
      <c r="CC30" s="133">
        <f t="shared" si="33"/>
        <v>0</v>
      </c>
      <c r="CD30" s="133">
        <f t="shared" si="34"/>
        <v>0</v>
      </c>
      <c r="CE30" s="144">
        <f t="shared" si="35"/>
        <v>0</v>
      </c>
      <c r="CF30" s="133">
        <f t="shared" si="36"/>
        <v>0</v>
      </c>
      <c r="CG30" s="133">
        <f t="shared" si="37"/>
        <v>0</v>
      </c>
      <c r="CH30" s="145">
        <f t="shared" si="8"/>
        <v>0</v>
      </c>
    </row>
    <row r="31" spans="1:86" ht="14.1" customHeight="1" x14ac:dyDescent="0.25">
      <c r="A31" s="70"/>
      <c r="B31" s="133" t="s">
        <v>122</v>
      </c>
      <c r="C31" s="133" t="s">
        <v>294</v>
      </c>
      <c r="D31" s="934" t="s">
        <v>554</v>
      </c>
      <c r="E31" s="133" t="s">
        <v>607</v>
      </c>
      <c r="F31" s="66"/>
      <c r="G31" s="66">
        <f>_xlfn.IFNA(INDEX(NewRecipeTable[Percentage Yield],MATCH(E31,NewRecipeTable[ShortCode],0)),0)</f>
        <v>41.04</v>
      </c>
      <c r="H31" s="146">
        <v>1570</v>
      </c>
      <c r="I31" s="66" t="str">
        <v>No</v>
      </c>
      <c r="J31" s="133" t="s">
        <v>244</v>
      </c>
      <c r="K31" s="133">
        <f>_xlfn.IFNA(INDEX(Middles!$G$8:$G$88,MATCH($E$8:$E$62,ActivatedRecipe,0)),0)</f>
        <v>0</v>
      </c>
      <c r="L31" s="66">
        <f t="shared" si="9"/>
        <v>0</v>
      </c>
      <c r="M31" s="133">
        <f>_xlfn.IFNA(INDEX(Middles!$H$8:$H$88,MATCH($E$8:$E$62,ActivatedRecipe,0)),0)</f>
        <v>0</v>
      </c>
      <c r="N31" s="69"/>
      <c r="O31" s="92" t="s">
        <v>639</v>
      </c>
      <c r="P31" s="147">
        <f t="shared" si="10"/>
        <v>0</v>
      </c>
      <c r="Q31" s="147">
        <f t="shared" si="11"/>
        <v>0</v>
      </c>
      <c r="R31" s="147">
        <f t="shared" si="12"/>
        <v>0</v>
      </c>
      <c r="S31" s="147">
        <f t="shared" si="13"/>
        <v>0</v>
      </c>
      <c r="T31" s="147">
        <f t="shared" si="14"/>
        <v>0</v>
      </c>
      <c r="U31" s="147">
        <f t="shared" si="15"/>
        <v>0</v>
      </c>
      <c r="V31" s="69"/>
      <c r="W31" s="147">
        <v>0</v>
      </c>
      <c r="X31" s="147">
        <v>0</v>
      </c>
      <c r="Y31" s="147">
        <v>0</v>
      </c>
      <c r="Z31" s="147">
        <v>0</v>
      </c>
      <c r="AA31" s="147">
        <v>0</v>
      </c>
      <c r="AB31" s="147">
        <v>0</v>
      </c>
      <c r="AC31" s="147">
        <v>0</v>
      </c>
      <c r="AD31" s="147">
        <v>0</v>
      </c>
      <c r="AE31" s="924">
        <f t="shared" si="16"/>
        <v>0</v>
      </c>
      <c r="AF31" s="84"/>
      <c r="AG31" s="66">
        <f t="shared" si="17"/>
        <v>0</v>
      </c>
      <c r="AH31" s="139">
        <f t="shared" si="18"/>
        <v>0</v>
      </c>
      <c r="AI31" s="137">
        <f t="shared" si="19"/>
        <v>0</v>
      </c>
      <c r="AJ31" s="69"/>
      <c r="AK31" s="66">
        <v>0</v>
      </c>
      <c r="AL31" s="66">
        <v>0</v>
      </c>
      <c r="AM31" s="66">
        <v>0</v>
      </c>
      <c r="AN31" s="66">
        <v>0</v>
      </c>
      <c r="AO31" s="66">
        <v>0</v>
      </c>
      <c r="AP31" s="66">
        <v>0</v>
      </c>
      <c r="AQ31" s="69"/>
      <c r="AR31" s="66">
        <v>0</v>
      </c>
      <c r="AS31" s="66">
        <v>0</v>
      </c>
      <c r="AT31" s="66">
        <v>0</v>
      </c>
      <c r="AU31" s="66">
        <v>0</v>
      </c>
      <c r="AV31" s="66">
        <v>0</v>
      </c>
      <c r="AW31" s="66">
        <v>0</v>
      </c>
      <c r="AX31" s="66">
        <v>0</v>
      </c>
      <c r="AY31" s="66">
        <v>0</v>
      </c>
      <c r="AZ31" s="66">
        <f t="array" ref="AZ31">SUMIF($W$2:$AD$2,"&gt;"&amp;0,AR31:AY31)</f>
        <v>0</v>
      </c>
      <c r="BA31" s="67">
        <f t="shared" si="20"/>
        <v>0</v>
      </c>
      <c r="BB31" s="84"/>
      <c r="BC31" s="71">
        <f t="shared" si="21"/>
        <v>0</v>
      </c>
      <c r="BD31" s="957"/>
      <c r="BE31" s="70"/>
      <c r="BF31" s="66">
        <v>0</v>
      </c>
      <c r="BG31" s="66">
        <v>0</v>
      </c>
      <c r="BH31" s="66">
        <v>0</v>
      </c>
      <c r="BI31" s="66">
        <v>0</v>
      </c>
      <c r="BJ31" s="66">
        <v>0</v>
      </c>
      <c r="BK31" s="66">
        <v>0</v>
      </c>
      <c r="BL31" s="66">
        <v>0</v>
      </c>
      <c r="BM31" s="66">
        <v>0</v>
      </c>
      <c r="BN31" s="67">
        <f t="shared" si="22"/>
        <v>0</v>
      </c>
      <c r="BO31" s="68">
        <f t="shared" si="7"/>
        <v>0</v>
      </c>
      <c r="BP31" s="69"/>
      <c r="BQ31" s="133">
        <f t="shared" si="23"/>
        <v>0</v>
      </c>
      <c r="BR31" s="69"/>
      <c r="BS31" s="133">
        <f t="shared" si="24"/>
        <v>0</v>
      </c>
      <c r="BT31" s="133">
        <f t="shared" si="25"/>
        <v>0</v>
      </c>
      <c r="BU31" s="133">
        <f t="shared" si="26"/>
        <v>0</v>
      </c>
      <c r="BV31" s="133">
        <f t="shared" si="27"/>
        <v>0</v>
      </c>
      <c r="BW31" s="133">
        <f t="shared" si="28"/>
        <v>0</v>
      </c>
      <c r="BX31" s="144">
        <f t="shared" si="29"/>
        <v>0</v>
      </c>
      <c r="BY31" s="69"/>
      <c r="BZ31" s="133">
        <f t="shared" si="30"/>
        <v>0</v>
      </c>
      <c r="CA31" s="133">
        <f t="shared" si="31"/>
        <v>0</v>
      </c>
      <c r="CB31" s="133">
        <f t="shared" si="32"/>
        <v>0</v>
      </c>
      <c r="CC31" s="133">
        <f t="shared" si="33"/>
        <v>0</v>
      </c>
      <c r="CD31" s="133">
        <f t="shared" si="34"/>
        <v>0</v>
      </c>
      <c r="CE31" s="144">
        <f t="shared" si="35"/>
        <v>0</v>
      </c>
      <c r="CF31" s="133">
        <f t="shared" si="36"/>
        <v>0</v>
      </c>
      <c r="CG31" s="133">
        <f t="shared" si="37"/>
        <v>0</v>
      </c>
      <c r="CH31" s="145">
        <f t="shared" si="8"/>
        <v>0</v>
      </c>
    </row>
    <row r="32" spans="1:86" ht="14.1" customHeight="1" x14ac:dyDescent="0.25">
      <c r="A32" s="70"/>
      <c r="B32" s="133" t="s">
        <v>122</v>
      </c>
      <c r="C32" s="133" t="s">
        <v>294</v>
      </c>
      <c r="D32" s="934" t="s">
        <v>121</v>
      </c>
      <c r="E32" s="133" t="s">
        <v>155</v>
      </c>
      <c r="F32" s="66"/>
      <c r="G32" s="66">
        <f>_xlfn.IFNA(INDEX(NewRecipeTable[Percentage Yield],MATCH(E32,NewRecipeTable[ShortCode],0)),0)</f>
        <v>41.04</v>
      </c>
      <c r="H32" s="146">
        <v>1570</v>
      </c>
      <c r="I32" s="66" t="str">
        <v>Yes</v>
      </c>
      <c r="J32" s="133" t="s">
        <v>244</v>
      </c>
      <c r="K32" s="133">
        <f>_xlfn.IFNA(INDEX(Middles!$G$8:$G$88,MATCH($E$8:$E$62,ActivatedRecipe,0)),0)</f>
        <v>82</v>
      </c>
      <c r="L32" s="66">
        <f t="shared" si="9"/>
        <v>787.99187725631771</v>
      </c>
      <c r="M32" s="133">
        <f>_xlfn.IFNA(INDEX(Middles!$H$8:$H$88,MATCH($E$8:$E$62,ActivatedRecipe,0)),0)</f>
        <v>325.8</v>
      </c>
      <c r="N32" s="69"/>
      <c r="O32" s="92" t="s">
        <v>639</v>
      </c>
      <c r="P32" s="147">
        <f t="shared" si="10"/>
        <v>0</v>
      </c>
      <c r="Q32" s="147">
        <f t="shared" si="11"/>
        <v>0</v>
      </c>
      <c r="R32" s="147">
        <f t="shared" si="12"/>
        <v>0</v>
      </c>
      <c r="S32" s="147">
        <f t="shared" si="13"/>
        <v>0</v>
      </c>
      <c r="T32" s="147">
        <f t="shared" si="14"/>
        <v>177.77600000000001</v>
      </c>
      <c r="U32" s="147">
        <f t="shared" si="15"/>
        <v>0</v>
      </c>
      <c r="V32" s="69"/>
      <c r="W32" s="147">
        <v>59.46807735573632</v>
      </c>
      <c r="X32" s="147">
        <v>63.009821677907958</v>
      </c>
      <c r="Y32" s="147">
        <v>92.93944734116603</v>
      </c>
      <c r="Z32" s="147">
        <v>8.8342053868416492</v>
      </c>
      <c r="AA32" s="147">
        <v>0</v>
      </c>
      <c r="AB32" s="147">
        <v>0</v>
      </c>
      <c r="AC32" s="147">
        <v>60.164325386938224</v>
      </c>
      <c r="AD32" s="147">
        <v>0</v>
      </c>
      <c r="AE32" s="924">
        <f t="shared" si="16"/>
        <v>462.19187714859021</v>
      </c>
      <c r="AF32" s="84"/>
      <c r="AG32" s="66">
        <f t="shared" si="17"/>
        <v>41.345603857541278</v>
      </c>
      <c r="AH32" s="139">
        <f t="shared" si="18"/>
        <v>41.04</v>
      </c>
      <c r="AI32" s="137">
        <f t="shared" si="19"/>
        <v>-0.3056038575412785</v>
      </c>
      <c r="AJ32" s="69"/>
      <c r="AK32" s="66">
        <v>0</v>
      </c>
      <c r="AL32" s="66">
        <v>0</v>
      </c>
      <c r="AM32" s="66">
        <v>0</v>
      </c>
      <c r="AN32" s="66">
        <v>0</v>
      </c>
      <c r="AO32" s="66">
        <v>26.89</v>
      </c>
      <c r="AP32" s="66">
        <v>0</v>
      </c>
      <c r="AQ32" s="69"/>
      <c r="AR32" s="66">
        <v>9.42</v>
      </c>
      <c r="AS32" s="66">
        <v>4.25</v>
      </c>
      <c r="AT32" s="66">
        <v>9.49</v>
      </c>
      <c r="AU32" s="66">
        <v>1.03</v>
      </c>
      <c r="AV32" s="66">
        <v>0</v>
      </c>
      <c r="AW32" s="66">
        <v>0</v>
      </c>
      <c r="AX32" s="66">
        <v>7.82</v>
      </c>
      <c r="AY32" s="66">
        <v>0.06</v>
      </c>
      <c r="AZ32" s="66">
        <f t="array" ref="AZ32">SUMIF($W$2:$AD$2,"&gt;"&amp;0,AR32:AY32)</f>
        <v>32.010000000000005</v>
      </c>
      <c r="BA32" s="67">
        <f t="shared" si="20"/>
        <v>100</v>
      </c>
      <c r="BB32" s="84"/>
      <c r="BC32" s="71">
        <f t="shared" si="21"/>
        <v>0</v>
      </c>
      <c r="BD32" s="957">
        <v>30.494481000000025</v>
      </c>
      <c r="BE32" s="70"/>
      <c r="BF32" s="66">
        <v>11.605574498512903</v>
      </c>
      <c r="BG32" s="66">
        <v>12.058498383173855</v>
      </c>
      <c r="BH32" s="66">
        <v>0</v>
      </c>
      <c r="BI32" s="66">
        <v>1.4595469913674526</v>
      </c>
      <c r="BJ32" s="66">
        <v>0</v>
      </c>
      <c r="BK32" s="66">
        <v>0</v>
      </c>
      <c r="BL32" s="66">
        <v>5.3539554579657578</v>
      </c>
      <c r="BM32" s="66">
        <v>1.6905668980059633E-2</v>
      </c>
      <c r="BN32" s="67">
        <f t="shared" si="22"/>
        <v>5.3708611269458171</v>
      </c>
      <c r="BO32" s="68">
        <f t="shared" si="7"/>
        <v>30.494481000000025</v>
      </c>
      <c r="BP32" s="69"/>
      <c r="BQ32" s="133">
        <f t="shared" si="23"/>
        <v>41.345603857541278</v>
      </c>
      <c r="BR32" s="69"/>
      <c r="BS32" s="133">
        <f t="shared" si="24"/>
        <v>0</v>
      </c>
      <c r="BT32" s="133">
        <f t="shared" si="25"/>
        <v>0</v>
      </c>
      <c r="BU32" s="133">
        <f t="shared" si="26"/>
        <v>0</v>
      </c>
      <c r="BV32" s="133">
        <f t="shared" si="27"/>
        <v>0</v>
      </c>
      <c r="BW32" s="133">
        <f t="shared" si="28"/>
        <v>22.560638647569853</v>
      </c>
      <c r="BX32" s="144">
        <f t="shared" si="29"/>
        <v>0</v>
      </c>
      <c r="BY32" s="69"/>
      <c r="BZ32" s="133">
        <f t="shared" si="30"/>
        <v>7.546788117003973</v>
      </c>
      <c r="CA32" s="133">
        <f t="shared" si="31"/>
        <v>7.9962526894693031</v>
      </c>
      <c r="CB32" s="133">
        <f t="shared" si="32"/>
        <v>11.794467687251899</v>
      </c>
      <c r="CC32" s="133">
        <f t="shared" si="33"/>
        <v>1.1211036105601966</v>
      </c>
      <c r="CD32" s="133">
        <f t="shared" si="34"/>
        <v>0</v>
      </c>
      <c r="CE32" s="144">
        <f t="shared" si="35"/>
        <v>0</v>
      </c>
      <c r="CF32" s="133">
        <f t="shared" si="36"/>
        <v>7.6351453769323561</v>
      </c>
      <c r="CG32" s="133">
        <f t="shared" si="37"/>
        <v>0</v>
      </c>
      <c r="CH32" s="145">
        <f t="shared" si="8"/>
        <v>99.999999986328859</v>
      </c>
    </row>
    <row r="33" spans="1:86" ht="14.1" customHeight="1" x14ac:dyDescent="0.25">
      <c r="A33" s="70"/>
      <c r="B33" s="133" t="s">
        <v>122</v>
      </c>
      <c r="C33" s="133" t="s">
        <v>294</v>
      </c>
      <c r="D33" s="934" t="s">
        <v>566</v>
      </c>
      <c r="E33" s="133" t="s">
        <v>613</v>
      </c>
      <c r="F33" s="66"/>
      <c r="G33" s="66">
        <f>_xlfn.IFNA(INDEX(NewRecipeTable[Percentage Yield],MATCH(E33,NewRecipeTable[ShortCode],0)),0)</f>
        <v>41.04</v>
      </c>
      <c r="H33" s="146">
        <v>1570</v>
      </c>
      <c r="I33" s="66" t="str">
        <v>No</v>
      </c>
      <c r="J33" s="133" t="s">
        <v>244</v>
      </c>
      <c r="K33" s="133">
        <f>_xlfn.IFNA(INDEX(Middles!$G$8:$G$88,MATCH($E$8:$E$62,ActivatedRecipe,0)),0)</f>
        <v>0</v>
      </c>
      <c r="L33" s="66">
        <f t="shared" si="9"/>
        <v>0</v>
      </c>
      <c r="M33" s="133">
        <f>_xlfn.IFNA(INDEX(Middles!$H$8:$H$88,MATCH($E$8:$E$62,ActivatedRecipe,0)),0)</f>
        <v>0</v>
      </c>
      <c r="N33" s="69"/>
      <c r="O33" s="92" t="s">
        <v>639</v>
      </c>
      <c r="P33" s="147">
        <f t="shared" si="10"/>
        <v>0</v>
      </c>
      <c r="Q33" s="147">
        <f t="shared" si="11"/>
        <v>0</v>
      </c>
      <c r="R33" s="147">
        <f t="shared" si="12"/>
        <v>0</v>
      </c>
      <c r="S33" s="147">
        <f t="shared" si="13"/>
        <v>0</v>
      </c>
      <c r="T33" s="147">
        <f t="shared" si="14"/>
        <v>0</v>
      </c>
      <c r="U33" s="147">
        <f t="shared" si="15"/>
        <v>0</v>
      </c>
      <c r="V33" s="69"/>
      <c r="W33" s="147">
        <v>0</v>
      </c>
      <c r="X33" s="147">
        <v>0</v>
      </c>
      <c r="Y33" s="147">
        <v>0</v>
      </c>
      <c r="Z33" s="147">
        <v>0</v>
      </c>
      <c r="AA33" s="147">
        <v>0</v>
      </c>
      <c r="AB33" s="147">
        <v>0</v>
      </c>
      <c r="AC33" s="147">
        <v>0</v>
      </c>
      <c r="AD33" s="147">
        <v>0</v>
      </c>
      <c r="AE33" s="924">
        <f t="shared" si="16"/>
        <v>0</v>
      </c>
      <c r="AF33" s="84"/>
      <c r="AG33" s="66">
        <f t="shared" si="17"/>
        <v>0</v>
      </c>
      <c r="AH33" s="139">
        <f t="shared" si="18"/>
        <v>0</v>
      </c>
      <c r="AI33" s="137">
        <f t="shared" si="19"/>
        <v>0</v>
      </c>
      <c r="AJ33" s="69"/>
      <c r="AK33" s="66">
        <v>0</v>
      </c>
      <c r="AL33" s="66">
        <v>0</v>
      </c>
      <c r="AM33" s="66">
        <v>0</v>
      </c>
      <c r="AN33" s="66">
        <v>0</v>
      </c>
      <c r="AO33" s="66">
        <v>0</v>
      </c>
      <c r="AP33" s="66">
        <v>0</v>
      </c>
      <c r="AQ33" s="69"/>
      <c r="AR33" s="66">
        <v>0</v>
      </c>
      <c r="AS33" s="66">
        <v>0</v>
      </c>
      <c r="AT33" s="66">
        <v>0</v>
      </c>
      <c r="AU33" s="66">
        <v>0</v>
      </c>
      <c r="AV33" s="66">
        <v>0</v>
      </c>
      <c r="AW33" s="66">
        <v>0</v>
      </c>
      <c r="AX33" s="66">
        <v>0</v>
      </c>
      <c r="AY33" s="66">
        <v>0</v>
      </c>
      <c r="AZ33" s="66">
        <f t="array" ref="AZ33">SUMIF($W$2:$AD$2,"&gt;"&amp;0,AR33:AY33)</f>
        <v>0</v>
      </c>
      <c r="BA33" s="67">
        <f t="shared" si="20"/>
        <v>0</v>
      </c>
      <c r="BB33" s="84"/>
      <c r="BC33" s="71">
        <f t="shared" si="21"/>
        <v>0</v>
      </c>
      <c r="BD33" s="957"/>
      <c r="BE33" s="70"/>
      <c r="BF33" s="66">
        <v>0</v>
      </c>
      <c r="BG33" s="66">
        <v>0</v>
      </c>
      <c r="BH33" s="66">
        <v>0</v>
      </c>
      <c r="BI33" s="66">
        <v>0</v>
      </c>
      <c r="BJ33" s="66">
        <v>0</v>
      </c>
      <c r="BK33" s="66">
        <v>0</v>
      </c>
      <c r="BL33" s="66">
        <v>0</v>
      </c>
      <c r="BM33" s="66">
        <v>0</v>
      </c>
      <c r="BN33" s="67">
        <f t="shared" si="22"/>
        <v>0</v>
      </c>
      <c r="BO33" s="68">
        <f t="shared" si="7"/>
        <v>0</v>
      </c>
      <c r="BP33" s="69"/>
      <c r="BQ33" s="133">
        <f t="shared" si="23"/>
        <v>0</v>
      </c>
      <c r="BR33" s="69"/>
      <c r="BS33" s="133">
        <f t="shared" si="24"/>
        <v>0</v>
      </c>
      <c r="BT33" s="133">
        <f t="shared" si="25"/>
        <v>0</v>
      </c>
      <c r="BU33" s="133">
        <f t="shared" si="26"/>
        <v>0</v>
      </c>
      <c r="BV33" s="133">
        <f t="shared" si="27"/>
        <v>0</v>
      </c>
      <c r="BW33" s="133">
        <f t="shared" si="28"/>
        <v>0</v>
      </c>
      <c r="BX33" s="144">
        <f t="shared" si="29"/>
        <v>0</v>
      </c>
      <c r="BY33" s="69"/>
      <c r="BZ33" s="133">
        <f t="shared" si="30"/>
        <v>0</v>
      </c>
      <c r="CA33" s="133">
        <f t="shared" si="31"/>
        <v>0</v>
      </c>
      <c r="CB33" s="133">
        <f t="shared" si="32"/>
        <v>0</v>
      </c>
      <c r="CC33" s="133">
        <f t="shared" si="33"/>
        <v>0</v>
      </c>
      <c r="CD33" s="133">
        <f t="shared" si="34"/>
        <v>0</v>
      </c>
      <c r="CE33" s="144">
        <f t="shared" si="35"/>
        <v>0</v>
      </c>
      <c r="CF33" s="133">
        <f t="shared" si="36"/>
        <v>0</v>
      </c>
      <c r="CG33" s="133">
        <f t="shared" si="37"/>
        <v>0</v>
      </c>
      <c r="CH33" s="145">
        <f t="shared" si="8"/>
        <v>0</v>
      </c>
    </row>
    <row r="34" spans="1:86" ht="14.1" customHeight="1" x14ac:dyDescent="0.25">
      <c r="A34" s="70"/>
      <c r="B34" s="133" t="s">
        <v>124</v>
      </c>
      <c r="C34" s="133" t="s">
        <v>272</v>
      </c>
      <c r="D34" s="934" t="s">
        <v>123</v>
      </c>
      <c r="E34" s="133" t="s">
        <v>158</v>
      </c>
      <c r="F34" s="66"/>
      <c r="G34" s="66">
        <f>_xlfn.IFNA(INDEX(NewRecipeTable[Percentage Yield],MATCH(E34,NewRecipeTable[ShortCode],0)),0)</f>
        <v>36.9</v>
      </c>
      <c r="H34" s="146">
        <v>1570</v>
      </c>
      <c r="I34" s="66" t="str">
        <v>No</v>
      </c>
      <c r="J34" s="133" t="s">
        <v>244</v>
      </c>
      <c r="K34" s="133">
        <f>_xlfn.IFNA(INDEX(Middles!$G$8:$G$88,MATCH($E$8:$E$62,ActivatedRecipe,0)),0)</f>
        <v>0</v>
      </c>
      <c r="L34" s="66">
        <f t="shared" si="9"/>
        <v>0</v>
      </c>
      <c r="M34" s="133">
        <f>_xlfn.IFNA(INDEX(Middles!$H$8:$H$88,MATCH($E$8:$E$62,ActivatedRecipe,0)),0)</f>
        <v>0</v>
      </c>
      <c r="N34" s="69"/>
      <c r="O34" s="92" t="s">
        <v>639</v>
      </c>
      <c r="P34" s="147">
        <f t="shared" si="10"/>
        <v>0</v>
      </c>
      <c r="Q34" s="147">
        <f t="shared" si="11"/>
        <v>0</v>
      </c>
      <c r="R34" s="147">
        <f t="shared" si="12"/>
        <v>0</v>
      </c>
      <c r="S34" s="147">
        <f t="shared" si="13"/>
        <v>0</v>
      </c>
      <c r="T34" s="147">
        <f t="shared" si="14"/>
        <v>0</v>
      </c>
      <c r="U34" s="147">
        <f t="shared" si="15"/>
        <v>0</v>
      </c>
      <c r="V34" s="69"/>
      <c r="W34" s="147">
        <v>0</v>
      </c>
      <c r="X34" s="147">
        <v>0</v>
      </c>
      <c r="Y34" s="147">
        <v>0</v>
      </c>
      <c r="Z34" s="147">
        <v>0</v>
      </c>
      <c r="AA34" s="147">
        <v>0</v>
      </c>
      <c r="AB34" s="147">
        <v>0</v>
      </c>
      <c r="AC34" s="147">
        <v>0</v>
      </c>
      <c r="AD34" s="147">
        <v>0</v>
      </c>
      <c r="AE34" s="924">
        <f t="shared" si="16"/>
        <v>0</v>
      </c>
      <c r="AF34" s="84"/>
      <c r="AG34" s="66">
        <f t="shared" si="17"/>
        <v>0</v>
      </c>
      <c r="AH34" s="139">
        <f t="shared" si="18"/>
        <v>0</v>
      </c>
      <c r="AI34" s="137">
        <f t="shared" si="19"/>
        <v>0</v>
      </c>
      <c r="AJ34" s="69"/>
      <c r="AK34" s="66">
        <v>0</v>
      </c>
      <c r="AL34" s="66">
        <v>0</v>
      </c>
      <c r="AM34" s="66">
        <v>0</v>
      </c>
      <c r="AN34" s="66">
        <v>0</v>
      </c>
      <c r="AO34" s="66">
        <v>0</v>
      </c>
      <c r="AP34" s="66">
        <v>0</v>
      </c>
      <c r="AQ34" s="69"/>
      <c r="AR34" s="66">
        <v>0</v>
      </c>
      <c r="AS34" s="66">
        <v>0</v>
      </c>
      <c r="AT34" s="66">
        <v>0</v>
      </c>
      <c r="AU34" s="66">
        <v>0</v>
      </c>
      <c r="AV34" s="66">
        <v>0</v>
      </c>
      <c r="AW34" s="66">
        <v>0</v>
      </c>
      <c r="AX34" s="66">
        <v>0</v>
      </c>
      <c r="AY34" s="66">
        <v>0</v>
      </c>
      <c r="AZ34" s="66">
        <f t="array" ref="AZ34">SUMIF($W$2:$AD$2,"&gt;"&amp;0,AR34:AY34)</f>
        <v>0</v>
      </c>
      <c r="BA34" s="67">
        <f t="shared" si="20"/>
        <v>0</v>
      </c>
      <c r="BB34" s="84"/>
      <c r="BC34" s="71">
        <f t="shared" si="21"/>
        <v>0</v>
      </c>
      <c r="BD34" s="957"/>
      <c r="BE34" s="70"/>
      <c r="BF34" s="66">
        <v>0</v>
      </c>
      <c r="BG34" s="66">
        <v>0</v>
      </c>
      <c r="BH34" s="66">
        <v>0</v>
      </c>
      <c r="BI34" s="66">
        <v>0</v>
      </c>
      <c r="BJ34" s="66">
        <v>0</v>
      </c>
      <c r="BK34" s="66">
        <v>0</v>
      </c>
      <c r="BL34" s="66">
        <v>0</v>
      </c>
      <c r="BM34" s="66">
        <v>0</v>
      </c>
      <c r="BN34" s="67">
        <f t="shared" si="22"/>
        <v>0</v>
      </c>
      <c r="BO34" s="68">
        <f t="shared" si="7"/>
        <v>0</v>
      </c>
      <c r="BP34" s="69"/>
      <c r="BQ34" s="133">
        <f t="shared" si="23"/>
        <v>0</v>
      </c>
      <c r="BR34" s="69"/>
      <c r="BS34" s="133">
        <f t="shared" si="24"/>
        <v>0</v>
      </c>
      <c r="BT34" s="133">
        <f t="shared" si="25"/>
        <v>0</v>
      </c>
      <c r="BU34" s="133">
        <f t="shared" si="26"/>
        <v>0</v>
      </c>
      <c r="BV34" s="133">
        <f t="shared" si="27"/>
        <v>0</v>
      </c>
      <c r="BW34" s="133">
        <f t="shared" si="28"/>
        <v>0</v>
      </c>
      <c r="BX34" s="144">
        <f t="shared" si="29"/>
        <v>0</v>
      </c>
      <c r="BY34" s="69"/>
      <c r="BZ34" s="133">
        <f t="shared" si="30"/>
        <v>0</v>
      </c>
      <c r="CA34" s="133">
        <f t="shared" si="31"/>
        <v>0</v>
      </c>
      <c r="CB34" s="133">
        <f t="shared" si="32"/>
        <v>0</v>
      </c>
      <c r="CC34" s="133">
        <f t="shared" si="33"/>
        <v>0</v>
      </c>
      <c r="CD34" s="133">
        <f t="shared" si="34"/>
        <v>0</v>
      </c>
      <c r="CE34" s="144">
        <f t="shared" si="35"/>
        <v>0</v>
      </c>
      <c r="CF34" s="133">
        <f t="shared" si="36"/>
        <v>0</v>
      </c>
      <c r="CG34" s="133">
        <f t="shared" si="37"/>
        <v>0</v>
      </c>
      <c r="CH34" s="145">
        <f t="shared" si="8"/>
        <v>0</v>
      </c>
    </row>
    <row r="35" spans="1:86" ht="14.1" customHeight="1" x14ac:dyDescent="0.25">
      <c r="A35" s="70"/>
      <c r="B35" s="133" t="s">
        <v>124</v>
      </c>
      <c r="C35" s="133" t="s">
        <v>272</v>
      </c>
      <c r="D35" s="934" t="s">
        <v>125</v>
      </c>
      <c r="E35" s="133" t="s">
        <v>159</v>
      </c>
      <c r="F35" s="66"/>
      <c r="G35" s="66">
        <f>_xlfn.IFNA(INDEX(NewRecipeTable[Percentage Yield],MATCH(E35,NewRecipeTable[ShortCode],0)),0)</f>
        <v>36.6</v>
      </c>
      <c r="H35" s="146">
        <v>1570</v>
      </c>
      <c r="I35" s="66" t="str">
        <v>No</v>
      </c>
      <c r="J35" s="133" t="s">
        <v>244</v>
      </c>
      <c r="K35" s="133">
        <f>_xlfn.IFNA(INDEX(Middles!$G$8:$G$88,MATCH($E$8:$E$62,ActivatedRecipe,0)),0)</f>
        <v>0</v>
      </c>
      <c r="L35" s="66">
        <f t="shared" si="9"/>
        <v>0</v>
      </c>
      <c r="M35" s="133">
        <f>_xlfn.IFNA(INDEX(Middles!$H$8:$H$88,MATCH($E$8:$E$62,ActivatedRecipe,0)),0)</f>
        <v>0</v>
      </c>
      <c r="N35" s="69"/>
      <c r="O35" s="92" t="s">
        <v>639</v>
      </c>
      <c r="P35" s="147">
        <f t="shared" si="10"/>
        <v>0</v>
      </c>
      <c r="Q35" s="147">
        <f t="shared" si="11"/>
        <v>0</v>
      </c>
      <c r="R35" s="147">
        <f t="shared" si="12"/>
        <v>0</v>
      </c>
      <c r="S35" s="147">
        <f t="shared" si="13"/>
        <v>0</v>
      </c>
      <c r="T35" s="147">
        <f t="shared" si="14"/>
        <v>0</v>
      </c>
      <c r="U35" s="147">
        <f t="shared" si="15"/>
        <v>0</v>
      </c>
      <c r="V35" s="69"/>
      <c r="W35" s="147">
        <v>0</v>
      </c>
      <c r="X35" s="147">
        <v>0</v>
      </c>
      <c r="Y35" s="147">
        <v>0</v>
      </c>
      <c r="Z35" s="147">
        <v>0</v>
      </c>
      <c r="AA35" s="147">
        <v>0</v>
      </c>
      <c r="AB35" s="147">
        <v>0</v>
      </c>
      <c r="AC35" s="147">
        <v>0</v>
      </c>
      <c r="AD35" s="147">
        <v>0</v>
      </c>
      <c r="AE35" s="924">
        <f t="shared" si="16"/>
        <v>0</v>
      </c>
      <c r="AF35" s="84"/>
      <c r="AG35" s="66">
        <f t="shared" si="17"/>
        <v>0</v>
      </c>
      <c r="AH35" s="139">
        <f t="shared" si="18"/>
        <v>0</v>
      </c>
      <c r="AI35" s="137">
        <f t="shared" si="19"/>
        <v>0</v>
      </c>
      <c r="AJ35" s="69"/>
      <c r="AK35" s="66">
        <v>0</v>
      </c>
      <c r="AL35" s="66">
        <v>0</v>
      </c>
      <c r="AM35" s="66">
        <v>0</v>
      </c>
      <c r="AN35" s="66">
        <v>0</v>
      </c>
      <c r="AO35" s="66">
        <v>0</v>
      </c>
      <c r="AP35" s="66">
        <v>0</v>
      </c>
      <c r="AQ35" s="69"/>
      <c r="AR35" s="66">
        <v>0</v>
      </c>
      <c r="AS35" s="66">
        <v>0</v>
      </c>
      <c r="AT35" s="66">
        <v>0</v>
      </c>
      <c r="AU35" s="66">
        <v>0</v>
      </c>
      <c r="AV35" s="66">
        <v>0</v>
      </c>
      <c r="AW35" s="66">
        <v>0</v>
      </c>
      <c r="AX35" s="66">
        <v>0</v>
      </c>
      <c r="AY35" s="66">
        <v>0</v>
      </c>
      <c r="AZ35" s="66">
        <f t="array" ref="AZ35">SUMIF($W$2:$AD$2,"&gt;"&amp;0,AR35:AY35)</f>
        <v>0</v>
      </c>
      <c r="BA35" s="67">
        <f t="shared" si="20"/>
        <v>0</v>
      </c>
      <c r="BB35" s="84"/>
      <c r="BC35" s="71">
        <f t="shared" si="21"/>
        <v>0</v>
      </c>
      <c r="BD35" s="957"/>
      <c r="BE35" s="70"/>
      <c r="BF35" s="66">
        <v>0</v>
      </c>
      <c r="BG35" s="66">
        <v>0</v>
      </c>
      <c r="BH35" s="66">
        <v>0</v>
      </c>
      <c r="BI35" s="66">
        <v>0</v>
      </c>
      <c r="BJ35" s="66">
        <v>0</v>
      </c>
      <c r="BK35" s="66">
        <v>0</v>
      </c>
      <c r="BL35" s="66">
        <v>0</v>
      </c>
      <c r="BM35" s="66">
        <v>0</v>
      </c>
      <c r="BN35" s="67">
        <f t="shared" si="22"/>
        <v>0</v>
      </c>
      <c r="BO35" s="68">
        <f t="shared" si="7"/>
        <v>0</v>
      </c>
      <c r="BP35" s="69"/>
      <c r="BQ35" s="133">
        <f t="shared" si="23"/>
        <v>0</v>
      </c>
      <c r="BR35" s="69"/>
      <c r="BS35" s="133">
        <f t="shared" si="24"/>
        <v>0</v>
      </c>
      <c r="BT35" s="133">
        <f t="shared" si="25"/>
        <v>0</v>
      </c>
      <c r="BU35" s="133">
        <f t="shared" si="26"/>
        <v>0</v>
      </c>
      <c r="BV35" s="133">
        <f t="shared" si="27"/>
        <v>0</v>
      </c>
      <c r="BW35" s="133">
        <f t="shared" si="28"/>
        <v>0</v>
      </c>
      <c r="BX35" s="144">
        <f t="shared" si="29"/>
        <v>0</v>
      </c>
      <c r="BY35" s="69"/>
      <c r="BZ35" s="133">
        <f t="shared" si="30"/>
        <v>0</v>
      </c>
      <c r="CA35" s="133">
        <f t="shared" si="31"/>
        <v>0</v>
      </c>
      <c r="CB35" s="133">
        <f t="shared" si="32"/>
        <v>0</v>
      </c>
      <c r="CC35" s="133">
        <f t="shared" si="33"/>
        <v>0</v>
      </c>
      <c r="CD35" s="133">
        <f t="shared" si="34"/>
        <v>0</v>
      </c>
      <c r="CE35" s="144">
        <f t="shared" si="35"/>
        <v>0</v>
      </c>
      <c r="CF35" s="133">
        <f t="shared" si="36"/>
        <v>0</v>
      </c>
      <c r="CG35" s="133">
        <f t="shared" si="37"/>
        <v>0</v>
      </c>
      <c r="CH35" s="145">
        <f t="shared" si="8"/>
        <v>0</v>
      </c>
    </row>
    <row r="36" spans="1:86" ht="13.5" customHeight="1" x14ac:dyDescent="0.25">
      <c r="A36" s="70"/>
      <c r="B36" s="133" t="s">
        <v>124</v>
      </c>
      <c r="C36" s="133" t="s">
        <v>272</v>
      </c>
      <c r="D36" s="934" t="s">
        <v>126</v>
      </c>
      <c r="E36" s="133" t="s">
        <v>160</v>
      </c>
      <c r="F36" s="66"/>
      <c r="G36" s="66">
        <f>_xlfn.IFNA(INDEX(NewRecipeTable[Percentage Yield],MATCH(E36,NewRecipeTable[ShortCode],0)),0)</f>
        <v>36.6</v>
      </c>
      <c r="H36" s="146">
        <v>1570</v>
      </c>
      <c r="I36" s="66" t="str">
        <v>No</v>
      </c>
      <c r="J36" s="133" t="s">
        <v>244</v>
      </c>
      <c r="K36" s="133">
        <f>_xlfn.IFNA(INDEX(Middles!$G$8:$G$88,MATCH($E$8:$E$62,ActivatedRecipe,0)),0)</f>
        <v>0</v>
      </c>
      <c r="L36" s="66">
        <f t="shared" si="9"/>
        <v>0</v>
      </c>
      <c r="M36" s="133">
        <f>_xlfn.IFNA(INDEX(Middles!$H$8:$H$88,MATCH($E$8:$E$62,ActivatedRecipe,0)),0)</f>
        <v>0</v>
      </c>
      <c r="N36" s="69"/>
      <c r="O36" s="92" t="s">
        <v>639</v>
      </c>
      <c r="P36" s="147">
        <f t="shared" si="10"/>
        <v>0</v>
      </c>
      <c r="Q36" s="147">
        <f t="shared" si="11"/>
        <v>0</v>
      </c>
      <c r="R36" s="147">
        <f t="shared" si="12"/>
        <v>0</v>
      </c>
      <c r="S36" s="147">
        <f t="shared" si="13"/>
        <v>0</v>
      </c>
      <c r="T36" s="147">
        <f t="shared" si="14"/>
        <v>0</v>
      </c>
      <c r="U36" s="147">
        <f t="shared" si="15"/>
        <v>0</v>
      </c>
      <c r="V36" s="69"/>
      <c r="W36" s="147">
        <v>0</v>
      </c>
      <c r="X36" s="147">
        <v>0</v>
      </c>
      <c r="Y36" s="147">
        <v>0</v>
      </c>
      <c r="Z36" s="147">
        <v>0</v>
      </c>
      <c r="AA36" s="147">
        <v>0</v>
      </c>
      <c r="AB36" s="147">
        <v>0</v>
      </c>
      <c r="AC36" s="147">
        <v>0</v>
      </c>
      <c r="AD36" s="147">
        <v>0</v>
      </c>
      <c r="AE36" s="924">
        <f t="shared" si="16"/>
        <v>0</v>
      </c>
      <c r="AF36" s="84"/>
      <c r="AG36" s="66">
        <f t="shared" si="17"/>
        <v>0</v>
      </c>
      <c r="AH36" s="139">
        <f t="shared" si="18"/>
        <v>0</v>
      </c>
      <c r="AI36" s="137">
        <f t="shared" si="19"/>
        <v>0</v>
      </c>
      <c r="AJ36" s="69"/>
      <c r="AK36" s="66">
        <v>0</v>
      </c>
      <c r="AL36" s="66">
        <v>0</v>
      </c>
      <c r="AM36" s="66">
        <v>0</v>
      </c>
      <c r="AN36" s="66">
        <v>0</v>
      </c>
      <c r="AO36" s="66">
        <v>0</v>
      </c>
      <c r="AP36" s="66">
        <v>0</v>
      </c>
      <c r="AQ36" s="69"/>
      <c r="AR36" s="66">
        <v>0</v>
      </c>
      <c r="AS36" s="66">
        <v>0</v>
      </c>
      <c r="AT36" s="66">
        <v>0</v>
      </c>
      <c r="AU36" s="66">
        <v>0</v>
      </c>
      <c r="AV36" s="66">
        <v>0</v>
      </c>
      <c r="AW36" s="66">
        <v>0</v>
      </c>
      <c r="AX36" s="66">
        <v>0</v>
      </c>
      <c r="AY36" s="66">
        <v>0</v>
      </c>
      <c r="AZ36" s="66">
        <f t="array" ref="AZ36">SUMIF($W$2:$AD$2,"&gt;"&amp;0,AR36:AY36)</f>
        <v>0</v>
      </c>
      <c r="BA36" s="67">
        <f t="shared" si="20"/>
        <v>0</v>
      </c>
      <c r="BB36" s="84"/>
      <c r="BC36" s="71">
        <f t="shared" si="21"/>
        <v>0</v>
      </c>
      <c r="BD36" s="957"/>
      <c r="BE36" s="70"/>
      <c r="BF36" s="66">
        <v>0</v>
      </c>
      <c r="BG36" s="66">
        <v>0</v>
      </c>
      <c r="BH36" s="66">
        <v>0</v>
      </c>
      <c r="BI36" s="66">
        <v>0</v>
      </c>
      <c r="BJ36" s="66">
        <v>0</v>
      </c>
      <c r="BK36" s="66">
        <v>0</v>
      </c>
      <c r="BL36" s="66">
        <v>0</v>
      </c>
      <c r="BM36" s="66">
        <v>0</v>
      </c>
      <c r="BN36" s="67">
        <f t="shared" si="22"/>
        <v>0</v>
      </c>
      <c r="BO36" s="68">
        <f t="shared" si="7"/>
        <v>0</v>
      </c>
      <c r="BP36" s="69"/>
      <c r="BQ36" s="133">
        <f t="shared" si="23"/>
        <v>0</v>
      </c>
      <c r="BR36" s="69"/>
      <c r="BS36" s="133">
        <f t="shared" si="24"/>
        <v>0</v>
      </c>
      <c r="BT36" s="133">
        <f t="shared" si="25"/>
        <v>0</v>
      </c>
      <c r="BU36" s="133">
        <f t="shared" si="26"/>
        <v>0</v>
      </c>
      <c r="BV36" s="133">
        <f t="shared" si="27"/>
        <v>0</v>
      </c>
      <c r="BW36" s="133">
        <f t="shared" si="28"/>
        <v>0</v>
      </c>
      <c r="BX36" s="144">
        <f t="shared" si="29"/>
        <v>0</v>
      </c>
      <c r="BY36" s="69"/>
      <c r="BZ36" s="133">
        <f t="shared" si="30"/>
        <v>0</v>
      </c>
      <c r="CA36" s="133">
        <f t="shared" si="31"/>
        <v>0</v>
      </c>
      <c r="CB36" s="133">
        <f t="shared" si="32"/>
        <v>0</v>
      </c>
      <c r="CC36" s="133">
        <f t="shared" si="33"/>
        <v>0</v>
      </c>
      <c r="CD36" s="133">
        <f t="shared" si="34"/>
        <v>0</v>
      </c>
      <c r="CE36" s="144">
        <f t="shared" si="35"/>
        <v>0</v>
      </c>
      <c r="CF36" s="133">
        <f t="shared" si="36"/>
        <v>0</v>
      </c>
      <c r="CG36" s="133">
        <f t="shared" si="37"/>
        <v>0</v>
      </c>
      <c r="CH36" s="145">
        <f t="shared" si="8"/>
        <v>0</v>
      </c>
    </row>
    <row r="37" spans="1:86" ht="14.1" customHeight="1" x14ac:dyDescent="0.25">
      <c r="A37" s="70"/>
      <c r="B37" s="133" t="s">
        <v>124</v>
      </c>
      <c r="C37" s="133" t="s">
        <v>272</v>
      </c>
      <c r="D37" s="934" t="s">
        <v>1325</v>
      </c>
      <c r="E37" s="133" t="s">
        <v>1539</v>
      </c>
      <c r="F37" s="66"/>
      <c r="G37" s="66">
        <f>_xlfn.IFNA(INDEX(NewRecipeTable[Percentage Yield],MATCH(E37,NewRecipeTable[ShortCode],0)),0)</f>
        <v>43.2</v>
      </c>
      <c r="H37" s="146">
        <v>1570</v>
      </c>
      <c r="I37" s="66" t="str">
        <v>No</v>
      </c>
      <c r="J37" s="133" t="s">
        <v>244</v>
      </c>
      <c r="K37" s="133">
        <f>_xlfn.IFNA(INDEX(Middles!$G$8:$G$88,MATCH($E$8:$E$62,ActivatedRecipe,0)),0)</f>
        <v>0</v>
      </c>
      <c r="L37" s="66">
        <f t="shared" si="9"/>
        <v>0</v>
      </c>
      <c r="M37" s="133">
        <f>_xlfn.IFNA(INDEX(Middles!$H$8:$H$88,MATCH($E$8:$E$62,ActivatedRecipe,0)),0)</f>
        <v>0</v>
      </c>
      <c r="N37" s="69"/>
      <c r="O37" s="92" t="s">
        <v>639</v>
      </c>
      <c r="P37" s="147">
        <f t="shared" si="10"/>
        <v>0</v>
      </c>
      <c r="Q37" s="147">
        <f t="shared" si="11"/>
        <v>0</v>
      </c>
      <c r="R37" s="147">
        <f t="shared" si="12"/>
        <v>0</v>
      </c>
      <c r="S37" s="147">
        <f t="shared" si="13"/>
        <v>0</v>
      </c>
      <c r="T37" s="147">
        <f t="shared" si="14"/>
        <v>0</v>
      </c>
      <c r="U37" s="147">
        <f t="shared" si="15"/>
        <v>0</v>
      </c>
      <c r="V37" s="69"/>
      <c r="W37" s="147">
        <v>0</v>
      </c>
      <c r="X37" s="147">
        <v>0</v>
      </c>
      <c r="Y37" s="147">
        <v>0</v>
      </c>
      <c r="Z37" s="147">
        <v>0</v>
      </c>
      <c r="AA37" s="147">
        <v>0</v>
      </c>
      <c r="AB37" s="147">
        <v>0</v>
      </c>
      <c r="AC37" s="147">
        <v>0</v>
      </c>
      <c r="AD37" s="147">
        <v>0</v>
      </c>
      <c r="AE37" s="924">
        <f t="shared" si="16"/>
        <v>0</v>
      </c>
      <c r="AF37" s="84"/>
      <c r="AG37" s="66">
        <f t="shared" si="17"/>
        <v>0</v>
      </c>
      <c r="AH37" s="139">
        <f t="shared" si="18"/>
        <v>0</v>
      </c>
      <c r="AI37" s="137">
        <f t="shared" si="19"/>
        <v>0</v>
      </c>
      <c r="AJ37" s="69"/>
      <c r="AK37" s="66">
        <v>0</v>
      </c>
      <c r="AL37" s="66">
        <v>0</v>
      </c>
      <c r="AM37" s="66">
        <v>0</v>
      </c>
      <c r="AN37" s="66">
        <v>0</v>
      </c>
      <c r="AO37" s="66">
        <v>0</v>
      </c>
      <c r="AP37" s="66">
        <v>0</v>
      </c>
      <c r="AQ37" s="69"/>
      <c r="AR37" s="66">
        <v>0</v>
      </c>
      <c r="AS37" s="66">
        <v>0</v>
      </c>
      <c r="AT37" s="66">
        <v>0</v>
      </c>
      <c r="AU37" s="66">
        <v>0</v>
      </c>
      <c r="AV37" s="66">
        <v>0</v>
      </c>
      <c r="AW37" s="66">
        <v>0</v>
      </c>
      <c r="AX37" s="66">
        <v>0</v>
      </c>
      <c r="AY37" s="66">
        <v>0</v>
      </c>
      <c r="AZ37" s="66">
        <f t="array" ref="AZ37">SUMIF($W$2:$AD$2,"&gt;"&amp;0,AR37:AY37)</f>
        <v>0</v>
      </c>
      <c r="BA37" s="67">
        <f t="shared" si="20"/>
        <v>0</v>
      </c>
      <c r="BB37" s="84"/>
      <c r="BC37" s="71">
        <f t="shared" si="21"/>
        <v>0</v>
      </c>
      <c r="BD37" s="957"/>
      <c r="BE37" s="70"/>
      <c r="BF37" s="66">
        <v>0</v>
      </c>
      <c r="BG37" s="66">
        <v>0</v>
      </c>
      <c r="BH37" s="66">
        <v>0</v>
      </c>
      <c r="BI37" s="66">
        <v>0</v>
      </c>
      <c r="BJ37" s="66">
        <v>0</v>
      </c>
      <c r="BK37" s="66">
        <v>0</v>
      </c>
      <c r="BL37" s="66">
        <v>0</v>
      </c>
      <c r="BM37" s="66">
        <v>0</v>
      </c>
      <c r="BN37" s="67">
        <f t="shared" si="22"/>
        <v>0</v>
      </c>
      <c r="BO37" s="68">
        <f t="shared" si="7"/>
        <v>0</v>
      </c>
      <c r="BP37" s="69"/>
      <c r="BQ37" s="133">
        <f t="shared" si="23"/>
        <v>0</v>
      </c>
      <c r="BR37" s="69"/>
      <c r="BS37" s="133">
        <f t="shared" si="24"/>
        <v>0</v>
      </c>
      <c r="BT37" s="133">
        <f t="shared" si="25"/>
        <v>0</v>
      </c>
      <c r="BU37" s="133">
        <f t="shared" si="26"/>
        <v>0</v>
      </c>
      <c r="BV37" s="133">
        <f t="shared" si="27"/>
        <v>0</v>
      </c>
      <c r="BW37" s="133">
        <f t="shared" si="28"/>
        <v>0</v>
      </c>
      <c r="BX37" s="144">
        <f t="shared" si="29"/>
        <v>0</v>
      </c>
      <c r="BY37" s="69"/>
      <c r="BZ37" s="133">
        <f t="shared" si="30"/>
        <v>0</v>
      </c>
      <c r="CA37" s="133">
        <f t="shared" si="31"/>
        <v>0</v>
      </c>
      <c r="CB37" s="133">
        <f t="shared" si="32"/>
        <v>0</v>
      </c>
      <c r="CC37" s="133">
        <f t="shared" si="33"/>
        <v>0</v>
      </c>
      <c r="CD37" s="133">
        <f t="shared" si="34"/>
        <v>0</v>
      </c>
      <c r="CE37" s="144">
        <f t="shared" si="35"/>
        <v>0</v>
      </c>
      <c r="CF37" s="133">
        <f t="shared" si="36"/>
        <v>0</v>
      </c>
      <c r="CG37" s="133">
        <f t="shared" si="37"/>
        <v>0</v>
      </c>
      <c r="CH37" s="145">
        <f t="shared" si="8"/>
        <v>0</v>
      </c>
    </row>
    <row r="38" spans="1:86" ht="14.1" customHeight="1" x14ac:dyDescent="0.25">
      <c r="A38" s="70"/>
      <c r="B38" s="133" t="s">
        <v>124</v>
      </c>
      <c r="C38" s="133" t="s">
        <v>272</v>
      </c>
      <c r="D38" s="934" t="s">
        <v>127</v>
      </c>
      <c r="E38" s="133" t="s">
        <v>156</v>
      </c>
      <c r="F38" s="66"/>
      <c r="G38" s="66">
        <f>_xlfn.IFNA(INDEX(NewRecipeTable[Percentage Yield],MATCH(E38,NewRecipeTable[ShortCode],0)),0)</f>
        <v>36.9</v>
      </c>
      <c r="H38" s="146">
        <v>1570</v>
      </c>
      <c r="I38" s="66" t="str">
        <v>Yes</v>
      </c>
      <c r="J38" s="133" t="s">
        <v>244</v>
      </c>
      <c r="K38" s="133">
        <f>_xlfn.IFNA(INDEX(Middles!$G$8:$G$88,MATCH($E$8:$E$62,ActivatedRecipe,0)),0)</f>
        <v>449</v>
      </c>
      <c r="L38" s="66">
        <f t="shared" si="9"/>
        <v>4314.7360108303246</v>
      </c>
      <c r="M38" s="133">
        <f>_xlfn.IFNA(INDEX(Middles!$H$8:$H$88,MATCH($E$8:$E$62,ActivatedRecipe,0)),0)</f>
        <v>1449.7</v>
      </c>
      <c r="N38" s="69"/>
      <c r="O38" s="92" t="s">
        <v>639</v>
      </c>
      <c r="P38" s="147">
        <f t="shared" si="10"/>
        <v>0</v>
      </c>
      <c r="Q38" s="147">
        <f t="shared" si="11"/>
        <v>0</v>
      </c>
      <c r="R38" s="147">
        <f t="shared" si="12"/>
        <v>0</v>
      </c>
      <c r="S38" s="147">
        <f t="shared" si="13"/>
        <v>0</v>
      </c>
      <c r="T38" s="147">
        <f t="shared" si="14"/>
        <v>973.43200000000002</v>
      </c>
      <c r="U38" s="147">
        <f t="shared" si="15"/>
        <v>0</v>
      </c>
      <c r="V38" s="69"/>
      <c r="W38" s="147">
        <v>110.18068077914911</v>
      </c>
      <c r="X38" s="147">
        <v>934.67406959258301</v>
      </c>
      <c r="Y38" s="147">
        <v>522.90717074316569</v>
      </c>
      <c r="Z38" s="147">
        <v>45.998264416261506</v>
      </c>
      <c r="AA38" s="147">
        <v>0</v>
      </c>
      <c r="AB38" s="147">
        <v>0</v>
      </c>
      <c r="AC38" s="147">
        <v>277.8438262523631</v>
      </c>
      <c r="AD38" s="147">
        <v>0</v>
      </c>
      <c r="AE38" s="924">
        <f t="shared" si="16"/>
        <v>2865.0360117835226</v>
      </c>
      <c r="AF38" s="84"/>
      <c r="AG38" s="66">
        <f t="shared" si="17"/>
        <v>33.598811059613837</v>
      </c>
      <c r="AH38" s="139">
        <f t="shared" si="18"/>
        <v>36.9</v>
      </c>
      <c r="AI38" s="137">
        <f t="shared" si="19"/>
        <v>3.3011889403861616</v>
      </c>
      <c r="AJ38" s="69"/>
      <c r="AK38" s="66">
        <v>0</v>
      </c>
      <c r="AL38" s="66">
        <v>0</v>
      </c>
      <c r="AM38" s="66">
        <v>0</v>
      </c>
      <c r="AN38" s="66">
        <v>0</v>
      </c>
      <c r="AO38" s="66">
        <v>21.71</v>
      </c>
      <c r="AP38" s="66">
        <v>0</v>
      </c>
      <c r="AQ38" s="69"/>
      <c r="AR38" s="66">
        <v>6.53</v>
      </c>
      <c r="AS38" s="66">
        <v>15.33</v>
      </c>
      <c r="AT38" s="66">
        <v>9.7200000000000006</v>
      </c>
      <c r="AU38" s="66">
        <v>1.4</v>
      </c>
      <c r="AV38" s="66">
        <v>0</v>
      </c>
      <c r="AW38" s="66">
        <v>0</v>
      </c>
      <c r="AX38" s="66">
        <v>8.08</v>
      </c>
      <c r="AY38" s="66">
        <v>0.01</v>
      </c>
      <c r="AZ38" s="66">
        <f t="array" ref="AZ38">SUMIF($W$2:$AD$2,"&gt;"&amp;0,AR38:AY38)</f>
        <v>41.059999999999995</v>
      </c>
      <c r="BA38" s="67">
        <f t="shared" si="20"/>
        <v>99.679999999999993</v>
      </c>
      <c r="BB38" s="84"/>
      <c r="BC38" s="71">
        <f t="shared" si="21"/>
        <v>0</v>
      </c>
      <c r="BD38" s="957">
        <v>-189.38342099999997</v>
      </c>
      <c r="BE38" s="70"/>
      <c r="BF38" s="66">
        <v>-72.075448708201677</v>
      </c>
      <c r="BG38" s="66">
        <v>-74.888294571349846</v>
      </c>
      <c r="BH38" s="66">
        <v>0</v>
      </c>
      <c r="BI38" s="66">
        <v>-9.0643943845256896</v>
      </c>
      <c r="BJ38" s="66">
        <v>0</v>
      </c>
      <c r="BK38" s="66">
        <v>0</v>
      </c>
      <c r="BL38" s="66">
        <v>-33.250292094204717</v>
      </c>
      <c r="BM38" s="66">
        <v>-0.10499124171804305</v>
      </c>
      <c r="BN38" s="67">
        <f t="shared" si="22"/>
        <v>-33.355283335922763</v>
      </c>
      <c r="BO38" s="68">
        <f t="shared" si="7"/>
        <v>-189.38342099999997</v>
      </c>
      <c r="BP38" s="69"/>
      <c r="BQ38" s="133">
        <f t="shared" si="23"/>
        <v>33.598811059613837</v>
      </c>
      <c r="BR38" s="69"/>
      <c r="BS38" s="133">
        <f t="shared" si="24"/>
        <v>0</v>
      </c>
      <c r="BT38" s="133">
        <f t="shared" si="25"/>
        <v>0</v>
      </c>
      <c r="BU38" s="133">
        <f t="shared" si="26"/>
        <v>0</v>
      </c>
      <c r="BV38" s="133">
        <f t="shared" si="27"/>
        <v>0</v>
      </c>
      <c r="BW38" s="133">
        <f t="shared" si="28"/>
        <v>22.560638647569853</v>
      </c>
      <c r="BX38" s="144">
        <f t="shared" si="29"/>
        <v>0</v>
      </c>
      <c r="BY38" s="69"/>
      <c r="BZ38" s="133">
        <f t="shared" si="30"/>
        <v>2.5535903124220578</v>
      </c>
      <c r="CA38" s="133">
        <f t="shared" si="31"/>
        <v>21.662369777582636</v>
      </c>
      <c r="CB38" s="133">
        <f t="shared" si="32"/>
        <v>12.119099973454409</v>
      </c>
      <c r="CC38" s="133">
        <f t="shared" si="33"/>
        <v>1.066073667098109</v>
      </c>
      <c r="CD38" s="133">
        <f t="shared" si="34"/>
        <v>0</v>
      </c>
      <c r="CE38" s="144">
        <f t="shared" si="35"/>
        <v>0</v>
      </c>
      <c r="CF38" s="133">
        <f t="shared" si="36"/>
        <v>6.439416584350778</v>
      </c>
      <c r="CG38" s="133">
        <f t="shared" si="37"/>
        <v>0</v>
      </c>
      <c r="CH38" s="145">
        <f t="shared" si="8"/>
        <v>100.00000002209168</v>
      </c>
    </row>
    <row r="39" spans="1:86" ht="14.1" customHeight="1" x14ac:dyDescent="0.25">
      <c r="A39" s="70"/>
      <c r="B39" s="133" t="s">
        <v>124</v>
      </c>
      <c r="C39" s="133" t="s">
        <v>272</v>
      </c>
      <c r="D39" s="934" t="s">
        <v>1351</v>
      </c>
      <c r="E39" s="133" t="s">
        <v>1540</v>
      </c>
      <c r="F39" s="66"/>
      <c r="G39" s="66">
        <f>_xlfn.IFNA(INDEX(NewRecipeTable[Percentage Yield],MATCH(E39,NewRecipeTable[ShortCode],0)),0)</f>
        <v>53.35</v>
      </c>
      <c r="H39" s="146">
        <v>1570</v>
      </c>
      <c r="I39" s="66" t="str">
        <v>No</v>
      </c>
      <c r="J39" s="133" t="s">
        <v>244</v>
      </c>
      <c r="K39" s="133">
        <f>_xlfn.IFNA(INDEX(Middles!$G$8:$G$88,MATCH($E$8:$E$62,ActivatedRecipe,0)),0)</f>
        <v>0</v>
      </c>
      <c r="L39" s="66">
        <f t="shared" si="9"/>
        <v>0</v>
      </c>
      <c r="M39" s="133">
        <f>_xlfn.IFNA(INDEX(Middles!$H$8:$H$88,MATCH($E$8:$E$62,ActivatedRecipe,0)),0)</f>
        <v>0</v>
      </c>
      <c r="N39" s="69"/>
      <c r="O39" s="92" t="s">
        <v>639</v>
      </c>
      <c r="P39" s="147">
        <f t="shared" si="10"/>
        <v>0</v>
      </c>
      <c r="Q39" s="147">
        <f t="shared" si="11"/>
        <v>0</v>
      </c>
      <c r="R39" s="147">
        <f t="shared" si="12"/>
        <v>0</v>
      </c>
      <c r="S39" s="147">
        <f t="shared" si="13"/>
        <v>0</v>
      </c>
      <c r="T39" s="147">
        <f t="shared" si="14"/>
        <v>0</v>
      </c>
      <c r="U39" s="147">
        <f t="shared" si="15"/>
        <v>0</v>
      </c>
      <c r="V39" s="69"/>
      <c r="W39" s="147">
        <v>0</v>
      </c>
      <c r="X39" s="147">
        <v>0</v>
      </c>
      <c r="Y39" s="147">
        <v>0</v>
      </c>
      <c r="Z39" s="147">
        <v>0</v>
      </c>
      <c r="AA39" s="147">
        <v>0</v>
      </c>
      <c r="AB39" s="147">
        <v>0</v>
      </c>
      <c r="AC39" s="147">
        <v>0</v>
      </c>
      <c r="AD39" s="147">
        <v>0</v>
      </c>
      <c r="AE39" s="924">
        <f t="shared" si="16"/>
        <v>0</v>
      </c>
      <c r="AF39" s="84"/>
      <c r="AG39" s="66">
        <f t="shared" si="17"/>
        <v>0</v>
      </c>
      <c r="AH39" s="139">
        <f t="shared" si="18"/>
        <v>0</v>
      </c>
      <c r="AI39" s="137">
        <f t="shared" si="19"/>
        <v>0</v>
      </c>
      <c r="AJ39" s="69"/>
      <c r="AK39" s="66">
        <v>0</v>
      </c>
      <c r="AL39" s="66">
        <v>0</v>
      </c>
      <c r="AM39" s="66">
        <v>0</v>
      </c>
      <c r="AN39" s="66">
        <v>0</v>
      </c>
      <c r="AO39" s="66">
        <v>0</v>
      </c>
      <c r="AP39" s="66">
        <v>0</v>
      </c>
      <c r="AQ39" s="69"/>
      <c r="AR39" s="66">
        <v>0</v>
      </c>
      <c r="AS39" s="66">
        <v>0</v>
      </c>
      <c r="AT39" s="66">
        <v>0</v>
      </c>
      <c r="AU39" s="66">
        <v>0</v>
      </c>
      <c r="AV39" s="66">
        <v>0</v>
      </c>
      <c r="AW39" s="66">
        <v>0</v>
      </c>
      <c r="AX39" s="66">
        <v>0</v>
      </c>
      <c r="AY39" s="66">
        <v>0</v>
      </c>
      <c r="AZ39" s="66">
        <f t="array" ref="AZ39">SUMIF($W$2:$AD$2,"&gt;"&amp;0,AR39:AY39)</f>
        <v>0</v>
      </c>
      <c r="BA39" s="67">
        <f t="shared" si="20"/>
        <v>0</v>
      </c>
      <c r="BB39" s="84"/>
      <c r="BC39" s="71">
        <f t="shared" si="21"/>
        <v>0</v>
      </c>
      <c r="BD39" s="957"/>
      <c r="BE39" s="70"/>
      <c r="BF39" s="66">
        <v>0</v>
      </c>
      <c r="BG39" s="66">
        <v>0</v>
      </c>
      <c r="BH39" s="66">
        <v>0</v>
      </c>
      <c r="BI39" s="66">
        <v>0</v>
      </c>
      <c r="BJ39" s="66">
        <v>0</v>
      </c>
      <c r="BK39" s="66">
        <v>0</v>
      </c>
      <c r="BL39" s="66">
        <v>0</v>
      </c>
      <c r="BM39" s="66">
        <v>0</v>
      </c>
      <c r="BN39" s="67">
        <f t="shared" si="22"/>
        <v>0</v>
      </c>
      <c r="BO39" s="68">
        <f t="shared" si="7"/>
        <v>0</v>
      </c>
      <c r="BP39" s="69"/>
      <c r="BQ39" s="133">
        <f t="shared" si="23"/>
        <v>0</v>
      </c>
      <c r="BR39" s="69"/>
      <c r="BS39" s="133">
        <f t="shared" si="24"/>
        <v>0</v>
      </c>
      <c r="BT39" s="133">
        <f t="shared" si="25"/>
        <v>0</v>
      </c>
      <c r="BU39" s="133">
        <f t="shared" si="26"/>
        <v>0</v>
      </c>
      <c r="BV39" s="133">
        <f t="shared" si="27"/>
        <v>0</v>
      </c>
      <c r="BW39" s="133">
        <f t="shared" si="28"/>
        <v>0</v>
      </c>
      <c r="BX39" s="144">
        <f t="shared" si="29"/>
        <v>0</v>
      </c>
      <c r="BY39" s="69"/>
      <c r="BZ39" s="133">
        <f t="shared" si="30"/>
        <v>0</v>
      </c>
      <c r="CA39" s="133">
        <f t="shared" si="31"/>
        <v>0</v>
      </c>
      <c r="CB39" s="133">
        <f t="shared" si="32"/>
        <v>0</v>
      </c>
      <c r="CC39" s="133">
        <f t="shared" si="33"/>
        <v>0</v>
      </c>
      <c r="CD39" s="133">
        <f t="shared" si="34"/>
        <v>0</v>
      </c>
      <c r="CE39" s="144">
        <f t="shared" si="35"/>
        <v>0</v>
      </c>
      <c r="CF39" s="133">
        <f t="shared" si="36"/>
        <v>0</v>
      </c>
      <c r="CG39" s="133">
        <f t="shared" si="37"/>
        <v>0</v>
      </c>
      <c r="CH39" s="145">
        <f t="shared" si="8"/>
        <v>0</v>
      </c>
    </row>
    <row r="40" spans="1:86" ht="14.1" customHeight="1" x14ac:dyDescent="0.25">
      <c r="A40" s="70"/>
      <c r="B40" s="133" t="s">
        <v>124</v>
      </c>
      <c r="C40" s="133" t="s">
        <v>272</v>
      </c>
      <c r="D40" s="934" t="s">
        <v>1375</v>
      </c>
      <c r="E40" s="133" t="s">
        <v>1541</v>
      </c>
      <c r="F40" s="66"/>
      <c r="G40" s="66">
        <f>_xlfn.IFNA(INDEX(NewRecipeTable[Percentage Yield],MATCH(E40,NewRecipeTable[ShortCode],0)),0)</f>
        <v>35.32</v>
      </c>
      <c r="H40" s="146">
        <v>1570</v>
      </c>
      <c r="I40" s="66" t="str">
        <v>No</v>
      </c>
      <c r="J40" s="133" t="s">
        <v>244</v>
      </c>
      <c r="K40" s="133">
        <f>_xlfn.IFNA(INDEX(Middles!$G$8:$G$88,MATCH($E$8:$E$62,ActivatedRecipe,0)),0)</f>
        <v>0</v>
      </c>
      <c r="L40" s="66">
        <f t="shared" si="9"/>
        <v>0</v>
      </c>
      <c r="M40" s="133">
        <f>_xlfn.IFNA(INDEX(Middles!$H$8:$H$88,MATCH($E$8:$E$62,ActivatedRecipe,0)),0)</f>
        <v>0</v>
      </c>
      <c r="N40" s="69"/>
      <c r="O40" s="92" t="s">
        <v>639</v>
      </c>
      <c r="P40" s="147">
        <f t="shared" si="10"/>
        <v>0</v>
      </c>
      <c r="Q40" s="147">
        <f t="shared" si="11"/>
        <v>0</v>
      </c>
      <c r="R40" s="147">
        <f t="shared" si="12"/>
        <v>0</v>
      </c>
      <c r="S40" s="147">
        <f t="shared" si="13"/>
        <v>0</v>
      </c>
      <c r="T40" s="147">
        <f t="shared" si="14"/>
        <v>0</v>
      </c>
      <c r="U40" s="147">
        <f t="shared" si="15"/>
        <v>0</v>
      </c>
      <c r="V40" s="69"/>
      <c r="W40" s="147">
        <v>0</v>
      </c>
      <c r="X40" s="147">
        <v>0</v>
      </c>
      <c r="Y40" s="147">
        <v>0</v>
      </c>
      <c r="Z40" s="147">
        <v>0</v>
      </c>
      <c r="AA40" s="147">
        <v>0</v>
      </c>
      <c r="AB40" s="147">
        <v>0</v>
      </c>
      <c r="AC40" s="147">
        <v>0</v>
      </c>
      <c r="AD40" s="147">
        <v>0</v>
      </c>
      <c r="AE40" s="924">
        <f t="shared" si="16"/>
        <v>0</v>
      </c>
      <c r="AF40" s="84"/>
      <c r="AG40" s="66">
        <f t="shared" si="17"/>
        <v>0</v>
      </c>
      <c r="AH40" s="139">
        <f t="shared" si="18"/>
        <v>0</v>
      </c>
      <c r="AI40" s="137">
        <f t="shared" si="19"/>
        <v>0</v>
      </c>
      <c r="AJ40" s="69"/>
      <c r="AK40" s="66">
        <v>0</v>
      </c>
      <c r="AL40" s="66">
        <v>0</v>
      </c>
      <c r="AM40" s="66">
        <v>0</v>
      </c>
      <c r="AN40" s="66">
        <v>0</v>
      </c>
      <c r="AO40" s="66">
        <v>0</v>
      </c>
      <c r="AP40" s="66">
        <v>0</v>
      </c>
      <c r="AQ40" s="69"/>
      <c r="AR40" s="66">
        <v>0</v>
      </c>
      <c r="AS40" s="66">
        <v>0</v>
      </c>
      <c r="AT40" s="66">
        <v>0</v>
      </c>
      <c r="AU40" s="66">
        <v>0</v>
      </c>
      <c r="AV40" s="66">
        <v>0</v>
      </c>
      <c r="AW40" s="66">
        <v>0</v>
      </c>
      <c r="AX40" s="66">
        <v>0</v>
      </c>
      <c r="AY40" s="66">
        <v>0</v>
      </c>
      <c r="AZ40" s="66">
        <f t="array" ref="AZ40">SUMIF($W$2:$AD$2,"&gt;"&amp;0,AR40:AY40)</f>
        <v>0</v>
      </c>
      <c r="BA40" s="67">
        <f t="shared" si="20"/>
        <v>0</v>
      </c>
      <c r="BB40" s="84"/>
      <c r="BC40" s="71">
        <f t="shared" si="21"/>
        <v>0</v>
      </c>
      <c r="BD40" s="957"/>
      <c r="BE40" s="70"/>
      <c r="BF40" s="66">
        <v>0</v>
      </c>
      <c r="BG40" s="66">
        <v>0</v>
      </c>
      <c r="BH40" s="66">
        <v>0</v>
      </c>
      <c r="BI40" s="66">
        <v>0</v>
      </c>
      <c r="BJ40" s="66">
        <v>0</v>
      </c>
      <c r="BK40" s="66">
        <v>0</v>
      </c>
      <c r="BL40" s="66">
        <v>0</v>
      </c>
      <c r="BM40" s="66">
        <v>0</v>
      </c>
      <c r="BN40" s="67">
        <f t="shared" si="22"/>
        <v>0</v>
      </c>
      <c r="BO40" s="68">
        <f t="shared" si="7"/>
        <v>0</v>
      </c>
      <c r="BP40" s="69"/>
      <c r="BQ40" s="133">
        <f t="shared" si="23"/>
        <v>0</v>
      </c>
      <c r="BR40" s="69"/>
      <c r="BS40" s="133">
        <f t="shared" si="24"/>
        <v>0</v>
      </c>
      <c r="BT40" s="133">
        <f t="shared" si="25"/>
        <v>0</v>
      </c>
      <c r="BU40" s="133">
        <f t="shared" si="26"/>
        <v>0</v>
      </c>
      <c r="BV40" s="133">
        <f t="shared" si="27"/>
        <v>0</v>
      </c>
      <c r="BW40" s="133">
        <f t="shared" si="28"/>
        <v>0</v>
      </c>
      <c r="BX40" s="144">
        <f t="shared" si="29"/>
        <v>0</v>
      </c>
      <c r="BY40" s="69"/>
      <c r="BZ40" s="133">
        <f t="shared" si="30"/>
        <v>0</v>
      </c>
      <c r="CA40" s="133">
        <f t="shared" si="31"/>
        <v>0</v>
      </c>
      <c r="CB40" s="133">
        <f t="shared" si="32"/>
        <v>0</v>
      </c>
      <c r="CC40" s="133">
        <f t="shared" si="33"/>
        <v>0</v>
      </c>
      <c r="CD40" s="133">
        <f t="shared" si="34"/>
        <v>0</v>
      </c>
      <c r="CE40" s="144">
        <f t="shared" si="35"/>
        <v>0</v>
      </c>
      <c r="CF40" s="133">
        <f t="shared" si="36"/>
        <v>0</v>
      </c>
      <c r="CG40" s="133">
        <f t="shared" si="37"/>
        <v>0</v>
      </c>
      <c r="CH40" s="145">
        <f t="shared" si="8"/>
        <v>0</v>
      </c>
    </row>
    <row r="41" spans="1:86" ht="14.1" customHeight="1" x14ac:dyDescent="0.25">
      <c r="A41" s="70"/>
      <c r="B41" s="133" t="s">
        <v>129</v>
      </c>
      <c r="C41" s="133" t="s">
        <v>267</v>
      </c>
      <c r="D41" s="934" t="s">
        <v>128</v>
      </c>
      <c r="E41" s="133" t="s">
        <v>162</v>
      </c>
      <c r="F41" s="66"/>
      <c r="G41" s="66">
        <f>_xlfn.IFNA(INDEX(NewRecipeTable[Percentage Yield],MATCH(E41,NewRecipeTable[ShortCode],0)),0)</f>
        <v>33.200000000000003</v>
      </c>
      <c r="H41" s="146">
        <v>1570</v>
      </c>
      <c r="I41" s="66" t="str">
        <v>No</v>
      </c>
      <c r="J41" s="133" t="s">
        <v>244</v>
      </c>
      <c r="K41" s="133">
        <f>_xlfn.IFNA(INDEX(Middles!$G$8:$G$88,MATCH($E$8:$E$62,ActivatedRecipe,0)),0)</f>
        <v>0</v>
      </c>
      <c r="L41" s="66">
        <f t="shared" si="9"/>
        <v>0</v>
      </c>
      <c r="M41" s="133">
        <f>_xlfn.IFNA(INDEX(Middles!$H$8:$H$88,MATCH($E$8:$E$62,ActivatedRecipe,0)),0)</f>
        <v>0</v>
      </c>
      <c r="N41" s="69"/>
      <c r="O41" s="92" t="s">
        <v>639</v>
      </c>
      <c r="P41" s="147">
        <f t="shared" si="10"/>
        <v>0</v>
      </c>
      <c r="Q41" s="147">
        <f t="shared" si="11"/>
        <v>0</v>
      </c>
      <c r="R41" s="147">
        <f t="shared" si="12"/>
        <v>0</v>
      </c>
      <c r="S41" s="147">
        <f t="shared" si="13"/>
        <v>0</v>
      </c>
      <c r="T41" s="147">
        <f t="shared" si="14"/>
        <v>0</v>
      </c>
      <c r="U41" s="147">
        <f t="shared" si="15"/>
        <v>0</v>
      </c>
      <c r="V41" s="69"/>
      <c r="W41" s="147">
        <v>0</v>
      </c>
      <c r="X41" s="147">
        <v>0</v>
      </c>
      <c r="Y41" s="147">
        <v>0</v>
      </c>
      <c r="Z41" s="147">
        <v>0</v>
      </c>
      <c r="AA41" s="147">
        <v>0</v>
      </c>
      <c r="AB41" s="147">
        <v>0</v>
      </c>
      <c r="AC41" s="147">
        <v>0</v>
      </c>
      <c r="AD41" s="147">
        <v>0</v>
      </c>
      <c r="AE41" s="924">
        <f t="shared" si="16"/>
        <v>0</v>
      </c>
      <c r="AF41" s="84"/>
      <c r="AG41" s="66">
        <f t="shared" si="17"/>
        <v>0</v>
      </c>
      <c r="AH41" s="139">
        <f t="shared" si="18"/>
        <v>0</v>
      </c>
      <c r="AI41" s="137">
        <f t="shared" si="19"/>
        <v>0</v>
      </c>
      <c r="AJ41" s="69"/>
      <c r="AK41" s="66">
        <v>0</v>
      </c>
      <c r="AL41" s="66">
        <v>0</v>
      </c>
      <c r="AM41" s="66">
        <v>0</v>
      </c>
      <c r="AN41" s="66">
        <v>0</v>
      </c>
      <c r="AO41" s="66">
        <v>0</v>
      </c>
      <c r="AP41" s="66">
        <v>0</v>
      </c>
      <c r="AQ41" s="69"/>
      <c r="AR41" s="66">
        <v>0</v>
      </c>
      <c r="AS41" s="66">
        <v>0</v>
      </c>
      <c r="AT41" s="66">
        <v>0</v>
      </c>
      <c r="AU41" s="66">
        <v>0</v>
      </c>
      <c r="AV41" s="66">
        <v>0</v>
      </c>
      <c r="AW41" s="66">
        <v>0</v>
      </c>
      <c r="AX41" s="66">
        <v>0</v>
      </c>
      <c r="AY41" s="66">
        <v>0</v>
      </c>
      <c r="AZ41" s="66">
        <f t="array" ref="AZ41">SUMIF($W$2:$AD$2,"&gt;"&amp;0,AR41:AY41)</f>
        <v>0</v>
      </c>
      <c r="BA41" s="67">
        <f t="shared" si="20"/>
        <v>0</v>
      </c>
      <c r="BB41" s="84"/>
      <c r="BC41" s="71">
        <f t="shared" si="21"/>
        <v>0</v>
      </c>
      <c r="BD41" s="957"/>
      <c r="BE41" s="70"/>
      <c r="BF41" s="66">
        <v>0</v>
      </c>
      <c r="BG41" s="66">
        <v>0</v>
      </c>
      <c r="BH41" s="66">
        <v>0</v>
      </c>
      <c r="BI41" s="66">
        <v>0</v>
      </c>
      <c r="BJ41" s="66">
        <v>0</v>
      </c>
      <c r="BK41" s="66">
        <v>0</v>
      </c>
      <c r="BL41" s="66">
        <v>0</v>
      </c>
      <c r="BM41" s="66">
        <v>0</v>
      </c>
      <c r="BN41" s="67">
        <f t="shared" si="22"/>
        <v>0</v>
      </c>
      <c r="BO41" s="68">
        <f t="shared" si="7"/>
        <v>0</v>
      </c>
      <c r="BP41" s="69"/>
      <c r="BQ41" s="133">
        <f t="shared" si="23"/>
        <v>0</v>
      </c>
      <c r="BR41" s="69"/>
      <c r="BS41" s="133">
        <f t="shared" si="24"/>
        <v>0</v>
      </c>
      <c r="BT41" s="133">
        <f t="shared" si="25"/>
        <v>0</v>
      </c>
      <c r="BU41" s="133">
        <f t="shared" si="26"/>
        <v>0</v>
      </c>
      <c r="BV41" s="133">
        <f t="shared" si="27"/>
        <v>0</v>
      </c>
      <c r="BW41" s="133">
        <f t="shared" si="28"/>
        <v>0</v>
      </c>
      <c r="BX41" s="144">
        <f t="shared" si="29"/>
        <v>0</v>
      </c>
      <c r="BY41" s="69"/>
      <c r="BZ41" s="133">
        <f t="shared" si="30"/>
        <v>0</v>
      </c>
      <c r="CA41" s="133">
        <f t="shared" si="31"/>
        <v>0</v>
      </c>
      <c r="CB41" s="133">
        <f t="shared" si="32"/>
        <v>0</v>
      </c>
      <c r="CC41" s="133">
        <f t="shared" si="33"/>
        <v>0</v>
      </c>
      <c r="CD41" s="133">
        <f t="shared" si="34"/>
        <v>0</v>
      </c>
      <c r="CE41" s="144">
        <f t="shared" si="35"/>
        <v>0</v>
      </c>
      <c r="CF41" s="133">
        <f t="shared" si="36"/>
        <v>0</v>
      </c>
      <c r="CG41" s="133">
        <f t="shared" si="37"/>
        <v>0</v>
      </c>
      <c r="CH41" s="145">
        <f t="shared" si="8"/>
        <v>0</v>
      </c>
    </row>
    <row r="42" spans="1:86" ht="14.1" customHeight="1" x14ac:dyDescent="0.25">
      <c r="A42" s="70"/>
      <c r="B42" s="133" t="s">
        <v>129</v>
      </c>
      <c r="C42" s="133" t="s">
        <v>267</v>
      </c>
      <c r="D42" s="934" t="s">
        <v>1168</v>
      </c>
      <c r="E42" s="133" t="s">
        <v>1170</v>
      </c>
      <c r="F42" s="66"/>
      <c r="G42" s="66">
        <f>_xlfn.IFNA(INDEX(NewRecipeTable[Percentage Yield],MATCH(E42,NewRecipeTable[ShortCode],0)),0)</f>
        <v>33.200000000000003</v>
      </c>
      <c r="H42" s="146">
        <v>1570</v>
      </c>
      <c r="I42" s="66" t="str">
        <v>No</v>
      </c>
      <c r="J42" s="133" t="s">
        <v>244</v>
      </c>
      <c r="K42" s="133">
        <f>_xlfn.IFNA(INDEX(Middles!$G$8:$G$88,MATCH($E$8:$E$62,ActivatedRecipe,0)),0)</f>
        <v>0</v>
      </c>
      <c r="L42" s="66">
        <f t="shared" si="9"/>
        <v>0</v>
      </c>
      <c r="M42" s="133">
        <f>_xlfn.IFNA(INDEX(Middles!$H$8:$H$88,MATCH($E$8:$E$62,ActivatedRecipe,0)),0)</f>
        <v>0</v>
      </c>
      <c r="N42" s="69"/>
      <c r="O42" s="92" t="s">
        <v>639</v>
      </c>
      <c r="P42" s="147">
        <f t="shared" si="10"/>
        <v>0</v>
      </c>
      <c r="Q42" s="147">
        <f t="shared" si="11"/>
        <v>0</v>
      </c>
      <c r="R42" s="147">
        <f t="shared" si="12"/>
        <v>0</v>
      </c>
      <c r="S42" s="147">
        <f t="shared" si="13"/>
        <v>0</v>
      </c>
      <c r="T42" s="147">
        <f t="shared" si="14"/>
        <v>0</v>
      </c>
      <c r="U42" s="147">
        <f t="shared" si="15"/>
        <v>0</v>
      </c>
      <c r="V42" s="69"/>
      <c r="W42" s="147">
        <v>0</v>
      </c>
      <c r="X42" s="147">
        <v>0</v>
      </c>
      <c r="Y42" s="147">
        <v>0</v>
      </c>
      <c r="Z42" s="147">
        <v>0</v>
      </c>
      <c r="AA42" s="147">
        <v>0</v>
      </c>
      <c r="AB42" s="147">
        <v>0</v>
      </c>
      <c r="AC42" s="147">
        <v>0</v>
      </c>
      <c r="AD42" s="147">
        <v>0</v>
      </c>
      <c r="AE42" s="924">
        <f t="shared" si="16"/>
        <v>0</v>
      </c>
      <c r="AF42" s="84"/>
      <c r="AG42" s="66">
        <f t="shared" si="17"/>
        <v>0</v>
      </c>
      <c r="AH42" s="139">
        <f t="shared" si="18"/>
        <v>0</v>
      </c>
      <c r="AI42" s="137">
        <f t="shared" si="19"/>
        <v>0</v>
      </c>
      <c r="AJ42" s="69"/>
      <c r="AK42" s="66">
        <v>0</v>
      </c>
      <c r="AL42" s="66">
        <v>0</v>
      </c>
      <c r="AM42" s="66">
        <v>0</v>
      </c>
      <c r="AN42" s="66">
        <v>0</v>
      </c>
      <c r="AO42" s="66">
        <v>0</v>
      </c>
      <c r="AP42" s="66">
        <v>0</v>
      </c>
      <c r="AQ42" s="69"/>
      <c r="AR42" s="66">
        <v>0</v>
      </c>
      <c r="AS42" s="66">
        <v>0</v>
      </c>
      <c r="AT42" s="66">
        <v>0</v>
      </c>
      <c r="AU42" s="66">
        <v>0</v>
      </c>
      <c r="AV42" s="66">
        <v>0</v>
      </c>
      <c r="AW42" s="66">
        <v>0</v>
      </c>
      <c r="AX42" s="66">
        <v>0</v>
      </c>
      <c r="AY42" s="66">
        <v>0</v>
      </c>
      <c r="AZ42" s="66">
        <f t="array" ref="AZ42">SUMIF($W$2:$AD$2,"&gt;"&amp;0,AR42:AY42)</f>
        <v>0</v>
      </c>
      <c r="BA42" s="67">
        <f t="shared" si="20"/>
        <v>0</v>
      </c>
      <c r="BB42" s="84"/>
      <c r="BC42" s="71">
        <f t="shared" si="21"/>
        <v>0</v>
      </c>
      <c r="BD42" s="957"/>
      <c r="BE42" s="70"/>
      <c r="BF42" s="66">
        <v>0</v>
      </c>
      <c r="BG42" s="66">
        <v>0</v>
      </c>
      <c r="BH42" s="66">
        <v>0</v>
      </c>
      <c r="BI42" s="66">
        <v>0</v>
      </c>
      <c r="BJ42" s="66">
        <v>0</v>
      </c>
      <c r="BK42" s="66">
        <v>0</v>
      </c>
      <c r="BL42" s="66">
        <v>0</v>
      </c>
      <c r="BM42" s="66">
        <v>0</v>
      </c>
      <c r="BN42" s="67">
        <f t="shared" si="22"/>
        <v>0</v>
      </c>
      <c r="BO42" s="68">
        <f t="shared" si="7"/>
        <v>0</v>
      </c>
      <c r="BP42" s="69"/>
      <c r="BQ42" s="133">
        <f t="shared" si="23"/>
        <v>0</v>
      </c>
      <c r="BR42" s="69"/>
      <c r="BS42" s="133">
        <f t="shared" si="24"/>
        <v>0</v>
      </c>
      <c r="BT42" s="133">
        <f t="shared" si="25"/>
        <v>0</v>
      </c>
      <c r="BU42" s="133">
        <f t="shared" si="26"/>
        <v>0</v>
      </c>
      <c r="BV42" s="133">
        <f t="shared" si="27"/>
        <v>0</v>
      </c>
      <c r="BW42" s="133">
        <f t="shared" si="28"/>
        <v>0</v>
      </c>
      <c r="BX42" s="144">
        <f t="shared" si="29"/>
        <v>0</v>
      </c>
      <c r="BY42" s="69"/>
      <c r="BZ42" s="133">
        <f t="shared" si="30"/>
        <v>0</v>
      </c>
      <c r="CA42" s="133">
        <f t="shared" si="31"/>
        <v>0</v>
      </c>
      <c r="CB42" s="133">
        <f t="shared" si="32"/>
        <v>0</v>
      </c>
      <c r="CC42" s="133">
        <f t="shared" si="33"/>
        <v>0</v>
      </c>
      <c r="CD42" s="133">
        <f t="shared" si="34"/>
        <v>0</v>
      </c>
      <c r="CE42" s="144">
        <f t="shared" si="35"/>
        <v>0</v>
      </c>
      <c r="CF42" s="133">
        <f t="shared" si="36"/>
        <v>0</v>
      </c>
      <c r="CG42" s="133">
        <f t="shared" si="37"/>
        <v>0</v>
      </c>
      <c r="CH42" s="145">
        <f t="shared" si="8"/>
        <v>0</v>
      </c>
    </row>
    <row r="43" spans="1:86" ht="14.1" customHeight="1" x14ac:dyDescent="0.25">
      <c r="A43" s="70"/>
      <c r="B43" s="133" t="s">
        <v>129</v>
      </c>
      <c r="C43" s="133" t="s">
        <v>267</v>
      </c>
      <c r="D43" s="934" t="s">
        <v>130</v>
      </c>
      <c r="E43" s="133" t="s">
        <v>606</v>
      </c>
      <c r="F43" s="66"/>
      <c r="G43" s="66">
        <f>_xlfn.IFNA(INDEX(NewRecipeTable[Percentage Yield],MATCH(E43,NewRecipeTable[ShortCode],0)),0)</f>
        <v>33.200000000000003</v>
      </c>
      <c r="H43" s="146">
        <v>1570</v>
      </c>
      <c r="I43" s="66" t="str">
        <v>No</v>
      </c>
      <c r="J43" s="133" t="s">
        <v>244</v>
      </c>
      <c r="K43" s="133">
        <f>_xlfn.IFNA(INDEX(Middles!$G$8:$G$88,MATCH($E$8:$E$62,ActivatedRecipe,0)),0)</f>
        <v>0</v>
      </c>
      <c r="L43" s="66">
        <f t="shared" si="9"/>
        <v>0</v>
      </c>
      <c r="M43" s="133">
        <f>_xlfn.IFNA(INDEX(Middles!$H$8:$H$88,MATCH($E$8:$E$62,ActivatedRecipe,0)),0)</f>
        <v>0</v>
      </c>
      <c r="N43" s="69"/>
      <c r="O43" s="92" t="s">
        <v>639</v>
      </c>
      <c r="P43" s="147">
        <f t="shared" si="10"/>
        <v>0</v>
      </c>
      <c r="Q43" s="147">
        <f t="shared" si="11"/>
        <v>0</v>
      </c>
      <c r="R43" s="147">
        <f t="shared" si="12"/>
        <v>0</v>
      </c>
      <c r="S43" s="147">
        <f t="shared" si="13"/>
        <v>0</v>
      </c>
      <c r="T43" s="147">
        <f t="shared" si="14"/>
        <v>0</v>
      </c>
      <c r="U43" s="147">
        <f t="shared" si="15"/>
        <v>0</v>
      </c>
      <c r="V43" s="69"/>
      <c r="W43" s="147">
        <v>0</v>
      </c>
      <c r="X43" s="147">
        <v>0</v>
      </c>
      <c r="Y43" s="147">
        <v>0</v>
      </c>
      <c r="Z43" s="147">
        <v>0</v>
      </c>
      <c r="AA43" s="147">
        <v>0</v>
      </c>
      <c r="AB43" s="147">
        <v>0</v>
      </c>
      <c r="AC43" s="147">
        <v>0</v>
      </c>
      <c r="AD43" s="147">
        <v>0</v>
      </c>
      <c r="AE43" s="924">
        <f t="shared" si="16"/>
        <v>0</v>
      </c>
      <c r="AF43" s="84"/>
      <c r="AG43" s="66">
        <f t="shared" si="17"/>
        <v>0</v>
      </c>
      <c r="AH43" s="139">
        <f t="shared" si="18"/>
        <v>0</v>
      </c>
      <c r="AI43" s="137">
        <f t="shared" si="19"/>
        <v>0</v>
      </c>
      <c r="AJ43" s="69"/>
      <c r="AK43" s="66">
        <v>0</v>
      </c>
      <c r="AL43" s="66">
        <v>0</v>
      </c>
      <c r="AM43" s="66">
        <v>0</v>
      </c>
      <c r="AN43" s="66">
        <v>0</v>
      </c>
      <c r="AO43" s="66">
        <v>0</v>
      </c>
      <c r="AP43" s="66">
        <v>0</v>
      </c>
      <c r="AQ43" s="69"/>
      <c r="AR43" s="66">
        <v>0</v>
      </c>
      <c r="AS43" s="66">
        <v>0</v>
      </c>
      <c r="AT43" s="66">
        <v>0</v>
      </c>
      <c r="AU43" s="66">
        <v>0</v>
      </c>
      <c r="AV43" s="66">
        <v>0</v>
      </c>
      <c r="AW43" s="66">
        <v>0</v>
      </c>
      <c r="AX43" s="66">
        <v>0</v>
      </c>
      <c r="AY43" s="66">
        <v>0</v>
      </c>
      <c r="AZ43" s="66">
        <f t="array" ref="AZ43">SUMIF($W$2:$AD$2,"&gt;"&amp;0,AR43:AY43)</f>
        <v>0</v>
      </c>
      <c r="BA43" s="67">
        <f t="shared" si="20"/>
        <v>0</v>
      </c>
      <c r="BB43" s="84"/>
      <c r="BC43" s="71">
        <f t="shared" si="21"/>
        <v>0</v>
      </c>
      <c r="BD43" s="958"/>
      <c r="BE43" s="70"/>
      <c r="BF43" s="66">
        <v>0</v>
      </c>
      <c r="BG43" s="66">
        <v>0</v>
      </c>
      <c r="BH43" s="66">
        <v>0</v>
      </c>
      <c r="BI43" s="66">
        <v>0</v>
      </c>
      <c r="BJ43" s="66">
        <v>0</v>
      </c>
      <c r="BK43" s="66">
        <v>0</v>
      </c>
      <c r="BL43" s="66">
        <v>0</v>
      </c>
      <c r="BM43" s="66">
        <v>0</v>
      </c>
      <c r="BN43" s="67">
        <f t="shared" si="22"/>
        <v>0</v>
      </c>
      <c r="BO43" s="68">
        <f t="shared" si="7"/>
        <v>0</v>
      </c>
      <c r="BP43" s="69"/>
      <c r="BQ43" s="133">
        <f t="shared" si="23"/>
        <v>0</v>
      </c>
      <c r="BR43" s="69"/>
      <c r="BS43" s="133">
        <f t="shared" si="24"/>
        <v>0</v>
      </c>
      <c r="BT43" s="133">
        <f t="shared" si="25"/>
        <v>0</v>
      </c>
      <c r="BU43" s="133">
        <f t="shared" si="26"/>
        <v>0</v>
      </c>
      <c r="BV43" s="133">
        <f t="shared" si="27"/>
        <v>0</v>
      </c>
      <c r="BW43" s="133">
        <f t="shared" si="28"/>
        <v>0</v>
      </c>
      <c r="BX43" s="144">
        <f t="shared" si="29"/>
        <v>0</v>
      </c>
      <c r="BY43" s="69"/>
      <c r="BZ43" s="133">
        <f t="shared" si="30"/>
        <v>0</v>
      </c>
      <c r="CA43" s="133">
        <f t="shared" si="31"/>
        <v>0</v>
      </c>
      <c r="CB43" s="133">
        <f t="shared" si="32"/>
        <v>0</v>
      </c>
      <c r="CC43" s="133">
        <f t="shared" si="33"/>
        <v>0</v>
      </c>
      <c r="CD43" s="133">
        <f t="shared" si="34"/>
        <v>0</v>
      </c>
      <c r="CE43" s="144">
        <f t="shared" si="35"/>
        <v>0</v>
      </c>
      <c r="CF43" s="133">
        <f t="shared" si="36"/>
        <v>0</v>
      </c>
      <c r="CG43" s="133">
        <f t="shared" si="37"/>
        <v>0</v>
      </c>
      <c r="CH43" s="145">
        <f t="shared" si="8"/>
        <v>0</v>
      </c>
    </row>
    <row r="44" spans="1:86" ht="14.1" customHeight="1" x14ac:dyDescent="0.25">
      <c r="A44" s="70"/>
      <c r="B44" s="133" t="s">
        <v>129</v>
      </c>
      <c r="C44" s="133" t="s">
        <v>267</v>
      </c>
      <c r="D44" s="934" t="s">
        <v>1155</v>
      </c>
      <c r="E44" s="133" t="s">
        <v>1157</v>
      </c>
      <c r="F44" s="66"/>
      <c r="G44" s="66">
        <f>_xlfn.IFNA(INDEX(NewRecipeTable[Percentage Yield],MATCH(E44,NewRecipeTable[ShortCode],0)),0)</f>
        <v>33.020000000000003</v>
      </c>
      <c r="H44" s="146">
        <v>1570</v>
      </c>
      <c r="I44" s="66" t="str">
        <v>No</v>
      </c>
      <c r="J44" s="133" t="s">
        <v>244</v>
      </c>
      <c r="K44" s="133">
        <f>_xlfn.IFNA(INDEX(Middles!$G$8:$G$88,MATCH($E$8:$E$62,ActivatedRecipe,0)),0)</f>
        <v>0</v>
      </c>
      <c r="L44" s="66">
        <f t="shared" si="9"/>
        <v>0</v>
      </c>
      <c r="M44" s="133">
        <f>_xlfn.IFNA(INDEX(Middles!$H$8:$H$88,MATCH($E$8:$E$62,ActivatedRecipe,0)),0)</f>
        <v>0</v>
      </c>
      <c r="N44" s="69"/>
      <c r="O44" s="92" t="s">
        <v>639</v>
      </c>
      <c r="P44" s="147">
        <f t="shared" si="10"/>
        <v>0</v>
      </c>
      <c r="Q44" s="147">
        <f t="shared" si="11"/>
        <v>0</v>
      </c>
      <c r="R44" s="147">
        <f t="shared" si="12"/>
        <v>0</v>
      </c>
      <c r="S44" s="147">
        <f t="shared" si="13"/>
        <v>0</v>
      </c>
      <c r="T44" s="147">
        <f t="shared" si="14"/>
        <v>0</v>
      </c>
      <c r="U44" s="147">
        <f t="shared" si="15"/>
        <v>0</v>
      </c>
      <c r="V44" s="69"/>
      <c r="W44" s="147">
        <v>0</v>
      </c>
      <c r="X44" s="147">
        <v>0</v>
      </c>
      <c r="Y44" s="147">
        <v>0</v>
      </c>
      <c r="Z44" s="147">
        <v>0</v>
      </c>
      <c r="AA44" s="147">
        <v>0</v>
      </c>
      <c r="AB44" s="147">
        <v>0</v>
      </c>
      <c r="AC44" s="147">
        <v>0</v>
      </c>
      <c r="AD44" s="147">
        <v>0</v>
      </c>
      <c r="AE44" s="924">
        <f t="shared" si="16"/>
        <v>0</v>
      </c>
      <c r="AF44" s="84"/>
      <c r="AG44" s="66">
        <f t="shared" si="17"/>
        <v>0</v>
      </c>
      <c r="AH44" s="139">
        <f t="shared" si="18"/>
        <v>0</v>
      </c>
      <c r="AI44" s="137">
        <f t="shared" si="19"/>
        <v>0</v>
      </c>
      <c r="AJ44" s="69"/>
      <c r="AK44" s="66">
        <v>0</v>
      </c>
      <c r="AL44" s="66">
        <v>0</v>
      </c>
      <c r="AM44" s="66">
        <v>0</v>
      </c>
      <c r="AN44" s="66">
        <v>0</v>
      </c>
      <c r="AO44" s="66">
        <v>0</v>
      </c>
      <c r="AP44" s="66">
        <v>0</v>
      </c>
      <c r="AQ44" s="69"/>
      <c r="AR44" s="66">
        <v>0</v>
      </c>
      <c r="AS44" s="66">
        <v>0</v>
      </c>
      <c r="AT44" s="66">
        <v>0</v>
      </c>
      <c r="AU44" s="66">
        <v>0</v>
      </c>
      <c r="AV44" s="66">
        <v>0</v>
      </c>
      <c r="AW44" s="66">
        <v>0</v>
      </c>
      <c r="AX44" s="66">
        <v>0</v>
      </c>
      <c r="AY44" s="66">
        <v>0</v>
      </c>
      <c r="AZ44" s="66">
        <f t="array" ref="AZ44">SUMIF($W$2:$AD$2,"&gt;"&amp;0,AR44:AY44)</f>
        <v>0</v>
      </c>
      <c r="BA44" s="67">
        <f t="shared" si="20"/>
        <v>0</v>
      </c>
      <c r="BB44" s="84"/>
      <c r="BC44" s="71">
        <f t="shared" si="21"/>
        <v>0</v>
      </c>
      <c r="BD44" s="957"/>
      <c r="BE44" s="70"/>
      <c r="BF44" s="66">
        <v>0</v>
      </c>
      <c r="BG44" s="66">
        <v>0</v>
      </c>
      <c r="BH44" s="66">
        <v>0</v>
      </c>
      <c r="BI44" s="66">
        <v>0</v>
      </c>
      <c r="BJ44" s="66">
        <v>0</v>
      </c>
      <c r="BK44" s="66">
        <v>0</v>
      </c>
      <c r="BL44" s="66">
        <v>0</v>
      </c>
      <c r="BM44" s="66">
        <v>0</v>
      </c>
      <c r="BN44" s="67">
        <f t="shared" si="22"/>
        <v>0</v>
      </c>
      <c r="BO44" s="68">
        <f t="shared" si="7"/>
        <v>0</v>
      </c>
      <c r="BP44" s="69"/>
      <c r="BQ44" s="133">
        <f t="shared" si="23"/>
        <v>0</v>
      </c>
      <c r="BR44" s="69"/>
      <c r="BS44" s="133">
        <f t="shared" si="24"/>
        <v>0</v>
      </c>
      <c r="BT44" s="133">
        <f t="shared" si="25"/>
        <v>0</v>
      </c>
      <c r="BU44" s="133">
        <f t="shared" si="26"/>
        <v>0</v>
      </c>
      <c r="BV44" s="133">
        <f t="shared" si="27"/>
        <v>0</v>
      </c>
      <c r="BW44" s="133">
        <f t="shared" si="28"/>
        <v>0</v>
      </c>
      <c r="BX44" s="144">
        <f t="shared" si="29"/>
        <v>0</v>
      </c>
      <c r="BY44" s="69"/>
      <c r="BZ44" s="133">
        <f t="shared" si="30"/>
        <v>0</v>
      </c>
      <c r="CA44" s="133">
        <f t="shared" si="31"/>
        <v>0</v>
      </c>
      <c r="CB44" s="133">
        <f t="shared" si="32"/>
        <v>0</v>
      </c>
      <c r="CC44" s="133">
        <f t="shared" si="33"/>
        <v>0</v>
      </c>
      <c r="CD44" s="133">
        <f t="shared" si="34"/>
        <v>0</v>
      </c>
      <c r="CE44" s="144">
        <f t="shared" si="35"/>
        <v>0</v>
      </c>
      <c r="CF44" s="133">
        <f t="shared" si="36"/>
        <v>0</v>
      </c>
      <c r="CG44" s="133">
        <f t="shared" si="37"/>
        <v>0</v>
      </c>
      <c r="CH44" s="145">
        <f t="shared" si="8"/>
        <v>0</v>
      </c>
    </row>
    <row r="45" spans="1:86" ht="14.1" customHeight="1" x14ac:dyDescent="0.25">
      <c r="A45" s="70"/>
      <c r="B45" s="133" t="s">
        <v>132</v>
      </c>
      <c r="C45" s="133" t="s">
        <v>234</v>
      </c>
      <c r="D45" s="934" t="s">
        <v>131</v>
      </c>
      <c r="E45" s="133" t="s">
        <v>163</v>
      </c>
      <c r="F45" s="66"/>
      <c r="G45" s="66">
        <f>_xlfn.IFNA(INDEX(NewRecipeTable[Percentage Yield],MATCH(E45,NewRecipeTable[ShortCode],0)),0)</f>
        <v>28.15</v>
      </c>
      <c r="H45" s="146">
        <v>1570</v>
      </c>
      <c r="I45" s="66" t="str">
        <v>No</v>
      </c>
      <c r="J45" s="133" t="s">
        <v>244</v>
      </c>
      <c r="K45" s="133">
        <f>_xlfn.IFNA(INDEX(Middles!$G$8:$G$88,MATCH($E$8:$E$62,ActivatedRecipe,0)),0)</f>
        <v>0</v>
      </c>
      <c r="L45" s="66">
        <f t="shared" si="9"/>
        <v>0</v>
      </c>
      <c r="M45" s="133">
        <f>_xlfn.IFNA(INDEX(Middles!$H$8:$H$88,MATCH($E$8:$E$62,ActivatedRecipe,0)),0)</f>
        <v>0</v>
      </c>
      <c r="N45" s="69"/>
      <c r="O45" s="92" t="s">
        <v>639</v>
      </c>
      <c r="P45" s="147">
        <f t="shared" si="10"/>
        <v>0</v>
      </c>
      <c r="Q45" s="147">
        <f t="shared" si="11"/>
        <v>0</v>
      </c>
      <c r="R45" s="147">
        <f t="shared" si="12"/>
        <v>0</v>
      </c>
      <c r="S45" s="147">
        <f t="shared" si="13"/>
        <v>0</v>
      </c>
      <c r="T45" s="147">
        <f t="shared" si="14"/>
        <v>0</v>
      </c>
      <c r="U45" s="147">
        <f t="shared" si="15"/>
        <v>0</v>
      </c>
      <c r="V45" s="69"/>
      <c r="W45" s="147">
        <v>0</v>
      </c>
      <c r="X45" s="147">
        <v>0</v>
      </c>
      <c r="Y45" s="147">
        <v>0</v>
      </c>
      <c r="Z45" s="147">
        <v>0</v>
      </c>
      <c r="AA45" s="147">
        <v>0</v>
      </c>
      <c r="AB45" s="147">
        <v>0</v>
      </c>
      <c r="AC45" s="147">
        <v>0</v>
      </c>
      <c r="AD45" s="147">
        <v>0</v>
      </c>
      <c r="AE45" s="924">
        <f t="shared" ref="AE45:AE62" si="38">SUM(P45:AD45)</f>
        <v>0</v>
      </c>
      <c r="AF45" s="84"/>
      <c r="AG45" s="66">
        <f t="shared" si="17"/>
        <v>0</v>
      </c>
      <c r="AH45" s="139">
        <f t="shared" si="18"/>
        <v>0</v>
      </c>
      <c r="AI45" s="137">
        <f t="shared" si="19"/>
        <v>0</v>
      </c>
      <c r="AJ45" s="69"/>
      <c r="AK45" s="66">
        <v>0</v>
      </c>
      <c r="AL45" s="66">
        <v>0</v>
      </c>
      <c r="AM45" s="66">
        <v>0</v>
      </c>
      <c r="AN45" s="66">
        <v>0</v>
      </c>
      <c r="AO45" s="66">
        <v>0</v>
      </c>
      <c r="AP45" s="66">
        <v>0</v>
      </c>
      <c r="AQ45" s="69"/>
      <c r="AR45" s="66">
        <v>0</v>
      </c>
      <c r="AS45" s="66">
        <v>0</v>
      </c>
      <c r="AT45" s="66">
        <v>0</v>
      </c>
      <c r="AU45" s="66">
        <v>0</v>
      </c>
      <c r="AV45" s="66">
        <v>0</v>
      </c>
      <c r="AW45" s="66">
        <v>0</v>
      </c>
      <c r="AX45" s="66">
        <v>0</v>
      </c>
      <c r="AY45" s="66">
        <v>0</v>
      </c>
      <c r="AZ45" s="66">
        <f t="array" ref="AZ45">SUMIF($W$2:$AD$2,"&gt;"&amp;0,AR45:AY45)</f>
        <v>0</v>
      </c>
      <c r="BA45" s="67">
        <f t="shared" si="20"/>
        <v>0</v>
      </c>
      <c r="BB45" s="84"/>
      <c r="BC45" s="71">
        <f t="shared" si="21"/>
        <v>0</v>
      </c>
      <c r="BD45" s="957"/>
      <c r="BE45" s="70"/>
      <c r="BF45" s="66">
        <v>0</v>
      </c>
      <c r="BG45" s="66">
        <v>0</v>
      </c>
      <c r="BH45" s="66">
        <v>0</v>
      </c>
      <c r="BI45" s="66">
        <v>0</v>
      </c>
      <c r="BJ45" s="66">
        <v>0</v>
      </c>
      <c r="BK45" s="66">
        <v>0</v>
      </c>
      <c r="BL45" s="66">
        <v>0</v>
      </c>
      <c r="BM45" s="66">
        <v>0</v>
      </c>
      <c r="BN45" s="67">
        <f t="shared" ref="BN45:BN62" si="39">SUM(BJ45:BM45)</f>
        <v>0</v>
      </c>
      <c r="BO45" s="68">
        <f t="shared" ref="BO45:BO62" si="40">SUM(BF45:BM45)</f>
        <v>0</v>
      </c>
      <c r="BP45" s="69"/>
      <c r="BQ45" s="133">
        <f t="shared" si="23"/>
        <v>0</v>
      </c>
      <c r="BR45" s="69"/>
      <c r="BS45" s="133">
        <f t="shared" si="24"/>
        <v>0</v>
      </c>
      <c r="BT45" s="133">
        <f t="shared" si="25"/>
        <v>0</v>
      </c>
      <c r="BU45" s="133">
        <f t="shared" si="26"/>
        <v>0</v>
      </c>
      <c r="BV45" s="133">
        <f t="shared" si="27"/>
        <v>0</v>
      </c>
      <c r="BW45" s="133">
        <f t="shared" si="28"/>
        <v>0</v>
      </c>
      <c r="BX45" s="144">
        <f t="shared" si="29"/>
        <v>0</v>
      </c>
      <c r="BY45" s="69"/>
      <c r="BZ45" s="133">
        <f t="shared" si="30"/>
        <v>0</v>
      </c>
      <c r="CA45" s="133">
        <f t="shared" si="31"/>
        <v>0</v>
      </c>
      <c r="CB45" s="133">
        <f t="shared" si="32"/>
        <v>0</v>
      </c>
      <c r="CC45" s="133">
        <f t="shared" si="33"/>
        <v>0</v>
      </c>
      <c r="CD45" s="133">
        <f t="shared" si="34"/>
        <v>0</v>
      </c>
      <c r="CE45" s="144">
        <f t="shared" si="35"/>
        <v>0</v>
      </c>
      <c r="CF45" s="133">
        <f t="shared" si="36"/>
        <v>0</v>
      </c>
      <c r="CG45" s="133">
        <f t="shared" si="37"/>
        <v>0</v>
      </c>
      <c r="CH45" s="145">
        <f t="shared" ref="CH45:CH62" si="41">SUM(BQ45:CG45)</f>
        <v>0</v>
      </c>
    </row>
    <row r="46" spans="1:86" ht="14.1" customHeight="1" x14ac:dyDescent="0.25">
      <c r="A46" s="150"/>
      <c r="B46" s="133" t="s">
        <v>132</v>
      </c>
      <c r="C46" s="133" t="s">
        <v>234</v>
      </c>
      <c r="D46" s="934" t="s">
        <v>133</v>
      </c>
      <c r="E46" s="133" t="s">
        <v>164</v>
      </c>
      <c r="F46" s="66"/>
      <c r="G46" s="66">
        <f>_xlfn.IFNA(INDEX(NewRecipeTable[Percentage Yield],MATCH(E46,NewRecipeTable[ShortCode],0)),0)</f>
        <v>28.15</v>
      </c>
      <c r="H46" s="146">
        <v>1570</v>
      </c>
      <c r="I46" s="66" t="str">
        <v>No</v>
      </c>
      <c r="J46" s="133" t="s">
        <v>244</v>
      </c>
      <c r="K46" s="133">
        <f>_xlfn.IFNA(INDEX(Middles!$G$8:$G$88,MATCH($E$8:$E$62,ActivatedRecipe,0)),0)</f>
        <v>0</v>
      </c>
      <c r="L46" s="66">
        <f t="shared" si="9"/>
        <v>0</v>
      </c>
      <c r="M46" s="133">
        <f>_xlfn.IFNA(INDEX(Middles!$H$8:$H$88,MATCH($E$8:$E$62,ActivatedRecipe,0)),0)</f>
        <v>0</v>
      </c>
      <c r="N46" s="84"/>
      <c r="O46" s="92" t="s">
        <v>639</v>
      </c>
      <c r="P46" s="147">
        <f t="shared" si="10"/>
        <v>0</v>
      </c>
      <c r="Q46" s="147">
        <f t="shared" si="11"/>
        <v>0</v>
      </c>
      <c r="R46" s="147">
        <f t="shared" si="12"/>
        <v>0</v>
      </c>
      <c r="S46" s="147">
        <f t="shared" si="13"/>
        <v>0</v>
      </c>
      <c r="T46" s="147">
        <f t="shared" si="14"/>
        <v>0</v>
      </c>
      <c r="U46" s="147">
        <f t="shared" si="15"/>
        <v>0</v>
      </c>
      <c r="V46" s="69"/>
      <c r="W46" s="147">
        <v>0</v>
      </c>
      <c r="X46" s="147">
        <v>0</v>
      </c>
      <c r="Y46" s="147">
        <v>0</v>
      </c>
      <c r="Z46" s="147">
        <v>0</v>
      </c>
      <c r="AA46" s="147">
        <v>0</v>
      </c>
      <c r="AB46" s="147">
        <v>0</v>
      </c>
      <c r="AC46" s="147">
        <v>0</v>
      </c>
      <c r="AD46" s="147">
        <v>0</v>
      </c>
      <c r="AE46" s="924">
        <f t="shared" si="38"/>
        <v>0</v>
      </c>
      <c r="AF46" s="84"/>
      <c r="AG46" s="66">
        <f t="shared" si="17"/>
        <v>0</v>
      </c>
      <c r="AH46" s="139">
        <f t="shared" si="18"/>
        <v>0</v>
      </c>
      <c r="AI46" s="137">
        <f t="shared" si="19"/>
        <v>0</v>
      </c>
      <c r="AJ46" s="150"/>
      <c r="AK46" s="66">
        <v>0</v>
      </c>
      <c r="AL46" s="66">
        <v>0</v>
      </c>
      <c r="AM46" s="66">
        <v>0</v>
      </c>
      <c r="AN46" s="66">
        <v>0</v>
      </c>
      <c r="AO46" s="66">
        <v>0</v>
      </c>
      <c r="AP46" s="66">
        <v>0</v>
      </c>
      <c r="AQ46" s="69"/>
      <c r="AR46" s="66">
        <v>0</v>
      </c>
      <c r="AS46" s="66">
        <v>0</v>
      </c>
      <c r="AT46" s="66">
        <v>0</v>
      </c>
      <c r="AU46" s="66">
        <v>0</v>
      </c>
      <c r="AV46" s="66">
        <v>0</v>
      </c>
      <c r="AW46" s="66">
        <v>0</v>
      </c>
      <c r="AX46" s="66">
        <v>0</v>
      </c>
      <c r="AY46" s="66">
        <v>0</v>
      </c>
      <c r="AZ46" s="66">
        <f t="array" ref="AZ46">SUMIF($W$2:$AD$2,"&gt;"&amp;0,AR46:AY46)</f>
        <v>0</v>
      </c>
      <c r="BA46" s="67">
        <f t="shared" si="20"/>
        <v>0</v>
      </c>
      <c r="BB46" s="84"/>
      <c r="BC46" s="71">
        <f t="shared" si="21"/>
        <v>0</v>
      </c>
      <c r="BD46" s="957"/>
      <c r="BE46" s="70"/>
      <c r="BF46" s="66">
        <v>0</v>
      </c>
      <c r="BG46" s="66">
        <v>0</v>
      </c>
      <c r="BH46" s="66">
        <v>0</v>
      </c>
      <c r="BI46" s="66">
        <v>0</v>
      </c>
      <c r="BJ46" s="66">
        <v>0</v>
      </c>
      <c r="BK46" s="66">
        <v>0</v>
      </c>
      <c r="BL46" s="66">
        <v>0</v>
      </c>
      <c r="BM46" s="66">
        <v>0</v>
      </c>
      <c r="BN46" s="67">
        <f t="shared" si="39"/>
        <v>0</v>
      </c>
      <c r="BO46" s="68">
        <f t="shared" si="40"/>
        <v>0</v>
      </c>
      <c r="BP46" s="69"/>
      <c r="BQ46" s="133">
        <f t="shared" si="23"/>
        <v>0</v>
      </c>
      <c r="BR46" s="69"/>
      <c r="BS46" s="133">
        <f t="shared" si="24"/>
        <v>0</v>
      </c>
      <c r="BT46" s="133">
        <f t="shared" si="25"/>
        <v>0</v>
      </c>
      <c r="BU46" s="133">
        <f t="shared" si="26"/>
        <v>0</v>
      </c>
      <c r="BV46" s="133">
        <f t="shared" si="27"/>
        <v>0</v>
      </c>
      <c r="BW46" s="133">
        <f t="shared" si="28"/>
        <v>0</v>
      </c>
      <c r="BX46" s="144">
        <f t="shared" si="29"/>
        <v>0</v>
      </c>
      <c r="BY46" s="69"/>
      <c r="BZ46" s="133">
        <f t="shared" si="30"/>
        <v>0</v>
      </c>
      <c r="CA46" s="133">
        <f t="shared" si="31"/>
        <v>0</v>
      </c>
      <c r="CB46" s="133">
        <f t="shared" si="32"/>
        <v>0</v>
      </c>
      <c r="CC46" s="133">
        <f t="shared" si="33"/>
        <v>0</v>
      </c>
      <c r="CD46" s="133">
        <f t="shared" si="34"/>
        <v>0</v>
      </c>
      <c r="CE46" s="144">
        <f t="shared" si="35"/>
        <v>0</v>
      </c>
      <c r="CF46" s="133">
        <f t="shared" si="36"/>
        <v>0</v>
      </c>
      <c r="CG46" s="133">
        <f t="shared" si="37"/>
        <v>0</v>
      </c>
      <c r="CH46" s="145">
        <f t="shared" si="41"/>
        <v>0</v>
      </c>
    </row>
    <row r="47" spans="1:86" ht="14.1" customHeight="1" x14ac:dyDescent="0.25">
      <c r="B47" s="133" t="s">
        <v>132</v>
      </c>
      <c r="C47" s="133" t="s">
        <v>234</v>
      </c>
      <c r="D47" s="934" t="s">
        <v>134</v>
      </c>
      <c r="E47" s="133" t="s">
        <v>165</v>
      </c>
      <c r="F47" s="66"/>
      <c r="G47" s="66">
        <f>_xlfn.IFNA(INDEX(NewRecipeTable[Percentage Yield],MATCH(E47,NewRecipeTable[ShortCode],0)),0)</f>
        <v>28.15</v>
      </c>
      <c r="H47" s="146">
        <v>1570</v>
      </c>
      <c r="I47" s="66" t="str">
        <v>No</v>
      </c>
      <c r="J47" s="133" t="s">
        <v>244</v>
      </c>
      <c r="K47" s="133">
        <f>_xlfn.IFNA(INDEX(Middles!$G$8:$G$88,MATCH($E$8:$E$62,ActivatedRecipe,0)),0)</f>
        <v>0</v>
      </c>
      <c r="L47" s="66">
        <f t="shared" si="9"/>
        <v>0</v>
      </c>
      <c r="M47" s="133">
        <f>_xlfn.IFNA(INDEX(Middles!$H$8:$H$88,MATCH($E$8:$E$62,ActivatedRecipe,0)),0)</f>
        <v>0</v>
      </c>
      <c r="N47" s="84"/>
      <c r="O47" s="92" t="s">
        <v>639</v>
      </c>
      <c r="P47" s="147">
        <f t="shared" si="10"/>
        <v>0</v>
      </c>
      <c r="Q47" s="147">
        <f t="shared" si="11"/>
        <v>0</v>
      </c>
      <c r="R47" s="147">
        <f t="shared" si="12"/>
        <v>0</v>
      </c>
      <c r="S47" s="147">
        <f t="shared" si="13"/>
        <v>0</v>
      </c>
      <c r="T47" s="147">
        <f t="shared" si="14"/>
        <v>0</v>
      </c>
      <c r="U47" s="147">
        <f t="shared" si="15"/>
        <v>0</v>
      </c>
      <c r="V47" s="69"/>
      <c r="W47" s="147">
        <v>0</v>
      </c>
      <c r="X47" s="147">
        <v>0</v>
      </c>
      <c r="Y47" s="147">
        <v>0</v>
      </c>
      <c r="Z47" s="147">
        <v>0</v>
      </c>
      <c r="AA47" s="147">
        <v>0</v>
      </c>
      <c r="AB47" s="147">
        <v>0</v>
      </c>
      <c r="AC47" s="147">
        <v>0</v>
      </c>
      <c r="AD47" s="147">
        <v>0</v>
      </c>
      <c r="AE47" s="924">
        <f t="shared" si="38"/>
        <v>0</v>
      </c>
      <c r="AF47" s="84"/>
      <c r="AG47" s="66">
        <f t="shared" si="17"/>
        <v>0</v>
      </c>
      <c r="AH47" s="139">
        <f t="shared" si="18"/>
        <v>0</v>
      </c>
      <c r="AI47" s="137">
        <f t="shared" si="19"/>
        <v>0</v>
      </c>
      <c r="AK47" s="66">
        <v>0</v>
      </c>
      <c r="AL47" s="66">
        <v>0</v>
      </c>
      <c r="AM47" s="66">
        <v>0</v>
      </c>
      <c r="AN47" s="66">
        <v>0</v>
      </c>
      <c r="AO47" s="66">
        <v>0</v>
      </c>
      <c r="AP47" s="66">
        <v>0</v>
      </c>
      <c r="AQ47" s="69"/>
      <c r="AR47" s="66">
        <v>0</v>
      </c>
      <c r="AS47" s="66">
        <v>0</v>
      </c>
      <c r="AT47" s="66">
        <v>0</v>
      </c>
      <c r="AU47" s="66">
        <v>0</v>
      </c>
      <c r="AV47" s="66">
        <v>0</v>
      </c>
      <c r="AW47" s="66">
        <v>0</v>
      </c>
      <c r="AX47" s="66">
        <v>0</v>
      </c>
      <c r="AY47" s="66">
        <v>0</v>
      </c>
      <c r="AZ47" s="66">
        <f t="array" ref="AZ47">SUMIF($W$2:$AD$2,"&gt;"&amp;0,AR47:AY47)</f>
        <v>0</v>
      </c>
      <c r="BA47" s="67">
        <f t="shared" si="20"/>
        <v>0</v>
      </c>
      <c r="BB47" s="84"/>
      <c r="BC47" s="71">
        <f t="shared" si="21"/>
        <v>0</v>
      </c>
      <c r="BD47" s="957"/>
      <c r="BE47" s="70"/>
      <c r="BF47" s="66">
        <v>0</v>
      </c>
      <c r="BG47" s="66">
        <v>0</v>
      </c>
      <c r="BH47" s="66">
        <v>0</v>
      </c>
      <c r="BI47" s="66">
        <v>0</v>
      </c>
      <c r="BJ47" s="66">
        <v>0</v>
      </c>
      <c r="BK47" s="66">
        <v>0</v>
      </c>
      <c r="BL47" s="66">
        <v>0</v>
      </c>
      <c r="BM47" s="66">
        <v>0</v>
      </c>
      <c r="BN47" s="67">
        <f t="shared" si="39"/>
        <v>0</v>
      </c>
      <c r="BO47" s="68">
        <f t="shared" si="40"/>
        <v>0</v>
      </c>
      <c r="BP47" s="69"/>
      <c r="BQ47" s="133">
        <f t="shared" si="23"/>
        <v>0</v>
      </c>
      <c r="BR47" s="69"/>
      <c r="BS47" s="133">
        <f t="shared" si="24"/>
        <v>0</v>
      </c>
      <c r="BT47" s="133">
        <f t="shared" si="25"/>
        <v>0</v>
      </c>
      <c r="BU47" s="133">
        <f t="shared" si="26"/>
        <v>0</v>
      </c>
      <c r="BV47" s="133">
        <f t="shared" si="27"/>
        <v>0</v>
      </c>
      <c r="BW47" s="133">
        <f t="shared" si="28"/>
        <v>0</v>
      </c>
      <c r="BX47" s="144">
        <f t="shared" si="29"/>
        <v>0</v>
      </c>
      <c r="BY47" s="69"/>
      <c r="BZ47" s="133">
        <f t="shared" si="30"/>
        <v>0</v>
      </c>
      <c r="CA47" s="133">
        <f t="shared" si="31"/>
        <v>0</v>
      </c>
      <c r="CB47" s="133">
        <f t="shared" si="32"/>
        <v>0</v>
      </c>
      <c r="CC47" s="133">
        <f t="shared" si="33"/>
        <v>0</v>
      </c>
      <c r="CD47" s="133">
        <f t="shared" si="34"/>
        <v>0</v>
      </c>
      <c r="CE47" s="144">
        <f t="shared" si="35"/>
        <v>0</v>
      </c>
      <c r="CF47" s="133">
        <f t="shared" si="36"/>
        <v>0</v>
      </c>
      <c r="CG47" s="133">
        <f t="shared" si="37"/>
        <v>0</v>
      </c>
      <c r="CH47" s="145">
        <f t="shared" si="41"/>
        <v>0</v>
      </c>
    </row>
    <row r="48" spans="1:86" ht="14.1" customHeight="1" x14ac:dyDescent="0.25">
      <c r="B48" s="133" t="s">
        <v>132</v>
      </c>
      <c r="C48" s="133" t="s">
        <v>234</v>
      </c>
      <c r="D48" s="934" t="s">
        <v>135</v>
      </c>
      <c r="E48" s="133" t="s">
        <v>166</v>
      </c>
      <c r="F48" s="66"/>
      <c r="G48" s="66">
        <f>_xlfn.IFNA(INDEX(NewRecipeTable[Percentage Yield],MATCH(E48,NewRecipeTable[ShortCode],0)),0)</f>
        <v>28.15</v>
      </c>
      <c r="H48" s="146">
        <v>1570</v>
      </c>
      <c r="I48" s="66" t="str">
        <v>No</v>
      </c>
      <c r="J48" s="133" t="s">
        <v>244</v>
      </c>
      <c r="K48" s="133">
        <f>_xlfn.IFNA(INDEX(Middles!$G$8:$G$88,MATCH($E$8:$E$62,ActivatedRecipe,0)),0)</f>
        <v>0</v>
      </c>
      <c r="L48" s="66">
        <v>2116.5148916967519</v>
      </c>
      <c r="M48" s="133">
        <f>_xlfn.IFNA(INDEX(Middles!$H$8:$H$88,MATCH($E$8:$E$62,ActivatedRecipe,0)),0)</f>
        <v>0</v>
      </c>
      <c r="N48" s="84"/>
      <c r="O48" s="92" t="s">
        <v>639</v>
      </c>
      <c r="P48" s="147">
        <f t="shared" si="10"/>
        <v>0</v>
      </c>
      <c r="Q48" s="147">
        <f t="shared" si="11"/>
        <v>0</v>
      </c>
      <c r="R48" s="147">
        <f t="shared" si="12"/>
        <v>0</v>
      </c>
      <c r="S48" s="147">
        <f t="shared" si="13"/>
        <v>0</v>
      </c>
      <c r="T48" s="147">
        <f t="shared" si="14"/>
        <v>0</v>
      </c>
      <c r="U48" s="147">
        <f t="shared" si="15"/>
        <v>0</v>
      </c>
      <c r="V48" s="69"/>
      <c r="W48" s="147">
        <v>0</v>
      </c>
      <c r="X48" s="147">
        <v>0</v>
      </c>
      <c r="Y48" s="147">
        <v>0</v>
      </c>
      <c r="Z48" s="147">
        <v>0</v>
      </c>
      <c r="AA48" s="147">
        <v>0</v>
      </c>
      <c r="AB48" s="147">
        <v>0</v>
      </c>
      <c r="AC48" s="147">
        <v>0</v>
      </c>
      <c r="AD48" s="147">
        <v>0</v>
      </c>
      <c r="AE48" s="924">
        <f t="shared" si="38"/>
        <v>0</v>
      </c>
      <c r="AF48" s="84"/>
      <c r="AG48" s="66">
        <f t="shared" si="17"/>
        <v>0</v>
      </c>
      <c r="AH48" s="139">
        <f t="shared" si="18"/>
        <v>0</v>
      </c>
      <c r="AI48" s="137">
        <f t="shared" si="19"/>
        <v>0</v>
      </c>
      <c r="AK48" s="66">
        <v>0</v>
      </c>
      <c r="AL48" s="66">
        <v>0</v>
      </c>
      <c r="AM48" s="66">
        <v>0</v>
      </c>
      <c r="AN48" s="66">
        <v>0</v>
      </c>
      <c r="AO48" s="66">
        <v>0</v>
      </c>
      <c r="AP48" s="66">
        <v>0</v>
      </c>
      <c r="AQ48" s="69"/>
      <c r="AR48" s="66">
        <v>0</v>
      </c>
      <c r="AS48" s="66">
        <v>0</v>
      </c>
      <c r="AT48" s="66">
        <v>0</v>
      </c>
      <c r="AU48" s="66">
        <v>0</v>
      </c>
      <c r="AV48" s="66">
        <v>0</v>
      </c>
      <c r="AW48" s="66">
        <v>0</v>
      </c>
      <c r="AX48" s="66">
        <v>0</v>
      </c>
      <c r="AY48" s="66">
        <v>0</v>
      </c>
      <c r="AZ48" s="66">
        <f t="array" ref="AZ48">SUMIF($W$2:$AD$2,"&gt;"&amp;0,AR48:AY48)</f>
        <v>0</v>
      </c>
      <c r="BA48" s="67">
        <f t="shared" si="20"/>
        <v>0</v>
      </c>
      <c r="BC48" s="71">
        <f t="shared" si="21"/>
        <v>2116.5148909999998</v>
      </c>
      <c r="BD48" s="957"/>
      <c r="BE48" s="70"/>
      <c r="BF48" s="66">
        <v>0</v>
      </c>
      <c r="BG48" s="66">
        <v>0</v>
      </c>
      <c r="BH48" s="66">
        <v>0</v>
      </c>
      <c r="BI48" s="66">
        <v>0</v>
      </c>
      <c r="BJ48" s="66">
        <v>0</v>
      </c>
      <c r="BK48" s="66">
        <v>0</v>
      </c>
      <c r="BL48" s="66">
        <v>0</v>
      </c>
      <c r="BM48" s="66">
        <v>0</v>
      </c>
      <c r="BN48" s="67">
        <f t="shared" si="39"/>
        <v>0</v>
      </c>
      <c r="BO48" s="68">
        <f t="shared" si="40"/>
        <v>0</v>
      </c>
      <c r="BP48" s="69"/>
      <c r="BQ48" s="133">
        <f t="shared" si="23"/>
        <v>0</v>
      </c>
      <c r="BR48" s="69"/>
      <c r="BS48" s="133">
        <f t="shared" si="24"/>
        <v>0</v>
      </c>
      <c r="BT48" s="133">
        <f t="shared" si="25"/>
        <v>0</v>
      </c>
      <c r="BU48" s="133">
        <f t="shared" si="26"/>
        <v>0</v>
      </c>
      <c r="BV48" s="133">
        <f t="shared" si="27"/>
        <v>0</v>
      </c>
      <c r="BW48" s="133">
        <f t="shared" si="28"/>
        <v>0</v>
      </c>
      <c r="BX48" s="144">
        <f t="shared" si="29"/>
        <v>0</v>
      </c>
      <c r="BY48" s="69"/>
      <c r="BZ48" s="133">
        <f t="shared" si="30"/>
        <v>0</v>
      </c>
      <c r="CA48" s="133">
        <f t="shared" si="31"/>
        <v>0</v>
      </c>
      <c r="CB48" s="133">
        <f t="shared" si="32"/>
        <v>0</v>
      </c>
      <c r="CC48" s="133">
        <f t="shared" si="33"/>
        <v>0</v>
      </c>
      <c r="CD48" s="133">
        <f t="shared" si="34"/>
        <v>0</v>
      </c>
      <c r="CE48" s="144">
        <f t="shared" si="35"/>
        <v>0</v>
      </c>
      <c r="CF48" s="133">
        <f t="shared" si="36"/>
        <v>0</v>
      </c>
      <c r="CG48" s="133">
        <f t="shared" si="37"/>
        <v>0</v>
      </c>
      <c r="CH48" s="145">
        <f t="shared" si="41"/>
        <v>0</v>
      </c>
    </row>
    <row r="49" spans="2:86" ht="14.1" customHeight="1" x14ac:dyDescent="0.25">
      <c r="B49" s="133" t="s">
        <v>132</v>
      </c>
      <c r="C49" s="133" t="s">
        <v>234</v>
      </c>
      <c r="D49" s="934" t="s">
        <v>1341</v>
      </c>
      <c r="E49" s="133" t="s">
        <v>1542</v>
      </c>
      <c r="F49" s="66"/>
      <c r="G49" s="66">
        <f>_xlfn.IFNA(INDEX(NewRecipeTable[Percentage Yield],MATCH(E49,NewRecipeTable[ShortCode],0)),0)</f>
        <v>20.5</v>
      </c>
      <c r="H49" s="146">
        <v>1570</v>
      </c>
      <c r="I49" s="66" t="str">
        <v>No</v>
      </c>
      <c r="J49" s="133" t="s">
        <v>244</v>
      </c>
      <c r="K49" s="133">
        <f>_xlfn.IFNA(INDEX(Middles!$G$8:$G$88,MATCH($E$8:$E$62,ActivatedRecipe,0)),0)</f>
        <v>0</v>
      </c>
      <c r="L49" s="66">
        <f t="shared" si="9"/>
        <v>0</v>
      </c>
      <c r="M49" s="133">
        <f>_xlfn.IFNA(INDEX(Middles!$H$8:$H$88,MATCH($E$8:$E$62,ActivatedRecipe,0)),0)</f>
        <v>0</v>
      </c>
      <c r="N49" s="84"/>
      <c r="O49" s="92" t="s">
        <v>639</v>
      </c>
      <c r="P49" s="147">
        <f t="shared" si="10"/>
        <v>0</v>
      </c>
      <c r="Q49" s="147">
        <f t="shared" si="11"/>
        <v>0</v>
      </c>
      <c r="R49" s="147">
        <f t="shared" si="12"/>
        <v>0</v>
      </c>
      <c r="S49" s="147">
        <f t="shared" si="13"/>
        <v>0</v>
      </c>
      <c r="T49" s="147">
        <f t="shared" si="14"/>
        <v>0</v>
      </c>
      <c r="U49" s="147">
        <f t="shared" si="15"/>
        <v>0</v>
      </c>
      <c r="V49" s="69"/>
      <c r="W49" s="147">
        <v>0</v>
      </c>
      <c r="X49" s="147">
        <v>0</v>
      </c>
      <c r="Y49" s="147">
        <v>0</v>
      </c>
      <c r="Z49" s="147">
        <v>0</v>
      </c>
      <c r="AA49" s="147">
        <v>0</v>
      </c>
      <c r="AB49" s="147">
        <v>0</v>
      </c>
      <c r="AC49" s="147">
        <v>0</v>
      </c>
      <c r="AD49" s="147">
        <v>0</v>
      </c>
      <c r="AE49" s="924">
        <f t="shared" si="38"/>
        <v>0</v>
      </c>
      <c r="AF49" s="84"/>
      <c r="AG49" s="66">
        <f t="shared" si="17"/>
        <v>0</v>
      </c>
      <c r="AH49" s="139">
        <f t="shared" si="18"/>
        <v>0</v>
      </c>
      <c r="AI49" s="137">
        <f t="shared" si="19"/>
        <v>0</v>
      </c>
      <c r="AK49" s="66">
        <v>0</v>
      </c>
      <c r="AL49" s="66">
        <v>0</v>
      </c>
      <c r="AM49" s="66">
        <v>0</v>
      </c>
      <c r="AN49" s="66">
        <v>0</v>
      </c>
      <c r="AO49" s="66">
        <v>0</v>
      </c>
      <c r="AP49" s="66">
        <v>0</v>
      </c>
      <c r="AQ49" s="69"/>
      <c r="AR49" s="66">
        <v>0</v>
      </c>
      <c r="AS49" s="66">
        <v>0</v>
      </c>
      <c r="AT49" s="66">
        <v>0</v>
      </c>
      <c r="AU49" s="66">
        <v>0</v>
      </c>
      <c r="AV49" s="66">
        <v>0</v>
      </c>
      <c r="AW49" s="66">
        <v>0</v>
      </c>
      <c r="AX49" s="66">
        <v>0</v>
      </c>
      <c r="AY49" s="66">
        <v>0</v>
      </c>
      <c r="AZ49" s="66">
        <f t="array" ref="AZ49">SUMIF($W$2:$AD$2,"&gt;"&amp;0,AR49:AY49)</f>
        <v>0</v>
      </c>
      <c r="BA49" s="67">
        <f t="shared" si="20"/>
        <v>0</v>
      </c>
      <c r="BC49" s="71">
        <f t="shared" si="21"/>
        <v>0</v>
      </c>
      <c r="BD49" s="957"/>
      <c r="BE49" s="70"/>
      <c r="BF49" s="66">
        <v>0</v>
      </c>
      <c r="BG49" s="66">
        <v>0</v>
      </c>
      <c r="BH49" s="66">
        <v>0</v>
      </c>
      <c r="BI49" s="66">
        <v>0</v>
      </c>
      <c r="BJ49" s="66">
        <v>0</v>
      </c>
      <c r="BK49" s="66">
        <v>0</v>
      </c>
      <c r="BL49" s="66">
        <v>0</v>
      </c>
      <c r="BM49" s="66">
        <v>0</v>
      </c>
      <c r="BN49" s="67">
        <f t="shared" si="39"/>
        <v>0</v>
      </c>
      <c r="BO49" s="68">
        <f t="shared" si="40"/>
        <v>0</v>
      </c>
      <c r="BP49" s="69"/>
      <c r="BQ49" s="133">
        <f t="shared" si="23"/>
        <v>0</v>
      </c>
      <c r="BR49" s="69"/>
      <c r="BS49" s="133">
        <f t="shared" si="24"/>
        <v>0</v>
      </c>
      <c r="BT49" s="133">
        <f t="shared" si="25"/>
        <v>0</v>
      </c>
      <c r="BU49" s="133">
        <f t="shared" si="26"/>
        <v>0</v>
      </c>
      <c r="BV49" s="133">
        <f t="shared" si="27"/>
        <v>0</v>
      </c>
      <c r="BW49" s="133">
        <f t="shared" si="28"/>
        <v>0</v>
      </c>
      <c r="BX49" s="144">
        <f t="shared" si="29"/>
        <v>0</v>
      </c>
      <c r="BY49" s="69"/>
      <c r="BZ49" s="133">
        <f t="shared" si="30"/>
        <v>0</v>
      </c>
      <c r="CA49" s="133">
        <f t="shared" si="31"/>
        <v>0</v>
      </c>
      <c r="CB49" s="133">
        <f t="shared" si="32"/>
        <v>0</v>
      </c>
      <c r="CC49" s="133">
        <f t="shared" si="33"/>
        <v>0</v>
      </c>
      <c r="CD49" s="133">
        <f t="shared" si="34"/>
        <v>0</v>
      </c>
      <c r="CE49" s="144">
        <f t="shared" si="35"/>
        <v>0</v>
      </c>
      <c r="CF49" s="133">
        <f t="shared" si="36"/>
        <v>0</v>
      </c>
      <c r="CG49" s="133">
        <f t="shared" si="37"/>
        <v>0</v>
      </c>
      <c r="CH49" s="145">
        <f t="shared" si="41"/>
        <v>0</v>
      </c>
    </row>
    <row r="50" spans="2:86" ht="14.1" customHeight="1" x14ac:dyDescent="0.25">
      <c r="B50" s="133" t="s">
        <v>132</v>
      </c>
      <c r="C50" s="133" t="s">
        <v>234</v>
      </c>
      <c r="D50" s="934" t="s">
        <v>136</v>
      </c>
      <c r="E50" s="133" t="s">
        <v>608</v>
      </c>
      <c r="F50" s="66"/>
      <c r="G50" s="66">
        <f>_xlfn.IFNA(INDEX(NewRecipeTable[Percentage Yield],MATCH(E50,NewRecipeTable[ShortCode],0)),0)</f>
        <v>25.49</v>
      </c>
      <c r="H50" s="146">
        <v>1570</v>
      </c>
      <c r="I50" s="66" t="str">
        <v>Yes</v>
      </c>
      <c r="J50" s="133" t="s">
        <v>244</v>
      </c>
      <c r="K50" s="133">
        <f>_xlfn.IFNA(INDEX(Middles!$G$8:$G$88,MATCH($E$8:$E$62,ActivatedRecipe,0)),0)</f>
        <v>1</v>
      </c>
      <c r="L50" s="66">
        <f t="shared" si="9"/>
        <v>9.6096570397111911</v>
      </c>
      <c r="M50" s="133">
        <f>_xlfn.IFNA(INDEX(Middles!$H$8:$H$88,MATCH($E$8:$E$62,ActivatedRecipe,0)),0)</f>
        <v>1.7</v>
      </c>
      <c r="N50" s="84"/>
      <c r="O50" s="92" t="s">
        <v>639</v>
      </c>
      <c r="P50" s="147">
        <f t="shared" si="10"/>
        <v>0</v>
      </c>
      <c r="Q50" s="147">
        <f t="shared" si="11"/>
        <v>0</v>
      </c>
      <c r="R50" s="147">
        <f t="shared" si="12"/>
        <v>0</v>
      </c>
      <c r="S50" s="147">
        <f t="shared" si="13"/>
        <v>0</v>
      </c>
      <c r="T50" s="147">
        <f t="shared" si="14"/>
        <v>0</v>
      </c>
      <c r="U50" s="147">
        <f t="shared" si="15"/>
        <v>0</v>
      </c>
      <c r="V50" s="69"/>
      <c r="W50" s="147">
        <v>1.2214588141502061</v>
      </c>
      <c r="X50" s="147">
        <v>5.0901948258105341</v>
      </c>
      <c r="Y50" s="147">
        <v>0.92230431119133771</v>
      </c>
      <c r="Z50" s="147">
        <v>0.33845895843920754</v>
      </c>
      <c r="AA50" s="147">
        <v>0</v>
      </c>
      <c r="AB50" s="147">
        <v>0</v>
      </c>
      <c r="AC50" s="147">
        <v>0.70728951092237757</v>
      </c>
      <c r="AD50" s="147">
        <v>0</v>
      </c>
      <c r="AE50" s="924">
        <f t="shared" si="38"/>
        <v>8.2797064205136621</v>
      </c>
      <c r="AG50" s="66">
        <f t="shared" si="17"/>
        <v>17.690537684902559</v>
      </c>
      <c r="AH50" s="139">
        <f t="shared" si="18"/>
        <v>25.49</v>
      </c>
      <c r="AI50" s="137">
        <f t="shared" si="19"/>
        <v>7.7994623150974398</v>
      </c>
      <c r="AK50" s="66">
        <v>0</v>
      </c>
      <c r="AL50" s="66">
        <v>0</v>
      </c>
      <c r="AM50" s="66">
        <v>0</v>
      </c>
      <c r="AN50" s="66">
        <v>0</v>
      </c>
      <c r="AO50" s="66">
        <v>0</v>
      </c>
      <c r="AP50" s="66">
        <v>0</v>
      </c>
      <c r="AQ50" s="69"/>
      <c r="AR50" s="66">
        <v>19.63</v>
      </c>
      <c r="AS50" s="66">
        <v>34.67</v>
      </c>
      <c r="AT50" s="66">
        <v>7.69</v>
      </c>
      <c r="AU50" s="66">
        <v>3.86</v>
      </c>
      <c r="AV50" s="66">
        <v>0</v>
      </c>
      <c r="AW50" s="66">
        <v>0</v>
      </c>
      <c r="AX50" s="66">
        <v>8.24</v>
      </c>
      <c r="AY50" s="66">
        <v>0</v>
      </c>
      <c r="AZ50" s="66">
        <f t="array" ref="AZ50">SUMIF($W$2:$AD$2,"&gt;"&amp;0,AR50:AY50)</f>
        <v>74.089999999999989</v>
      </c>
      <c r="BA50" s="67">
        <f t="shared" si="20"/>
        <v>99.579999999999984</v>
      </c>
      <c r="BC50" s="71">
        <f t="shared" si="21"/>
        <v>-0.37004900000000002</v>
      </c>
      <c r="BD50" s="957"/>
      <c r="BE50" s="70"/>
      <c r="BF50" s="66">
        <v>0</v>
      </c>
      <c r="BG50" s="66">
        <v>0</v>
      </c>
      <c r="BH50" s="66">
        <v>0</v>
      </c>
      <c r="BI50" s="66">
        <v>0</v>
      </c>
      <c r="BJ50" s="66">
        <v>0</v>
      </c>
      <c r="BK50" s="66">
        <v>0</v>
      </c>
      <c r="BL50" s="66">
        <v>0</v>
      </c>
      <c r="BM50" s="66">
        <v>0</v>
      </c>
      <c r="BN50" s="67">
        <f t="shared" si="39"/>
        <v>0</v>
      </c>
      <c r="BO50" s="68">
        <f t="shared" si="40"/>
        <v>0</v>
      </c>
      <c r="BP50" s="69"/>
      <c r="BQ50" s="133">
        <f t="shared" si="23"/>
        <v>17.690537684902559</v>
      </c>
      <c r="BR50" s="69"/>
      <c r="BS50" s="133">
        <f t="shared" si="24"/>
        <v>0</v>
      </c>
      <c r="BT50" s="133">
        <f t="shared" si="25"/>
        <v>0</v>
      </c>
      <c r="BU50" s="133">
        <f t="shared" si="26"/>
        <v>0</v>
      </c>
      <c r="BV50" s="133">
        <f t="shared" si="27"/>
        <v>0</v>
      </c>
      <c r="BW50" s="133">
        <f t="shared" si="28"/>
        <v>0</v>
      </c>
      <c r="BX50" s="144">
        <f t="shared" si="29"/>
        <v>0</v>
      </c>
      <c r="BY50" s="69"/>
      <c r="BZ50" s="133">
        <f t="shared" si="30"/>
        <v>12.71074304840036</v>
      </c>
      <c r="CA50" s="133">
        <f t="shared" si="31"/>
        <v>52.969578464410162</v>
      </c>
      <c r="CB50" s="133">
        <f t="shared" si="32"/>
        <v>9.5976818671049742</v>
      </c>
      <c r="CC50" s="133">
        <f t="shared" si="33"/>
        <v>3.5220711523892176</v>
      </c>
      <c r="CD50" s="133">
        <f t="shared" si="34"/>
        <v>0</v>
      </c>
      <c r="CE50" s="144">
        <f t="shared" si="35"/>
        <v>0</v>
      </c>
      <c r="CF50" s="133">
        <f t="shared" si="36"/>
        <v>7.3601951453580128</v>
      </c>
      <c r="CG50" s="133">
        <f t="shared" si="37"/>
        <v>0</v>
      </c>
      <c r="CH50" s="145">
        <f t="shared" si="41"/>
        <v>103.85080736256529</v>
      </c>
    </row>
    <row r="51" spans="2:86" ht="14.1" customHeight="1" x14ac:dyDescent="0.25">
      <c r="B51" s="133" t="s">
        <v>1363</v>
      </c>
      <c r="C51" s="133" t="s">
        <v>1364</v>
      </c>
      <c r="D51" s="934" t="s">
        <v>1361</v>
      </c>
      <c r="E51" s="133" t="s">
        <v>1543</v>
      </c>
      <c r="F51" s="66"/>
      <c r="G51" s="66">
        <f>_xlfn.IFNA(INDEX(NewRecipeTable[Percentage Yield],MATCH(E51,NewRecipeTable[ShortCode],0)),0)</f>
        <v>58.7</v>
      </c>
      <c r="H51" s="146">
        <v>1570</v>
      </c>
      <c r="I51" s="66" t="str">
        <v>No</v>
      </c>
      <c r="J51" s="133" t="s">
        <v>244</v>
      </c>
      <c r="K51" s="133">
        <f>_xlfn.IFNA(INDEX(Middles!$G$8:$G$88,MATCH($E$8:$E$62,ActivatedRecipe,0)),0)</f>
        <v>0</v>
      </c>
      <c r="L51" s="66">
        <f t="shared" si="9"/>
        <v>0</v>
      </c>
      <c r="M51" s="133">
        <f>_xlfn.IFNA(INDEX(Middles!$H$8:$H$88,MATCH($E$8:$E$62,ActivatedRecipe,0)),0)</f>
        <v>0</v>
      </c>
      <c r="N51" s="84"/>
      <c r="O51" s="92" t="s">
        <v>639</v>
      </c>
      <c r="P51" s="147">
        <f t="shared" si="10"/>
        <v>0</v>
      </c>
      <c r="Q51" s="147">
        <f t="shared" si="11"/>
        <v>0</v>
      </c>
      <c r="R51" s="147">
        <f t="shared" si="12"/>
        <v>0</v>
      </c>
      <c r="S51" s="147">
        <f t="shared" si="13"/>
        <v>0</v>
      </c>
      <c r="T51" s="147">
        <f t="shared" si="14"/>
        <v>0</v>
      </c>
      <c r="U51" s="147">
        <f t="shared" si="15"/>
        <v>0</v>
      </c>
      <c r="V51" s="69"/>
      <c r="W51" s="147">
        <v>0</v>
      </c>
      <c r="X51" s="147">
        <v>0</v>
      </c>
      <c r="Y51" s="147">
        <v>0</v>
      </c>
      <c r="Z51" s="147">
        <v>0</v>
      </c>
      <c r="AA51" s="147">
        <v>0</v>
      </c>
      <c r="AB51" s="147">
        <v>0</v>
      </c>
      <c r="AC51" s="147">
        <v>0</v>
      </c>
      <c r="AD51" s="147">
        <v>0</v>
      </c>
      <c r="AE51" s="924">
        <f t="shared" si="38"/>
        <v>0</v>
      </c>
      <c r="AG51" s="66">
        <f t="shared" si="17"/>
        <v>0</v>
      </c>
      <c r="AH51" s="139">
        <f t="shared" si="18"/>
        <v>0</v>
      </c>
      <c r="AI51" s="137">
        <f t="shared" si="19"/>
        <v>0</v>
      </c>
      <c r="AK51" s="66">
        <v>0</v>
      </c>
      <c r="AL51" s="66">
        <v>0</v>
      </c>
      <c r="AM51" s="66">
        <v>0</v>
      </c>
      <c r="AN51" s="66">
        <v>0</v>
      </c>
      <c r="AO51" s="66">
        <v>0</v>
      </c>
      <c r="AP51" s="66">
        <v>0</v>
      </c>
      <c r="AQ51" s="69"/>
      <c r="AR51" s="66">
        <v>0</v>
      </c>
      <c r="AS51" s="66">
        <v>0</v>
      </c>
      <c r="AT51" s="66">
        <v>0</v>
      </c>
      <c r="AU51" s="66">
        <v>0</v>
      </c>
      <c r="AV51" s="66">
        <v>0</v>
      </c>
      <c r="AW51" s="66">
        <v>0</v>
      </c>
      <c r="AX51" s="66">
        <v>0</v>
      </c>
      <c r="AY51" s="66">
        <v>0</v>
      </c>
      <c r="AZ51" s="66">
        <f t="array" ref="AZ51">SUMIF($W$2:$AD$2,"&gt;"&amp;0,AR51:AY51)</f>
        <v>0</v>
      </c>
      <c r="BA51" s="67">
        <f t="shared" si="20"/>
        <v>0</v>
      </c>
      <c r="BC51" s="71">
        <f t="shared" si="21"/>
        <v>0</v>
      </c>
      <c r="BD51" s="957"/>
      <c r="BE51" s="70"/>
      <c r="BF51" s="66">
        <v>0</v>
      </c>
      <c r="BG51" s="66">
        <v>0</v>
      </c>
      <c r="BH51" s="66">
        <v>0</v>
      </c>
      <c r="BI51" s="66">
        <v>0</v>
      </c>
      <c r="BJ51" s="66">
        <v>0</v>
      </c>
      <c r="BK51" s="66">
        <v>0</v>
      </c>
      <c r="BL51" s="66">
        <v>0</v>
      </c>
      <c r="BM51" s="66">
        <v>0</v>
      </c>
      <c r="BN51" s="67">
        <f t="shared" si="39"/>
        <v>0</v>
      </c>
      <c r="BO51" s="68">
        <f t="shared" si="40"/>
        <v>0</v>
      </c>
      <c r="BP51" s="69"/>
      <c r="BQ51" s="133">
        <f t="shared" si="23"/>
        <v>0</v>
      </c>
      <c r="BR51" s="69"/>
      <c r="BS51" s="133">
        <f t="shared" si="24"/>
        <v>0</v>
      </c>
      <c r="BT51" s="133">
        <f t="shared" si="25"/>
        <v>0</v>
      </c>
      <c r="BU51" s="133">
        <f t="shared" si="26"/>
        <v>0</v>
      </c>
      <c r="BV51" s="133">
        <f t="shared" si="27"/>
        <v>0</v>
      </c>
      <c r="BW51" s="133">
        <f t="shared" si="28"/>
        <v>0</v>
      </c>
      <c r="BX51" s="144">
        <f t="shared" si="29"/>
        <v>0</v>
      </c>
      <c r="BY51" s="69"/>
      <c r="BZ51" s="133">
        <f t="shared" si="30"/>
        <v>0</v>
      </c>
      <c r="CA51" s="133">
        <f t="shared" si="31"/>
        <v>0</v>
      </c>
      <c r="CB51" s="133">
        <f t="shared" si="32"/>
        <v>0</v>
      </c>
      <c r="CC51" s="133">
        <f t="shared" si="33"/>
        <v>0</v>
      </c>
      <c r="CD51" s="133">
        <f t="shared" si="34"/>
        <v>0</v>
      </c>
      <c r="CE51" s="144">
        <f t="shared" si="35"/>
        <v>0</v>
      </c>
      <c r="CF51" s="133">
        <f t="shared" si="36"/>
        <v>0</v>
      </c>
      <c r="CG51" s="133">
        <f t="shared" si="37"/>
        <v>0</v>
      </c>
      <c r="CH51" s="145">
        <f t="shared" si="41"/>
        <v>0</v>
      </c>
    </row>
    <row r="52" spans="2:86" ht="14.1" customHeight="1" x14ac:dyDescent="0.25">
      <c r="B52" s="133" t="s">
        <v>138</v>
      </c>
      <c r="C52" s="133" t="s">
        <v>269</v>
      </c>
      <c r="D52" s="934" t="s">
        <v>137</v>
      </c>
      <c r="E52" s="133" t="s">
        <v>167</v>
      </c>
      <c r="F52" s="66"/>
      <c r="G52" s="66">
        <f>_xlfn.IFNA(INDEX(NewRecipeTable[Percentage Yield],MATCH(E52,NewRecipeTable[ShortCode],0)),0)</f>
        <v>53.36</v>
      </c>
      <c r="H52" s="146">
        <v>1570</v>
      </c>
      <c r="I52" s="66" t="str">
        <v>No</v>
      </c>
      <c r="J52" s="133" t="s">
        <v>244</v>
      </c>
      <c r="K52" s="133">
        <f>_xlfn.IFNA(INDEX(Middles!$G$8:$G$88,MATCH($E$8:$E$62,ActivatedRecipe,0)),0)</f>
        <v>0</v>
      </c>
      <c r="L52" s="66">
        <f t="shared" si="9"/>
        <v>0</v>
      </c>
      <c r="M52" s="133">
        <f>_xlfn.IFNA(INDEX(Middles!$H$8:$H$88,MATCH($E$8:$E$62,ActivatedRecipe,0)),0)</f>
        <v>0</v>
      </c>
      <c r="N52" s="84"/>
      <c r="O52" s="92" t="s">
        <v>639</v>
      </c>
      <c r="P52" s="147">
        <f t="shared" si="10"/>
        <v>0</v>
      </c>
      <c r="Q52" s="147">
        <f t="shared" si="11"/>
        <v>0</v>
      </c>
      <c r="R52" s="147">
        <f t="shared" si="12"/>
        <v>0</v>
      </c>
      <c r="S52" s="147">
        <f t="shared" si="13"/>
        <v>0</v>
      </c>
      <c r="T52" s="147">
        <f t="shared" si="14"/>
        <v>0</v>
      </c>
      <c r="U52" s="147">
        <f t="shared" si="15"/>
        <v>0</v>
      </c>
      <c r="V52" s="69"/>
      <c r="W52" s="147">
        <v>0</v>
      </c>
      <c r="X52" s="147">
        <v>0</v>
      </c>
      <c r="Y52" s="147">
        <v>0</v>
      </c>
      <c r="Z52" s="147">
        <v>0</v>
      </c>
      <c r="AA52" s="147">
        <v>0</v>
      </c>
      <c r="AB52" s="147">
        <v>0</v>
      </c>
      <c r="AC52" s="147">
        <v>0</v>
      </c>
      <c r="AD52" s="147">
        <v>0</v>
      </c>
      <c r="AE52" s="924">
        <f t="shared" si="38"/>
        <v>0</v>
      </c>
      <c r="AG52" s="66">
        <f t="shared" si="17"/>
        <v>0</v>
      </c>
      <c r="AH52" s="139">
        <f t="shared" si="18"/>
        <v>0</v>
      </c>
      <c r="AI52" s="137">
        <f t="shared" si="19"/>
        <v>0</v>
      </c>
      <c r="AK52" s="66">
        <v>0</v>
      </c>
      <c r="AL52" s="66">
        <v>0</v>
      </c>
      <c r="AM52" s="66">
        <v>0</v>
      </c>
      <c r="AN52" s="66">
        <v>0</v>
      </c>
      <c r="AO52" s="66">
        <v>0</v>
      </c>
      <c r="AP52" s="66">
        <v>0</v>
      </c>
      <c r="AQ52" s="69"/>
      <c r="AR52" s="66">
        <v>0</v>
      </c>
      <c r="AS52" s="66">
        <v>0</v>
      </c>
      <c r="AT52" s="66">
        <v>0</v>
      </c>
      <c r="AU52" s="66">
        <v>0</v>
      </c>
      <c r="AV52" s="66">
        <v>0</v>
      </c>
      <c r="AW52" s="66">
        <v>0</v>
      </c>
      <c r="AX52" s="66">
        <v>0</v>
      </c>
      <c r="AY52" s="66">
        <v>0</v>
      </c>
      <c r="AZ52" s="66">
        <f t="array" ref="AZ52">SUMIF($W$2:$AD$2,"&gt;"&amp;0,AR52:AY52)</f>
        <v>0</v>
      </c>
      <c r="BA52" s="67">
        <f t="shared" si="20"/>
        <v>0</v>
      </c>
      <c r="BC52" s="71">
        <f t="shared" si="21"/>
        <v>0</v>
      </c>
      <c r="BD52" s="957"/>
      <c r="BE52" s="70"/>
      <c r="BF52" s="66">
        <v>0</v>
      </c>
      <c r="BG52" s="66">
        <v>0</v>
      </c>
      <c r="BH52" s="66">
        <v>0</v>
      </c>
      <c r="BI52" s="66">
        <v>0</v>
      </c>
      <c r="BJ52" s="66">
        <v>0</v>
      </c>
      <c r="BK52" s="66">
        <v>0</v>
      </c>
      <c r="BL52" s="66">
        <v>0</v>
      </c>
      <c r="BM52" s="66">
        <v>0</v>
      </c>
      <c r="BN52" s="67">
        <f t="shared" si="39"/>
        <v>0</v>
      </c>
      <c r="BO52" s="68">
        <f t="shared" si="40"/>
        <v>0</v>
      </c>
      <c r="BP52" s="69"/>
      <c r="BQ52" s="133">
        <f t="shared" si="23"/>
        <v>0</v>
      </c>
      <c r="BR52" s="69"/>
      <c r="BS52" s="133">
        <f t="shared" si="24"/>
        <v>0</v>
      </c>
      <c r="BT52" s="133">
        <f t="shared" si="25"/>
        <v>0</v>
      </c>
      <c r="BU52" s="133">
        <f t="shared" si="26"/>
        <v>0</v>
      </c>
      <c r="BV52" s="133">
        <f t="shared" si="27"/>
        <v>0</v>
      </c>
      <c r="BW52" s="133">
        <f t="shared" si="28"/>
        <v>0</v>
      </c>
      <c r="BX52" s="144">
        <f t="shared" si="29"/>
        <v>0</v>
      </c>
      <c r="BY52" s="69"/>
      <c r="BZ52" s="133">
        <f t="shared" si="30"/>
        <v>0</v>
      </c>
      <c r="CA52" s="133">
        <f t="shared" si="31"/>
        <v>0</v>
      </c>
      <c r="CB52" s="133">
        <f t="shared" si="32"/>
        <v>0</v>
      </c>
      <c r="CC52" s="133">
        <f t="shared" si="33"/>
        <v>0</v>
      </c>
      <c r="CD52" s="133">
        <f t="shared" si="34"/>
        <v>0</v>
      </c>
      <c r="CE52" s="144">
        <f t="shared" si="35"/>
        <v>0</v>
      </c>
      <c r="CF52" s="133">
        <f t="shared" si="36"/>
        <v>0</v>
      </c>
      <c r="CG52" s="133">
        <f t="shared" si="37"/>
        <v>0</v>
      </c>
      <c r="CH52" s="145">
        <f t="shared" si="41"/>
        <v>0</v>
      </c>
    </row>
    <row r="53" spans="2:86" ht="14.1" customHeight="1" x14ac:dyDescent="0.25">
      <c r="B53" s="133" t="s">
        <v>138</v>
      </c>
      <c r="C53" s="133" t="s">
        <v>269</v>
      </c>
      <c r="D53" s="934" t="s">
        <v>1118</v>
      </c>
      <c r="E53" s="133" t="s">
        <v>1120</v>
      </c>
      <c r="F53" s="66"/>
      <c r="G53" s="66">
        <f>_xlfn.IFNA(INDEX(NewRecipeTable[Percentage Yield],MATCH(E53,NewRecipeTable[ShortCode],0)),0)</f>
        <v>53.36</v>
      </c>
      <c r="H53" s="146">
        <v>1570</v>
      </c>
      <c r="I53" s="66" t="str">
        <v>No</v>
      </c>
      <c r="J53" s="133" t="s">
        <v>244</v>
      </c>
      <c r="K53" s="133">
        <f>_xlfn.IFNA(INDEX(Middles!$G$8:$G$88,MATCH($E$8:$E$62,ActivatedRecipe,0)),0)</f>
        <v>0</v>
      </c>
      <c r="L53" s="66">
        <f t="shared" si="9"/>
        <v>0</v>
      </c>
      <c r="M53" s="133">
        <f>_xlfn.IFNA(INDEX(Middles!$H$8:$H$88,MATCH($E$8:$E$62,ActivatedRecipe,0)),0)</f>
        <v>0</v>
      </c>
      <c r="N53" s="84"/>
      <c r="O53" s="92" t="s">
        <v>639</v>
      </c>
      <c r="P53" s="147">
        <f t="shared" si="10"/>
        <v>0</v>
      </c>
      <c r="Q53" s="147">
        <f t="shared" si="11"/>
        <v>0</v>
      </c>
      <c r="R53" s="147">
        <f t="shared" si="12"/>
        <v>0</v>
      </c>
      <c r="S53" s="147">
        <f t="shared" si="13"/>
        <v>0</v>
      </c>
      <c r="T53" s="147">
        <f t="shared" si="14"/>
        <v>0</v>
      </c>
      <c r="U53" s="147">
        <f t="shared" si="15"/>
        <v>0</v>
      </c>
      <c r="V53" s="69"/>
      <c r="W53" s="147">
        <v>0</v>
      </c>
      <c r="X53" s="147">
        <v>0</v>
      </c>
      <c r="Y53" s="147">
        <v>0</v>
      </c>
      <c r="Z53" s="147">
        <v>0</v>
      </c>
      <c r="AA53" s="147">
        <v>0</v>
      </c>
      <c r="AB53" s="147">
        <v>0</v>
      </c>
      <c r="AC53" s="147">
        <v>0</v>
      </c>
      <c r="AD53" s="147">
        <v>0</v>
      </c>
      <c r="AE53" s="924">
        <f t="shared" si="38"/>
        <v>0</v>
      </c>
      <c r="AG53" s="66">
        <f t="shared" si="17"/>
        <v>0</v>
      </c>
      <c r="AH53" s="139">
        <f t="shared" si="18"/>
        <v>0</v>
      </c>
      <c r="AI53" s="137">
        <f t="shared" si="19"/>
        <v>0</v>
      </c>
      <c r="AK53" s="66">
        <v>0</v>
      </c>
      <c r="AL53" s="66">
        <v>0</v>
      </c>
      <c r="AM53" s="66">
        <v>0</v>
      </c>
      <c r="AN53" s="66">
        <v>0</v>
      </c>
      <c r="AO53" s="66">
        <v>0</v>
      </c>
      <c r="AP53" s="66">
        <v>0</v>
      </c>
      <c r="AQ53" s="69"/>
      <c r="AR53" s="66">
        <v>0</v>
      </c>
      <c r="AS53" s="66">
        <v>0</v>
      </c>
      <c r="AT53" s="66">
        <v>0</v>
      </c>
      <c r="AU53" s="66">
        <v>0</v>
      </c>
      <c r="AV53" s="66">
        <v>0</v>
      </c>
      <c r="AW53" s="66">
        <v>0</v>
      </c>
      <c r="AX53" s="66">
        <v>0</v>
      </c>
      <c r="AY53" s="66">
        <v>0</v>
      </c>
      <c r="AZ53" s="66">
        <f t="array" ref="AZ53">SUMIF($W$2:$AD$2,"&gt;"&amp;0,AR53:AY53)</f>
        <v>0</v>
      </c>
      <c r="BA53" s="67">
        <f t="shared" si="20"/>
        <v>0</v>
      </c>
      <c r="BC53" s="71">
        <f t="shared" si="21"/>
        <v>0</v>
      </c>
      <c r="BD53" s="957"/>
      <c r="BE53" s="70"/>
      <c r="BF53" s="66">
        <v>0</v>
      </c>
      <c r="BG53" s="66">
        <v>0</v>
      </c>
      <c r="BH53" s="66">
        <v>0</v>
      </c>
      <c r="BI53" s="66">
        <v>0</v>
      </c>
      <c r="BJ53" s="66">
        <v>0</v>
      </c>
      <c r="BK53" s="66">
        <v>0</v>
      </c>
      <c r="BL53" s="66">
        <v>0</v>
      </c>
      <c r="BM53" s="66">
        <v>0</v>
      </c>
      <c r="BN53" s="67">
        <f t="shared" si="39"/>
        <v>0</v>
      </c>
      <c r="BO53" s="68">
        <f t="shared" si="40"/>
        <v>0</v>
      </c>
      <c r="BP53" s="69"/>
      <c r="BQ53" s="133">
        <f t="shared" si="23"/>
        <v>0</v>
      </c>
      <c r="BR53" s="69"/>
      <c r="BS53" s="133">
        <f t="shared" si="24"/>
        <v>0</v>
      </c>
      <c r="BT53" s="133">
        <f t="shared" si="25"/>
        <v>0</v>
      </c>
      <c r="BU53" s="133">
        <f t="shared" si="26"/>
        <v>0</v>
      </c>
      <c r="BV53" s="133">
        <f t="shared" si="27"/>
        <v>0</v>
      </c>
      <c r="BW53" s="133">
        <f t="shared" si="28"/>
        <v>0</v>
      </c>
      <c r="BX53" s="144">
        <f t="shared" si="29"/>
        <v>0</v>
      </c>
      <c r="BY53" s="69"/>
      <c r="BZ53" s="133">
        <f t="shared" si="30"/>
        <v>0</v>
      </c>
      <c r="CA53" s="133">
        <f t="shared" si="31"/>
        <v>0</v>
      </c>
      <c r="CB53" s="133">
        <f t="shared" si="32"/>
        <v>0</v>
      </c>
      <c r="CC53" s="133">
        <f t="shared" si="33"/>
        <v>0</v>
      </c>
      <c r="CD53" s="133">
        <f t="shared" si="34"/>
        <v>0</v>
      </c>
      <c r="CE53" s="144">
        <f t="shared" si="35"/>
        <v>0</v>
      </c>
      <c r="CF53" s="133">
        <f t="shared" si="36"/>
        <v>0</v>
      </c>
      <c r="CG53" s="133">
        <f t="shared" si="37"/>
        <v>0</v>
      </c>
      <c r="CH53" s="145">
        <f t="shared" si="41"/>
        <v>0</v>
      </c>
    </row>
    <row r="54" spans="2:86" ht="14.1" customHeight="1" x14ac:dyDescent="0.25">
      <c r="B54" s="133" t="s">
        <v>138</v>
      </c>
      <c r="C54" s="133" t="s">
        <v>269</v>
      </c>
      <c r="D54" s="934" t="s">
        <v>139</v>
      </c>
      <c r="E54" s="133" t="s">
        <v>157</v>
      </c>
      <c r="F54" s="66"/>
      <c r="G54" s="66">
        <f>_xlfn.IFNA(INDEX(NewRecipeTable[Percentage Yield],MATCH(E54,NewRecipeTable[ShortCode],0)),0)</f>
        <v>53.36</v>
      </c>
      <c r="H54" s="146">
        <v>1570</v>
      </c>
      <c r="I54" s="66" t="str">
        <v>No</v>
      </c>
      <c r="J54" s="133" t="s">
        <v>244</v>
      </c>
      <c r="K54" s="133">
        <f>_xlfn.IFNA(INDEX(Middles!$G$8:$G$88,MATCH($E$8:$E$62,ActivatedRecipe,0)),0)</f>
        <v>0</v>
      </c>
      <c r="L54" s="66">
        <f t="shared" si="9"/>
        <v>0</v>
      </c>
      <c r="M54" s="133">
        <f>_xlfn.IFNA(INDEX(Middles!$H$8:$H$88,MATCH($E$8:$E$62,ActivatedRecipe,0)),0)</f>
        <v>0</v>
      </c>
      <c r="N54" s="84"/>
      <c r="O54" s="92" t="s">
        <v>639</v>
      </c>
      <c r="P54" s="147">
        <f t="shared" si="10"/>
        <v>0</v>
      </c>
      <c r="Q54" s="147">
        <f t="shared" si="11"/>
        <v>0</v>
      </c>
      <c r="R54" s="147">
        <f t="shared" si="12"/>
        <v>0</v>
      </c>
      <c r="S54" s="147">
        <f t="shared" si="13"/>
        <v>0</v>
      </c>
      <c r="T54" s="147">
        <f t="shared" si="14"/>
        <v>0</v>
      </c>
      <c r="U54" s="147">
        <f t="shared" si="15"/>
        <v>0</v>
      </c>
      <c r="V54" s="69"/>
      <c r="W54" s="147">
        <v>0</v>
      </c>
      <c r="X54" s="147">
        <v>0</v>
      </c>
      <c r="Y54" s="147">
        <v>0</v>
      </c>
      <c r="Z54" s="147">
        <v>0</v>
      </c>
      <c r="AA54" s="147">
        <v>0</v>
      </c>
      <c r="AB54" s="147">
        <v>0</v>
      </c>
      <c r="AC54" s="147">
        <v>0</v>
      </c>
      <c r="AD54" s="147">
        <v>0</v>
      </c>
      <c r="AE54" s="924">
        <f t="shared" si="38"/>
        <v>0</v>
      </c>
      <c r="AG54" s="66">
        <f t="shared" si="17"/>
        <v>0</v>
      </c>
      <c r="AH54" s="139">
        <f t="shared" si="18"/>
        <v>0</v>
      </c>
      <c r="AI54" s="137">
        <f t="shared" si="19"/>
        <v>0</v>
      </c>
      <c r="AK54" s="66">
        <v>0</v>
      </c>
      <c r="AL54" s="66">
        <v>0</v>
      </c>
      <c r="AM54" s="66">
        <v>0</v>
      </c>
      <c r="AN54" s="66">
        <v>0</v>
      </c>
      <c r="AO54" s="66">
        <v>0</v>
      </c>
      <c r="AP54" s="66">
        <v>0</v>
      </c>
      <c r="AQ54" s="69"/>
      <c r="AR54" s="66">
        <v>0</v>
      </c>
      <c r="AS54" s="66">
        <v>0</v>
      </c>
      <c r="AT54" s="66">
        <v>0</v>
      </c>
      <c r="AU54" s="66">
        <v>0</v>
      </c>
      <c r="AV54" s="66">
        <v>0</v>
      </c>
      <c r="AW54" s="66">
        <v>0</v>
      </c>
      <c r="AX54" s="66">
        <v>0</v>
      </c>
      <c r="AY54" s="66">
        <v>0</v>
      </c>
      <c r="AZ54" s="66">
        <f t="array" ref="AZ54">SUMIF($W$2:$AD$2,"&gt;"&amp;0,AR54:AY54)</f>
        <v>0</v>
      </c>
      <c r="BA54" s="67">
        <f t="shared" si="20"/>
        <v>0</v>
      </c>
      <c r="BC54" s="71">
        <f t="shared" si="21"/>
        <v>0</v>
      </c>
      <c r="BD54" s="957"/>
      <c r="BE54" s="70"/>
      <c r="BF54" s="66">
        <v>0</v>
      </c>
      <c r="BG54" s="66">
        <v>0</v>
      </c>
      <c r="BH54" s="66">
        <v>0</v>
      </c>
      <c r="BI54" s="66">
        <v>0</v>
      </c>
      <c r="BJ54" s="66">
        <v>0</v>
      </c>
      <c r="BK54" s="66">
        <v>0</v>
      </c>
      <c r="BL54" s="66">
        <v>0</v>
      </c>
      <c r="BM54" s="66">
        <v>0</v>
      </c>
      <c r="BN54" s="67">
        <f t="shared" si="39"/>
        <v>0</v>
      </c>
      <c r="BO54" s="68">
        <f t="shared" si="40"/>
        <v>0</v>
      </c>
      <c r="BP54" s="69"/>
      <c r="BQ54" s="133">
        <f t="shared" si="23"/>
        <v>0</v>
      </c>
      <c r="BR54" s="69"/>
      <c r="BS54" s="133">
        <f t="shared" si="24"/>
        <v>0</v>
      </c>
      <c r="BT54" s="133">
        <f t="shared" si="25"/>
        <v>0</v>
      </c>
      <c r="BU54" s="133">
        <f t="shared" si="26"/>
        <v>0</v>
      </c>
      <c r="BV54" s="133">
        <f t="shared" si="27"/>
        <v>0</v>
      </c>
      <c r="BW54" s="133">
        <f t="shared" si="28"/>
        <v>0</v>
      </c>
      <c r="BX54" s="144">
        <f t="shared" si="29"/>
        <v>0</v>
      </c>
      <c r="BY54" s="69"/>
      <c r="BZ54" s="133">
        <f t="shared" si="30"/>
        <v>0</v>
      </c>
      <c r="CA54" s="133">
        <f t="shared" si="31"/>
        <v>0</v>
      </c>
      <c r="CB54" s="133">
        <f t="shared" si="32"/>
        <v>0</v>
      </c>
      <c r="CC54" s="133">
        <f t="shared" si="33"/>
        <v>0</v>
      </c>
      <c r="CD54" s="133">
        <f t="shared" si="34"/>
        <v>0</v>
      </c>
      <c r="CE54" s="144">
        <f t="shared" si="35"/>
        <v>0</v>
      </c>
      <c r="CF54" s="133">
        <f t="shared" si="36"/>
        <v>0</v>
      </c>
      <c r="CG54" s="133">
        <f t="shared" si="37"/>
        <v>0</v>
      </c>
      <c r="CH54" s="145">
        <f t="shared" si="41"/>
        <v>0</v>
      </c>
    </row>
    <row r="55" spans="2:86" ht="14.1" customHeight="1" x14ac:dyDescent="0.25">
      <c r="B55" s="133" t="s">
        <v>138</v>
      </c>
      <c r="C55" s="133" t="s">
        <v>269</v>
      </c>
      <c r="D55" s="934" t="s">
        <v>1128</v>
      </c>
      <c r="E55" s="133" t="s">
        <v>1130</v>
      </c>
      <c r="F55" s="66"/>
      <c r="G55" s="66">
        <f>_xlfn.IFNA(INDEX(NewRecipeTable[Percentage Yield],MATCH(E55,NewRecipeTable[ShortCode],0)),0)</f>
        <v>53.36</v>
      </c>
      <c r="H55" s="146">
        <v>1570</v>
      </c>
      <c r="I55" s="66" t="str">
        <v>No</v>
      </c>
      <c r="J55" s="133" t="s">
        <v>244</v>
      </c>
      <c r="K55" s="133">
        <f>_xlfn.IFNA(INDEX(Middles!$G$8:$G$88,MATCH($E$8:$E$62,ActivatedRecipe,0)),0)</f>
        <v>0</v>
      </c>
      <c r="L55" s="66">
        <f t="shared" si="9"/>
        <v>0</v>
      </c>
      <c r="M55" s="133">
        <f>_xlfn.IFNA(INDEX(Middles!$H$8:$H$88,MATCH($E$8:$E$62,ActivatedRecipe,0)),0)</f>
        <v>0</v>
      </c>
      <c r="N55" s="84"/>
      <c r="O55" s="92" t="s">
        <v>639</v>
      </c>
      <c r="P55" s="147">
        <f t="shared" si="10"/>
        <v>0</v>
      </c>
      <c r="Q55" s="147">
        <f t="shared" si="11"/>
        <v>0</v>
      </c>
      <c r="R55" s="147">
        <f t="shared" si="12"/>
        <v>0</v>
      </c>
      <c r="S55" s="147">
        <f t="shared" si="13"/>
        <v>0</v>
      </c>
      <c r="T55" s="147">
        <f t="shared" si="14"/>
        <v>0</v>
      </c>
      <c r="U55" s="147">
        <f t="shared" si="15"/>
        <v>0</v>
      </c>
      <c r="W55" s="147">
        <v>0</v>
      </c>
      <c r="X55" s="147">
        <v>0</v>
      </c>
      <c r="Y55" s="147">
        <v>0</v>
      </c>
      <c r="Z55" s="147">
        <v>0</v>
      </c>
      <c r="AA55" s="147">
        <v>0</v>
      </c>
      <c r="AB55" s="147">
        <v>0</v>
      </c>
      <c r="AC55" s="147">
        <v>0</v>
      </c>
      <c r="AD55" s="147">
        <v>0</v>
      </c>
      <c r="AE55" s="924">
        <f t="shared" si="38"/>
        <v>0</v>
      </c>
      <c r="AG55" s="66">
        <f t="shared" si="17"/>
        <v>0</v>
      </c>
      <c r="AH55" s="139">
        <f t="shared" si="18"/>
        <v>0</v>
      </c>
      <c r="AI55" s="137">
        <f t="shared" si="19"/>
        <v>0</v>
      </c>
      <c r="AK55" s="66">
        <v>0</v>
      </c>
      <c r="AL55" s="66">
        <v>0</v>
      </c>
      <c r="AM55" s="66">
        <v>0</v>
      </c>
      <c r="AN55" s="66">
        <v>0</v>
      </c>
      <c r="AO55" s="66">
        <v>0</v>
      </c>
      <c r="AP55" s="66">
        <v>0</v>
      </c>
      <c r="AQ55" s="69"/>
      <c r="AR55" s="66">
        <v>0</v>
      </c>
      <c r="AS55" s="66">
        <v>0</v>
      </c>
      <c r="AT55" s="66">
        <v>0</v>
      </c>
      <c r="AU55" s="66">
        <v>0</v>
      </c>
      <c r="AV55" s="66">
        <v>0</v>
      </c>
      <c r="AW55" s="66">
        <v>0</v>
      </c>
      <c r="AX55" s="66">
        <v>0</v>
      </c>
      <c r="AY55" s="66">
        <v>0</v>
      </c>
      <c r="AZ55" s="66">
        <f t="array" ref="AZ55">SUMIF($W$2:$AD$2,"&gt;"&amp;0,AR55:AY55)</f>
        <v>0</v>
      </c>
      <c r="BA55" s="67">
        <f t="shared" si="20"/>
        <v>0</v>
      </c>
      <c r="BC55" s="71">
        <f t="shared" si="21"/>
        <v>0</v>
      </c>
      <c r="BD55" s="957"/>
      <c r="BE55" s="70"/>
      <c r="BF55" s="66">
        <v>0</v>
      </c>
      <c r="BG55" s="66">
        <v>0</v>
      </c>
      <c r="BH55" s="66">
        <v>0</v>
      </c>
      <c r="BI55" s="66">
        <v>0</v>
      </c>
      <c r="BJ55" s="66">
        <v>0</v>
      </c>
      <c r="BK55" s="66">
        <v>0</v>
      </c>
      <c r="BL55" s="66">
        <v>0</v>
      </c>
      <c r="BM55" s="66">
        <v>0</v>
      </c>
      <c r="BN55" s="67">
        <f t="shared" si="39"/>
        <v>0</v>
      </c>
      <c r="BO55" s="68">
        <f t="shared" si="40"/>
        <v>0</v>
      </c>
      <c r="BP55" s="69"/>
      <c r="BQ55" s="133">
        <f t="shared" si="23"/>
        <v>0</v>
      </c>
      <c r="BR55" s="69"/>
      <c r="BS55" s="133">
        <f t="shared" si="24"/>
        <v>0</v>
      </c>
      <c r="BT55" s="133">
        <f t="shared" si="25"/>
        <v>0</v>
      </c>
      <c r="BU55" s="133">
        <f t="shared" si="26"/>
        <v>0</v>
      </c>
      <c r="BV55" s="133">
        <f t="shared" si="27"/>
        <v>0</v>
      </c>
      <c r="BW55" s="133">
        <f t="shared" si="28"/>
        <v>0</v>
      </c>
      <c r="BX55" s="144">
        <f t="shared" si="29"/>
        <v>0</v>
      </c>
      <c r="BY55" s="69"/>
      <c r="BZ55" s="133">
        <f t="shared" si="30"/>
        <v>0</v>
      </c>
      <c r="CA55" s="133">
        <f t="shared" si="31"/>
        <v>0</v>
      </c>
      <c r="CB55" s="133">
        <f t="shared" si="32"/>
        <v>0</v>
      </c>
      <c r="CC55" s="133">
        <f t="shared" si="33"/>
        <v>0</v>
      </c>
      <c r="CD55" s="133">
        <f t="shared" si="34"/>
        <v>0</v>
      </c>
      <c r="CE55" s="144">
        <f t="shared" si="35"/>
        <v>0</v>
      </c>
      <c r="CF55" s="133">
        <f t="shared" si="36"/>
        <v>0</v>
      </c>
      <c r="CG55" s="133">
        <f t="shared" si="37"/>
        <v>0</v>
      </c>
      <c r="CH55" s="145">
        <f t="shared" si="41"/>
        <v>0</v>
      </c>
    </row>
    <row r="56" spans="2:86" ht="14.1" customHeight="1" x14ac:dyDescent="0.25">
      <c r="B56" s="133" t="s">
        <v>1329</v>
      </c>
      <c r="C56" s="133" t="s">
        <v>1330</v>
      </c>
      <c r="D56" s="934" t="s">
        <v>1327</v>
      </c>
      <c r="E56" s="133" t="s">
        <v>1544</v>
      </c>
      <c r="F56" s="66"/>
      <c r="G56" s="66">
        <f>_xlfn.IFNA(INDEX(NewRecipeTable[Percentage Yield],MATCH(E56,NewRecipeTable[ShortCode],0)),0)</f>
        <v>31.58</v>
      </c>
      <c r="H56" s="146">
        <v>1570</v>
      </c>
      <c r="I56" s="66" t="str">
        <v>No</v>
      </c>
      <c r="J56" s="133" t="s">
        <v>244</v>
      </c>
      <c r="K56" s="133">
        <f>_xlfn.IFNA(INDEX(Middles!$G$8:$G$88,MATCH($E$8:$E$62,ActivatedRecipe,0)),0)</f>
        <v>0</v>
      </c>
      <c r="L56" s="66">
        <f t="shared" si="9"/>
        <v>0</v>
      </c>
      <c r="M56" s="133">
        <f>_xlfn.IFNA(INDEX(Middles!$H$8:$H$88,MATCH($E$8:$E$62,ActivatedRecipe,0)),0)</f>
        <v>0</v>
      </c>
      <c r="O56" s="92" t="s">
        <v>639</v>
      </c>
      <c r="P56" s="147">
        <f t="shared" si="10"/>
        <v>0</v>
      </c>
      <c r="Q56" s="147">
        <f t="shared" si="11"/>
        <v>0</v>
      </c>
      <c r="R56" s="147">
        <f t="shared" si="12"/>
        <v>0</v>
      </c>
      <c r="S56" s="147">
        <f t="shared" si="13"/>
        <v>0</v>
      </c>
      <c r="T56" s="147">
        <f t="shared" si="14"/>
        <v>0</v>
      </c>
      <c r="U56" s="147">
        <f t="shared" si="15"/>
        <v>0</v>
      </c>
      <c r="W56" s="147">
        <v>0</v>
      </c>
      <c r="X56" s="147">
        <v>0</v>
      </c>
      <c r="Y56" s="147">
        <v>0</v>
      </c>
      <c r="Z56" s="147">
        <v>0</v>
      </c>
      <c r="AA56" s="147">
        <v>0</v>
      </c>
      <c r="AB56" s="147">
        <v>0</v>
      </c>
      <c r="AC56" s="147">
        <v>0</v>
      </c>
      <c r="AD56" s="147">
        <v>0</v>
      </c>
      <c r="AE56" s="924">
        <f t="shared" si="38"/>
        <v>0</v>
      </c>
      <c r="AG56" s="66">
        <f t="shared" si="17"/>
        <v>0</v>
      </c>
      <c r="AH56" s="139">
        <f t="shared" si="18"/>
        <v>0</v>
      </c>
      <c r="AI56" s="137">
        <f t="shared" si="19"/>
        <v>0</v>
      </c>
      <c r="AK56" s="66">
        <v>0</v>
      </c>
      <c r="AL56" s="66">
        <v>0</v>
      </c>
      <c r="AM56" s="66">
        <v>0</v>
      </c>
      <c r="AN56" s="66">
        <v>0</v>
      </c>
      <c r="AO56" s="66">
        <v>0</v>
      </c>
      <c r="AP56" s="66">
        <v>0</v>
      </c>
      <c r="AQ56" s="69"/>
      <c r="AR56" s="66">
        <v>0</v>
      </c>
      <c r="AS56" s="66">
        <v>0</v>
      </c>
      <c r="AT56" s="66">
        <v>0</v>
      </c>
      <c r="AU56" s="66">
        <v>0</v>
      </c>
      <c r="AV56" s="66">
        <v>0</v>
      </c>
      <c r="AW56" s="66">
        <v>0</v>
      </c>
      <c r="AX56" s="66">
        <v>0</v>
      </c>
      <c r="AY56" s="66">
        <v>0</v>
      </c>
      <c r="AZ56" s="66">
        <f t="array" ref="AZ56">SUMIF($W$2:$AD$2,"&gt;"&amp;0,AR56:AY56)</f>
        <v>0</v>
      </c>
      <c r="BA56" s="67">
        <f t="shared" si="20"/>
        <v>0</v>
      </c>
      <c r="BC56" s="71">
        <f t="shared" si="21"/>
        <v>0</v>
      </c>
      <c r="BD56" s="957"/>
      <c r="BE56" s="70"/>
      <c r="BF56" s="66">
        <v>0</v>
      </c>
      <c r="BG56" s="66">
        <v>0</v>
      </c>
      <c r="BH56" s="66">
        <v>0</v>
      </c>
      <c r="BI56" s="66">
        <v>0</v>
      </c>
      <c r="BJ56" s="66">
        <v>0</v>
      </c>
      <c r="BK56" s="66">
        <v>0</v>
      </c>
      <c r="BL56" s="66">
        <v>0</v>
      </c>
      <c r="BM56" s="66">
        <v>0</v>
      </c>
      <c r="BN56" s="67">
        <f t="shared" si="39"/>
        <v>0</v>
      </c>
      <c r="BO56" s="68">
        <f t="shared" si="40"/>
        <v>0</v>
      </c>
      <c r="BP56" s="69"/>
      <c r="BQ56" s="133">
        <f t="shared" si="23"/>
        <v>0</v>
      </c>
      <c r="BR56" s="69"/>
      <c r="BS56" s="133">
        <f t="shared" si="24"/>
        <v>0</v>
      </c>
      <c r="BT56" s="133">
        <f t="shared" si="25"/>
        <v>0</v>
      </c>
      <c r="BU56" s="133">
        <f t="shared" si="26"/>
        <v>0</v>
      </c>
      <c r="BV56" s="133">
        <f t="shared" si="27"/>
        <v>0</v>
      </c>
      <c r="BW56" s="133">
        <f t="shared" si="28"/>
        <v>0</v>
      </c>
      <c r="BX56" s="144">
        <f t="shared" si="29"/>
        <v>0</v>
      </c>
      <c r="BY56" s="69"/>
      <c r="BZ56" s="133">
        <f t="shared" si="30"/>
        <v>0</v>
      </c>
      <c r="CA56" s="133">
        <f t="shared" si="31"/>
        <v>0</v>
      </c>
      <c r="CB56" s="133">
        <f t="shared" si="32"/>
        <v>0</v>
      </c>
      <c r="CC56" s="133">
        <f t="shared" si="33"/>
        <v>0</v>
      </c>
      <c r="CD56" s="133">
        <f t="shared" si="34"/>
        <v>0</v>
      </c>
      <c r="CE56" s="144">
        <f t="shared" si="35"/>
        <v>0</v>
      </c>
      <c r="CF56" s="133">
        <f t="shared" si="36"/>
        <v>0</v>
      </c>
      <c r="CG56" s="133">
        <f t="shared" si="37"/>
        <v>0</v>
      </c>
      <c r="CH56" s="145">
        <f t="shared" si="41"/>
        <v>0</v>
      </c>
    </row>
    <row r="57" spans="2:86" ht="14.1" customHeight="1" x14ac:dyDescent="0.25">
      <c r="B57" s="133" t="s">
        <v>1329</v>
      </c>
      <c r="C57" s="133" t="s">
        <v>1330</v>
      </c>
      <c r="D57" s="934" t="s">
        <v>1331</v>
      </c>
      <c r="E57" s="133" t="s">
        <v>1545</v>
      </c>
      <c r="F57" s="66"/>
      <c r="G57" s="66">
        <f>_xlfn.IFNA(INDEX(NewRecipeTable[Percentage Yield],MATCH(E57,NewRecipeTable[ShortCode],0)),0)</f>
        <v>32.74</v>
      </c>
      <c r="H57" s="146">
        <v>1570</v>
      </c>
      <c r="I57" s="66" t="str">
        <v>No</v>
      </c>
      <c r="J57" s="133" t="s">
        <v>244</v>
      </c>
      <c r="K57" s="133">
        <f>_xlfn.IFNA(INDEX(Middles!$G$8:$G$88,MATCH($E$8:$E$62,ActivatedRecipe,0)),0)</f>
        <v>0</v>
      </c>
      <c r="L57" s="66">
        <f t="shared" si="9"/>
        <v>0</v>
      </c>
      <c r="M57" s="133">
        <f>_xlfn.IFNA(INDEX(Middles!$H$8:$H$88,MATCH($E$8:$E$62,ActivatedRecipe,0)),0)</f>
        <v>0</v>
      </c>
      <c r="O57" s="92" t="s">
        <v>639</v>
      </c>
      <c r="P57" s="147">
        <f t="shared" si="10"/>
        <v>0</v>
      </c>
      <c r="Q57" s="147">
        <f t="shared" si="11"/>
        <v>0</v>
      </c>
      <c r="R57" s="147">
        <f t="shared" si="12"/>
        <v>0</v>
      </c>
      <c r="S57" s="147">
        <f t="shared" si="13"/>
        <v>0</v>
      </c>
      <c r="T57" s="147">
        <f t="shared" si="14"/>
        <v>0</v>
      </c>
      <c r="U57" s="147">
        <f t="shared" si="15"/>
        <v>0</v>
      </c>
      <c r="W57" s="147">
        <v>0</v>
      </c>
      <c r="X57" s="147">
        <v>0</v>
      </c>
      <c r="Y57" s="147">
        <v>0</v>
      </c>
      <c r="Z57" s="147">
        <v>0</v>
      </c>
      <c r="AA57" s="147">
        <v>0</v>
      </c>
      <c r="AB57" s="147">
        <v>0</v>
      </c>
      <c r="AC57" s="147">
        <v>0</v>
      </c>
      <c r="AD57" s="147">
        <v>0</v>
      </c>
      <c r="AE57" s="924">
        <f t="shared" si="38"/>
        <v>0</v>
      </c>
      <c r="AG57" s="66">
        <f t="shared" si="17"/>
        <v>0</v>
      </c>
      <c r="AH57" s="139">
        <f t="shared" si="18"/>
        <v>0</v>
      </c>
      <c r="AI57" s="137">
        <f t="shared" si="19"/>
        <v>0</v>
      </c>
      <c r="AK57" s="66">
        <v>0</v>
      </c>
      <c r="AL57" s="66">
        <v>0</v>
      </c>
      <c r="AM57" s="66">
        <v>0</v>
      </c>
      <c r="AN57" s="66">
        <v>0</v>
      </c>
      <c r="AO57" s="66">
        <v>0</v>
      </c>
      <c r="AP57" s="66">
        <v>0</v>
      </c>
      <c r="AQ57" s="69"/>
      <c r="AR57" s="66">
        <v>0</v>
      </c>
      <c r="AS57" s="66">
        <v>0</v>
      </c>
      <c r="AT57" s="66">
        <v>0</v>
      </c>
      <c r="AU57" s="66">
        <v>0</v>
      </c>
      <c r="AV57" s="66">
        <v>0</v>
      </c>
      <c r="AW57" s="66">
        <v>0</v>
      </c>
      <c r="AX57" s="66">
        <v>0</v>
      </c>
      <c r="AY57" s="66">
        <v>0</v>
      </c>
      <c r="AZ57" s="66">
        <f t="array" ref="AZ57">SUMIF($W$2:$AD$2,"&gt;"&amp;0,AR57:AY57)</f>
        <v>0</v>
      </c>
      <c r="BA57" s="67">
        <f t="shared" si="20"/>
        <v>0</v>
      </c>
      <c r="BC57" s="71">
        <f t="shared" si="21"/>
        <v>0</v>
      </c>
      <c r="BD57" s="957"/>
      <c r="BE57" s="70"/>
      <c r="BF57" s="66">
        <v>0</v>
      </c>
      <c r="BG57" s="66">
        <v>0</v>
      </c>
      <c r="BH57" s="66">
        <v>0</v>
      </c>
      <c r="BI57" s="66">
        <v>0</v>
      </c>
      <c r="BJ57" s="66">
        <v>0</v>
      </c>
      <c r="BK57" s="66">
        <v>0</v>
      </c>
      <c r="BL57" s="66">
        <v>0</v>
      </c>
      <c r="BM57" s="66">
        <v>0</v>
      </c>
      <c r="BN57" s="67">
        <f t="shared" si="39"/>
        <v>0</v>
      </c>
      <c r="BO57" s="68">
        <f t="shared" si="40"/>
        <v>0</v>
      </c>
      <c r="BP57" s="69"/>
      <c r="BQ57" s="133">
        <f t="shared" si="23"/>
        <v>0</v>
      </c>
      <c r="BR57" s="69"/>
      <c r="BS57" s="133">
        <f t="shared" si="24"/>
        <v>0</v>
      </c>
      <c r="BT57" s="133">
        <f t="shared" si="25"/>
        <v>0</v>
      </c>
      <c r="BU57" s="133">
        <f t="shared" si="26"/>
        <v>0</v>
      </c>
      <c r="BV57" s="133">
        <f t="shared" si="27"/>
        <v>0</v>
      </c>
      <c r="BW57" s="133">
        <f t="shared" si="28"/>
        <v>0</v>
      </c>
      <c r="BX57" s="144">
        <f t="shared" si="29"/>
        <v>0</v>
      </c>
      <c r="BY57" s="69"/>
      <c r="BZ57" s="133">
        <f t="shared" si="30"/>
        <v>0</v>
      </c>
      <c r="CA57" s="133">
        <f t="shared" si="31"/>
        <v>0</v>
      </c>
      <c r="CB57" s="133">
        <f t="shared" si="32"/>
        <v>0</v>
      </c>
      <c r="CC57" s="133">
        <f t="shared" si="33"/>
        <v>0</v>
      </c>
      <c r="CD57" s="133">
        <f t="shared" si="34"/>
        <v>0</v>
      </c>
      <c r="CE57" s="144">
        <f t="shared" si="35"/>
        <v>0</v>
      </c>
      <c r="CF57" s="133">
        <f t="shared" si="36"/>
        <v>0</v>
      </c>
      <c r="CG57" s="133">
        <f t="shared" si="37"/>
        <v>0</v>
      </c>
      <c r="CH57" s="145">
        <f t="shared" si="41"/>
        <v>0</v>
      </c>
    </row>
    <row r="58" spans="2:86" ht="14.1" customHeight="1" x14ac:dyDescent="0.25">
      <c r="B58" s="133" t="s">
        <v>1329</v>
      </c>
      <c r="C58" s="133" t="s">
        <v>1330</v>
      </c>
      <c r="D58" s="934" t="s">
        <v>1333</v>
      </c>
      <c r="E58" s="133" t="s">
        <v>1546</v>
      </c>
      <c r="F58" s="66"/>
      <c r="G58" s="66">
        <f>_xlfn.IFNA(INDEX(NewRecipeTable[Percentage Yield],MATCH(E58,NewRecipeTable[ShortCode],0)),0)</f>
        <v>32.299999999999997</v>
      </c>
      <c r="H58" s="146">
        <v>1570</v>
      </c>
      <c r="I58" s="66" t="str">
        <v>No</v>
      </c>
      <c r="J58" s="133" t="s">
        <v>244</v>
      </c>
      <c r="K58" s="133">
        <f>_xlfn.IFNA(INDEX(Middles!$G$8:$G$88,MATCH($E$8:$E$62,ActivatedRecipe,0)),0)</f>
        <v>0</v>
      </c>
      <c r="L58" s="66">
        <f t="shared" si="9"/>
        <v>0</v>
      </c>
      <c r="M58" s="133">
        <f>_xlfn.IFNA(INDEX(Middles!$H$8:$H$88,MATCH($E$8:$E$62,ActivatedRecipe,0)),0)</f>
        <v>0</v>
      </c>
      <c r="O58" s="92" t="s">
        <v>639</v>
      </c>
      <c r="P58" s="147">
        <f t="shared" si="10"/>
        <v>0</v>
      </c>
      <c r="Q58" s="147">
        <f t="shared" si="11"/>
        <v>0</v>
      </c>
      <c r="R58" s="147">
        <f t="shared" si="12"/>
        <v>0</v>
      </c>
      <c r="S58" s="147">
        <f t="shared" si="13"/>
        <v>0</v>
      </c>
      <c r="T58" s="147">
        <f t="shared" si="14"/>
        <v>0</v>
      </c>
      <c r="U58" s="147">
        <f t="shared" si="15"/>
        <v>0</v>
      </c>
      <c r="W58" s="147">
        <v>0</v>
      </c>
      <c r="X58" s="147">
        <v>0</v>
      </c>
      <c r="Y58" s="147">
        <v>0</v>
      </c>
      <c r="Z58" s="147">
        <v>0</v>
      </c>
      <c r="AA58" s="147">
        <v>0</v>
      </c>
      <c r="AB58" s="147">
        <v>0</v>
      </c>
      <c r="AC58" s="147">
        <v>0</v>
      </c>
      <c r="AD58" s="147">
        <v>0</v>
      </c>
      <c r="AE58" s="924">
        <f t="shared" si="38"/>
        <v>0</v>
      </c>
      <c r="AG58" s="66">
        <f t="shared" si="17"/>
        <v>0</v>
      </c>
      <c r="AH58" s="139">
        <f t="shared" si="18"/>
        <v>0</v>
      </c>
      <c r="AI58" s="137">
        <f t="shared" si="19"/>
        <v>0</v>
      </c>
      <c r="AK58" s="66">
        <v>0</v>
      </c>
      <c r="AL58" s="66">
        <v>0</v>
      </c>
      <c r="AM58" s="66">
        <v>0</v>
      </c>
      <c r="AN58" s="66">
        <v>0</v>
      </c>
      <c r="AO58" s="66">
        <v>0</v>
      </c>
      <c r="AP58" s="66">
        <v>0</v>
      </c>
      <c r="AQ58" s="69"/>
      <c r="AR58" s="66">
        <v>0</v>
      </c>
      <c r="AS58" s="66">
        <v>0</v>
      </c>
      <c r="AT58" s="66">
        <v>0</v>
      </c>
      <c r="AU58" s="66">
        <v>0</v>
      </c>
      <c r="AV58" s="66">
        <v>0</v>
      </c>
      <c r="AW58" s="66">
        <v>0</v>
      </c>
      <c r="AX58" s="66">
        <v>0</v>
      </c>
      <c r="AY58" s="66">
        <v>0</v>
      </c>
      <c r="AZ58" s="66">
        <f t="array" ref="AZ58">SUMIF($W$2:$AD$2,"&gt;"&amp;0,AR58:AY58)</f>
        <v>0</v>
      </c>
      <c r="BA58" s="67">
        <f t="shared" si="20"/>
        <v>0</v>
      </c>
      <c r="BC58" s="71">
        <f t="shared" si="21"/>
        <v>0</v>
      </c>
      <c r="BD58" s="957"/>
      <c r="BE58" s="70"/>
      <c r="BF58" s="66">
        <v>0</v>
      </c>
      <c r="BG58" s="66">
        <v>0</v>
      </c>
      <c r="BH58" s="66">
        <v>0</v>
      </c>
      <c r="BI58" s="66">
        <v>0</v>
      </c>
      <c r="BJ58" s="66">
        <v>0</v>
      </c>
      <c r="BK58" s="66">
        <v>0</v>
      </c>
      <c r="BL58" s="66">
        <v>0</v>
      </c>
      <c r="BM58" s="66">
        <v>0</v>
      </c>
      <c r="BN58" s="67">
        <f t="shared" si="39"/>
        <v>0</v>
      </c>
      <c r="BO58" s="68">
        <f t="shared" si="40"/>
        <v>0</v>
      </c>
      <c r="BP58" s="69"/>
      <c r="BQ58" s="133">
        <f t="shared" si="23"/>
        <v>0</v>
      </c>
      <c r="BR58" s="69"/>
      <c r="BS58" s="133">
        <f t="shared" si="24"/>
        <v>0</v>
      </c>
      <c r="BT58" s="133">
        <f t="shared" si="25"/>
        <v>0</v>
      </c>
      <c r="BU58" s="133">
        <f t="shared" si="26"/>
        <v>0</v>
      </c>
      <c r="BV58" s="133">
        <f t="shared" si="27"/>
        <v>0</v>
      </c>
      <c r="BW58" s="133">
        <f t="shared" si="28"/>
        <v>0</v>
      </c>
      <c r="BX58" s="144">
        <f t="shared" si="29"/>
        <v>0</v>
      </c>
      <c r="BY58" s="69"/>
      <c r="BZ58" s="133">
        <f t="shared" si="30"/>
        <v>0</v>
      </c>
      <c r="CA58" s="133">
        <f t="shared" si="31"/>
        <v>0</v>
      </c>
      <c r="CB58" s="133">
        <f t="shared" si="32"/>
        <v>0</v>
      </c>
      <c r="CC58" s="133">
        <f t="shared" si="33"/>
        <v>0</v>
      </c>
      <c r="CD58" s="133">
        <f t="shared" si="34"/>
        <v>0</v>
      </c>
      <c r="CE58" s="144">
        <f t="shared" si="35"/>
        <v>0</v>
      </c>
      <c r="CF58" s="133">
        <f t="shared" si="36"/>
        <v>0</v>
      </c>
      <c r="CG58" s="133">
        <f t="shared" si="37"/>
        <v>0</v>
      </c>
      <c r="CH58" s="145">
        <f t="shared" si="41"/>
        <v>0</v>
      </c>
    </row>
    <row r="59" spans="2:86" ht="14.1" customHeight="1" x14ac:dyDescent="0.25">
      <c r="B59" s="133" t="s">
        <v>1329</v>
      </c>
      <c r="C59" s="133" t="s">
        <v>1330</v>
      </c>
      <c r="D59" s="934" t="s">
        <v>1335</v>
      </c>
      <c r="E59" s="133" t="s">
        <v>1547</v>
      </c>
      <c r="F59" s="66"/>
      <c r="G59" s="66">
        <f>_xlfn.IFNA(INDEX(NewRecipeTable[Percentage Yield],MATCH(E59,NewRecipeTable[ShortCode],0)),0)</f>
        <v>32.299999999999997</v>
      </c>
      <c r="H59" s="146">
        <v>1570</v>
      </c>
      <c r="I59" s="66" t="str">
        <v>No</v>
      </c>
      <c r="J59" s="133" t="s">
        <v>244</v>
      </c>
      <c r="K59" s="133">
        <f>_xlfn.IFNA(INDEX(Middles!$G$8:$G$88,MATCH($E$8:$E$62,ActivatedRecipe,0)),0)</f>
        <v>0</v>
      </c>
      <c r="L59" s="66">
        <f t="shared" si="9"/>
        <v>0</v>
      </c>
      <c r="M59" s="133">
        <f>_xlfn.IFNA(INDEX(Middles!$H$8:$H$88,MATCH($E$8:$E$62,ActivatedRecipe,0)),0)</f>
        <v>0</v>
      </c>
      <c r="O59" s="92" t="s">
        <v>639</v>
      </c>
      <c r="P59" s="147">
        <f t="shared" si="10"/>
        <v>0</v>
      </c>
      <c r="Q59" s="147">
        <f t="shared" si="11"/>
        <v>0</v>
      </c>
      <c r="R59" s="147">
        <f t="shared" si="12"/>
        <v>0</v>
      </c>
      <c r="S59" s="147">
        <f t="shared" si="13"/>
        <v>0</v>
      </c>
      <c r="T59" s="147">
        <f t="shared" si="14"/>
        <v>0</v>
      </c>
      <c r="U59" s="147">
        <f t="shared" si="15"/>
        <v>0</v>
      </c>
      <c r="W59" s="147">
        <v>0</v>
      </c>
      <c r="X59" s="147">
        <v>0</v>
      </c>
      <c r="Y59" s="147">
        <v>0</v>
      </c>
      <c r="Z59" s="147">
        <v>0</v>
      </c>
      <c r="AA59" s="147">
        <v>0</v>
      </c>
      <c r="AB59" s="147">
        <v>0</v>
      </c>
      <c r="AC59" s="147">
        <v>0</v>
      </c>
      <c r="AD59" s="147">
        <v>0</v>
      </c>
      <c r="AE59" s="924">
        <f t="shared" si="38"/>
        <v>0</v>
      </c>
      <c r="AG59" s="66">
        <f t="shared" si="17"/>
        <v>0</v>
      </c>
      <c r="AH59" s="139">
        <f t="shared" si="18"/>
        <v>0</v>
      </c>
      <c r="AI59" s="137">
        <f t="shared" si="19"/>
        <v>0</v>
      </c>
      <c r="AK59" s="66">
        <v>0</v>
      </c>
      <c r="AL59" s="66">
        <v>0</v>
      </c>
      <c r="AM59" s="66">
        <v>0</v>
      </c>
      <c r="AN59" s="66">
        <v>0</v>
      </c>
      <c r="AO59" s="66">
        <v>0</v>
      </c>
      <c r="AP59" s="66">
        <v>0</v>
      </c>
      <c r="AQ59" s="69"/>
      <c r="AR59" s="66">
        <v>0</v>
      </c>
      <c r="AS59" s="66">
        <v>0</v>
      </c>
      <c r="AT59" s="66">
        <v>0</v>
      </c>
      <c r="AU59" s="66">
        <v>0</v>
      </c>
      <c r="AV59" s="66">
        <v>0</v>
      </c>
      <c r="AW59" s="66">
        <v>0</v>
      </c>
      <c r="AX59" s="66">
        <v>0</v>
      </c>
      <c r="AY59" s="66">
        <v>0</v>
      </c>
      <c r="AZ59" s="66">
        <f t="array" ref="AZ59">SUMIF($W$2:$AD$2,"&gt;"&amp;0,AR59:AY59)</f>
        <v>0</v>
      </c>
      <c r="BA59" s="67">
        <f t="shared" si="20"/>
        <v>0</v>
      </c>
      <c r="BC59" s="71">
        <f t="shared" si="21"/>
        <v>0</v>
      </c>
      <c r="BD59" s="957"/>
      <c r="BE59" s="70"/>
      <c r="BF59" s="66">
        <v>0</v>
      </c>
      <c r="BG59" s="66">
        <v>0</v>
      </c>
      <c r="BH59" s="66">
        <v>0</v>
      </c>
      <c r="BI59" s="66">
        <v>0</v>
      </c>
      <c r="BJ59" s="66">
        <v>0</v>
      </c>
      <c r="BK59" s="66">
        <v>0</v>
      </c>
      <c r="BL59" s="66">
        <v>0</v>
      </c>
      <c r="BM59" s="66">
        <v>0</v>
      </c>
      <c r="BN59" s="67">
        <f t="shared" si="39"/>
        <v>0</v>
      </c>
      <c r="BO59" s="68">
        <f t="shared" si="40"/>
        <v>0</v>
      </c>
      <c r="BP59" s="69"/>
      <c r="BQ59" s="133">
        <f t="shared" si="23"/>
        <v>0</v>
      </c>
      <c r="BR59" s="69"/>
      <c r="BS59" s="133">
        <f t="shared" si="24"/>
        <v>0</v>
      </c>
      <c r="BT59" s="133">
        <f t="shared" si="25"/>
        <v>0</v>
      </c>
      <c r="BU59" s="133">
        <f t="shared" si="26"/>
        <v>0</v>
      </c>
      <c r="BV59" s="133">
        <f t="shared" si="27"/>
        <v>0</v>
      </c>
      <c r="BW59" s="133">
        <f t="shared" si="28"/>
        <v>0</v>
      </c>
      <c r="BX59" s="144">
        <f t="shared" si="29"/>
        <v>0</v>
      </c>
      <c r="BY59" s="69"/>
      <c r="BZ59" s="133">
        <f t="shared" si="30"/>
        <v>0</v>
      </c>
      <c r="CA59" s="133">
        <f t="shared" si="31"/>
        <v>0</v>
      </c>
      <c r="CB59" s="133">
        <f t="shared" si="32"/>
        <v>0</v>
      </c>
      <c r="CC59" s="133">
        <f t="shared" si="33"/>
        <v>0</v>
      </c>
      <c r="CD59" s="133">
        <f t="shared" si="34"/>
        <v>0</v>
      </c>
      <c r="CE59" s="144">
        <f t="shared" si="35"/>
        <v>0</v>
      </c>
      <c r="CF59" s="133">
        <f t="shared" si="36"/>
        <v>0</v>
      </c>
      <c r="CG59" s="133">
        <f t="shared" si="37"/>
        <v>0</v>
      </c>
      <c r="CH59" s="145">
        <f t="shared" si="41"/>
        <v>0</v>
      </c>
    </row>
    <row r="60" spans="2:86" ht="14.1" customHeight="1" x14ac:dyDescent="0.25">
      <c r="B60" s="133" t="s">
        <v>1329</v>
      </c>
      <c r="C60" s="133" t="s">
        <v>1330</v>
      </c>
      <c r="D60" s="934" t="s">
        <v>1337</v>
      </c>
      <c r="E60" s="133" t="s">
        <v>1548</v>
      </c>
      <c r="F60" s="66"/>
      <c r="G60" s="66">
        <f>_xlfn.IFNA(INDEX(NewRecipeTable[Percentage Yield],MATCH(E60,NewRecipeTable[ShortCode],0)),0)</f>
        <v>33.090000000000003</v>
      </c>
      <c r="H60" s="146">
        <v>1570</v>
      </c>
      <c r="I60" s="66" t="str">
        <v>No</v>
      </c>
      <c r="J60" s="133" t="s">
        <v>244</v>
      </c>
      <c r="K60" s="133">
        <f>_xlfn.IFNA(INDEX(Middles!$G$8:$G$88,MATCH($E$8:$E$62,ActivatedRecipe,0)),0)</f>
        <v>0</v>
      </c>
      <c r="L60" s="66">
        <f t="shared" si="9"/>
        <v>0</v>
      </c>
      <c r="M60" s="133">
        <f>_xlfn.IFNA(INDEX(Middles!$H$8:$H$88,MATCH($E$8:$E$62,ActivatedRecipe,0)),0)</f>
        <v>0</v>
      </c>
      <c r="O60" s="92" t="s">
        <v>639</v>
      </c>
      <c r="P60" s="147">
        <f t="shared" si="10"/>
        <v>0</v>
      </c>
      <c r="Q60" s="147">
        <f t="shared" si="11"/>
        <v>0</v>
      </c>
      <c r="R60" s="147">
        <f t="shared" si="12"/>
        <v>0</v>
      </c>
      <c r="S60" s="147">
        <f t="shared" si="13"/>
        <v>0</v>
      </c>
      <c r="T60" s="147">
        <f t="shared" si="14"/>
        <v>0</v>
      </c>
      <c r="U60" s="147">
        <f t="shared" si="15"/>
        <v>0</v>
      </c>
      <c r="W60" s="147">
        <v>0</v>
      </c>
      <c r="X60" s="147">
        <v>0</v>
      </c>
      <c r="Y60" s="147">
        <v>0</v>
      </c>
      <c r="Z60" s="147">
        <v>0</v>
      </c>
      <c r="AA60" s="147">
        <v>0</v>
      </c>
      <c r="AB60" s="147">
        <v>0</v>
      </c>
      <c r="AC60" s="147">
        <v>0</v>
      </c>
      <c r="AD60" s="147">
        <v>0</v>
      </c>
      <c r="AE60" s="924">
        <f t="shared" si="38"/>
        <v>0</v>
      </c>
      <c r="AG60" s="66">
        <f t="shared" si="17"/>
        <v>0</v>
      </c>
      <c r="AH60" s="139">
        <f t="shared" si="18"/>
        <v>0</v>
      </c>
      <c r="AI60" s="137">
        <f t="shared" si="19"/>
        <v>0</v>
      </c>
      <c r="AK60" s="66">
        <v>0</v>
      </c>
      <c r="AL60" s="66">
        <v>0</v>
      </c>
      <c r="AM60" s="66">
        <v>0</v>
      </c>
      <c r="AN60" s="66">
        <v>0</v>
      </c>
      <c r="AO60" s="66">
        <v>0</v>
      </c>
      <c r="AP60" s="66">
        <v>0</v>
      </c>
      <c r="AQ60" s="69"/>
      <c r="AR60" s="66">
        <v>0</v>
      </c>
      <c r="AS60" s="66">
        <v>0</v>
      </c>
      <c r="AT60" s="66">
        <v>0</v>
      </c>
      <c r="AU60" s="66">
        <v>0</v>
      </c>
      <c r="AV60" s="66">
        <v>0</v>
      </c>
      <c r="AW60" s="66">
        <v>0</v>
      </c>
      <c r="AX60" s="66">
        <v>0</v>
      </c>
      <c r="AY60" s="66">
        <v>0</v>
      </c>
      <c r="AZ60" s="66">
        <f t="array" ref="AZ60">SUMIF($W$2:$AD$2,"&gt;"&amp;0,AR60:AY60)</f>
        <v>0</v>
      </c>
      <c r="BA60" s="67">
        <f t="shared" si="20"/>
        <v>0</v>
      </c>
      <c r="BC60" s="71">
        <f t="shared" si="21"/>
        <v>0</v>
      </c>
      <c r="BD60" s="957"/>
      <c r="BE60" s="70"/>
      <c r="BF60" s="66">
        <v>0</v>
      </c>
      <c r="BG60" s="66">
        <v>0</v>
      </c>
      <c r="BH60" s="66">
        <v>0</v>
      </c>
      <c r="BI60" s="66">
        <v>0</v>
      </c>
      <c r="BJ60" s="66">
        <v>0</v>
      </c>
      <c r="BK60" s="66">
        <v>0</v>
      </c>
      <c r="BL60" s="66">
        <v>0</v>
      </c>
      <c r="BM60" s="66">
        <v>0</v>
      </c>
      <c r="BN60" s="67">
        <f t="shared" si="39"/>
        <v>0</v>
      </c>
      <c r="BO60" s="68">
        <f t="shared" si="40"/>
        <v>0</v>
      </c>
      <c r="BP60" s="69"/>
      <c r="BQ60" s="133">
        <f t="shared" si="23"/>
        <v>0</v>
      </c>
      <c r="BR60" s="69"/>
      <c r="BS60" s="133">
        <f t="shared" si="24"/>
        <v>0</v>
      </c>
      <c r="BT60" s="133">
        <f t="shared" si="25"/>
        <v>0</v>
      </c>
      <c r="BU60" s="133">
        <f t="shared" si="26"/>
        <v>0</v>
      </c>
      <c r="BV60" s="133">
        <f t="shared" si="27"/>
        <v>0</v>
      </c>
      <c r="BW60" s="133">
        <f t="shared" si="28"/>
        <v>0</v>
      </c>
      <c r="BX60" s="144">
        <f t="shared" si="29"/>
        <v>0</v>
      </c>
      <c r="BY60" s="69"/>
      <c r="BZ60" s="133">
        <f t="shared" si="30"/>
        <v>0</v>
      </c>
      <c r="CA60" s="133">
        <f t="shared" si="31"/>
        <v>0</v>
      </c>
      <c r="CB60" s="133">
        <f t="shared" si="32"/>
        <v>0</v>
      </c>
      <c r="CC60" s="133">
        <f t="shared" si="33"/>
        <v>0</v>
      </c>
      <c r="CD60" s="133">
        <f t="shared" si="34"/>
        <v>0</v>
      </c>
      <c r="CE60" s="144">
        <f t="shared" si="35"/>
        <v>0</v>
      </c>
      <c r="CF60" s="133">
        <f t="shared" si="36"/>
        <v>0</v>
      </c>
      <c r="CG60" s="133">
        <f t="shared" si="37"/>
        <v>0</v>
      </c>
      <c r="CH60" s="145">
        <f t="shared" si="41"/>
        <v>0</v>
      </c>
    </row>
    <row r="61" spans="2:86" ht="14.1" customHeight="1" x14ac:dyDescent="0.25">
      <c r="B61" s="133" t="s">
        <v>1329</v>
      </c>
      <c r="C61" s="133" t="s">
        <v>1330</v>
      </c>
      <c r="D61" s="934" t="s">
        <v>1353</v>
      </c>
      <c r="E61" s="133" t="s">
        <v>1549</v>
      </c>
      <c r="F61" s="66"/>
      <c r="G61" s="66">
        <f>_xlfn.IFNA(INDEX(NewRecipeTable[Percentage Yield],MATCH(E61,NewRecipeTable[ShortCode],0)),0)</f>
        <v>31.5</v>
      </c>
      <c r="H61" s="146">
        <v>1570</v>
      </c>
      <c r="I61" s="66" t="str">
        <v>No</v>
      </c>
      <c r="J61" s="133" t="s">
        <v>244</v>
      </c>
      <c r="K61" s="133">
        <f>_xlfn.IFNA(INDEX(Middles!$G$8:$G$88,MATCH($E$8:$E$62,ActivatedRecipe,0)),0)</f>
        <v>0</v>
      </c>
      <c r="L61" s="66">
        <f t="shared" si="9"/>
        <v>0</v>
      </c>
      <c r="M61" s="133">
        <f>_xlfn.IFNA(INDEX(Middles!$H$8:$H$88,MATCH($E$8:$E$62,ActivatedRecipe,0)),0)</f>
        <v>0</v>
      </c>
      <c r="O61" s="92" t="s">
        <v>639</v>
      </c>
      <c r="P61" s="147">
        <f t="shared" si="10"/>
        <v>0</v>
      </c>
      <c r="Q61" s="147">
        <f t="shared" si="11"/>
        <v>0</v>
      </c>
      <c r="R61" s="147">
        <f t="shared" si="12"/>
        <v>0</v>
      </c>
      <c r="S61" s="147">
        <f t="shared" si="13"/>
        <v>0</v>
      </c>
      <c r="T61" s="147">
        <f t="shared" si="14"/>
        <v>0</v>
      </c>
      <c r="U61" s="147">
        <f t="shared" si="15"/>
        <v>0</v>
      </c>
      <c r="W61" s="147">
        <v>0</v>
      </c>
      <c r="X61" s="147">
        <v>0</v>
      </c>
      <c r="Y61" s="147">
        <v>0</v>
      </c>
      <c r="Z61" s="147">
        <v>0</v>
      </c>
      <c r="AA61" s="147">
        <v>0</v>
      </c>
      <c r="AB61" s="147">
        <v>0</v>
      </c>
      <c r="AC61" s="147">
        <v>0</v>
      </c>
      <c r="AD61" s="147">
        <v>0</v>
      </c>
      <c r="AE61" s="924">
        <f t="shared" si="38"/>
        <v>0</v>
      </c>
      <c r="AG61" s="66">
        <f t="shared" si="17"/>
        <v>0</v>
      </c>
      <c r="AH61" s="139">
        <f t="shared" si="18"/>
        <v>0</v>
      </c>
      <c r="AI61" s="137">
        <f t="shared" si="19"/>
        <v>0</v>
      </c>
      <c r="AK61" s="66">
        <v>0</v>
      </c>
      <c r="AL61" s="66">
        <v>0</v>
      </c>
      <c r="AM61" s="66">
        <v>0</v>
      </c>
      <c r="AN61" s="66">
        <v>0</v>
      </c>
      <c r="AO61" s="66">
        <v>0</v>
      </c>
      <c r="AP61" s="66">
        <v>0</v>
      </c>
      <c r="AQ61" s="69"/>
      <c r="AR61" s="66">
        <v>0</v>
      </c>
      <c r="AS61" s="66">
        <v>0</v>
      </c>
      <c r="AT61" s="66">
        <v>0</v>
      </c>
      <c r="AU61" s="66">
        <v>0</v>
      </c>
      <c r="AV61" s="66">
        <v>0</v>
      </c>
      <c r="AW61" s="66">
        <v>0</v>
      </c>
      <c r="AX61" s="66">
        <v>0</v>
      </c>
      <c r="AY61" s="66">
        <v>0</v>
      </c>
      <c r="AZ61" s="66">
        <f t="array" ref="AZ61">SUMIF($W$2:$AD$2,"&gt;"&amp;0,AR61:AY61)</f>
        <v>0</v>
      </c>
      <c r="BA61" s="67">
        <f t="shared" si="20"/>
        <v>0</v>
      </c>
      <c r="BC61" s="71">
        <f t="shared" si="21"/>
        <v>0</v>
      </c>
      <c r="BD61" s="957"/>
      <c r="BE61" s="70"/>
      <c r="BF61" s="66">
        <v>0</v>
      </c>
      <c r="BG61" s="66">
        <v>0</v>
      </c>
      <c r="BH61" s="66">
        <v>0</v>
      </c>
      <c r="BI61" s="66">
        <v>0</v>
      </c>
      <c r="BJ61" s="66">
        <v>0</v>
      </c>
      <c r="BK61" s="66">
        <v>0</v>
      </c>
      <c r="BL61" s="66">
        <v>0</v>
      </c>
      <c r="BM61" s="66">
        <v>0</v>
      </c>
      <c r="BN61" s="67">
        <f t="shared" si="39"/>
        <v>0</v>
      </c>
      <c r="BO61" s="68">
        <f t="shared" si="40"/>
        <v>0</v>
      </c>
      <c r="BP61" s="69"/>
      <c r="BQ61" s="133">
        <f t="shared" si="23"/>
        <v>0</v>
      </c>
      <c r="BR61" s="69"/>
      <c r="BS61" s="133">
        <f t="shared" si="24"/>
        <v>0</v>
      </c>
      <c r="BT61" s="133">
        <f t="shared" si="25"/>
        <v>0</v>
      </c>
      <c r="BU61" s="133">
        <f t="shared" si="26"/>
        <v>0</v>
      </c>
      <c r="BV61" s="133">
        <f t="shared" si="27"/>
        <v>0</v>
      </c>
      <c r="BW61" s="133">
        <f t="shared" si="28"/>
        <v>0</v>
      </c>
      <c r="BX61" s="144">
        <f t="shared" si="29"/>
        <v>0</v>
      </c>
      <c r="BY61" s="69"/>
      <c r="BZ61" s="133">
        <f t="shared" si="30"/>
        <v>0</v>
      </c>
      <c r="CA61" s="133">
        <f t="shared" si="31"/>
        <v>0</v>
      </c>
      <c r="CB61" s="133">
        <f t="shared" si="32"/>
        <v>0</v>
      </c>
      <c r="CC61" s="133">
        <f t="shared" si="33"/>
        <v>0</v>
      </c>
      <c r="CD61" s="133">
        <f t="shared" si="34"/>
        <v>0</v>
      </c>
      <c r="CE61" s="144">
        <f t="shared" si="35"/>
        <v>0</v>
      </c>
      <c r="CF61" s="133">
        <f t="shared" si="36"/>
        <v>0</v>
      </c>
      <c r="CG61" s="133">
        <f t="shared" si="37"/>
        <v>0</v>
      </c>
      <c r="CH61" s="145">
        <f t="shared" si="41"/>
        <v>0</v>
      </c>
    </row>
    <row r="62" spans="2:86" ht="14.1" customHeight="1" x14ac:dyDescent="0.25">
      <c r="B62" s="133" t="s">
        <v>1329</v>
      </c>
      <c r="C62" s="133" t="s">
        <v>1330</v>
      </c>
      <c r="D62" s="934" t="s">
        <v>1377</v>
      </c>
      <c r="E62" s="133" t="s">
        <v>1550</v>
      </c>
      <c r="F62" s="66"/>
      <c r="G62" s="66">
        <f>_xlfn.IFNA(INDEX(NewRecipeTable[Percentage Yield],MATCH(E62,NewRecipeTable[ShortCode],0)),0)</f>
        <v>24.12</v>
      </c>
      <c r="H62" s="146">
        <v>1570</v>
      </c>
      <c r="I62" s="66" t="str">
        <v>No</v>
      </c>
      <c r="J62" s="133" t="s">
        <v>244</v>
      </c>
      <c r="K62" s="133">
        <f>_xlfn.IFNA(INDEX(Middles!$G$8:$G$88,MATCH($E$8:$E$62,ActivatedRecipe,0)),0)</f>
        <v>0</v>
      </c>
      <c r="L62" s="66">
        <f t="shared" si="9"/>
        <v>0</v>
      </c>
      <c r="M62" s="133">
        <f>_xlfn.IFNA(INDEX(Middles!$H$8:$H$88,MATCH($E$8:$E$62,ActivatedRecipe,0)),0)</f>
        <v>0</v>
      </c>
      <c r="O62" s="92" t="s">
        <v>639</v>
      </c>
      <c r="P62" s="147">
        <f t="shared" si="10"/>
        <v>0</v>
      </c>
      <c r="Q62" s="147">
        <f t="shared" si="11"/>
        <v>0</v>
      </c>
      <c r="R62" s="147">
        <f t="shared" si="12"/>
        <v>0</v>
      </c>
      <c r="S62" s="147">
        <f t="shared" si="13"/>
        <v>0</v>
      </c>
      <c r="T62" s="147">
        <f t="shared" si="14"/>
        <v>0</v>
      </c>
      <c r="U62" s="147">
        <f t="shared" si="15"/>
        <v>0</v>
      </c>
      <c r="W62" s="147">
        <v>0</v>
      </c>
      <c r="X62" s="147">
        <v>0</v>
      </c>
      <c r="Y62" s="147">
        <v>0</v>
      </c>
      <c r="Z62" s="147">
        <v>0</v>
      </c>
      <c r="AA62" s="147">
        <v>0</v>
      </c>
      <c r="AB62" s="147">
        <v>0</v>
      </c>
      <c r="AC62" s="147">
        <v>0</v>
      </c>
      <c r="AD62" s="147">
        <v>0</v>
      </c>
      <c r="AE62" s="924">
        <f t="shared" si="38"/>
        <v>0</v>
      </c>
      <c r="AG62" s="66">
        <f t="shared" si="17"/>
        <v>0</v>
      </c>
      <c r="AH62" s="139">
        <f t="shared" si="18"/>
        <v>0</v>
      </c>
      <c r="AI62" s="137">
        <f t="shared" si="19"/>
        <v>0</v>
      </c>
      <c r="AK62" s="66">
        <v>0</v>
      </c>
      <c r="AL62" s="66">
        <v>0</v>
      </c>
      <c r="AM62" s="66">
        <v>0</v>
      </c>
      <c r="AN62" s="66">
        <v>0</v>
      </c>
      <c r="AO62" s="66">
        <v>0</v>
      </c>
      <c r="AP62" s="66">
        <v>0</v>
      </c>
      <c r="AQ62" s="69"/>
      <c r="AR62" s="66">
        <v>0</v>
      </c>
      <c r="AS62" s="66">
        <v>0</v>
      </c>
      <c r="AT62" s="66">
        <v>0</v>
      </c>
      <c r="AU62" s="66">
        <v>0</v>
      </c>
      <c r="AV62" s="66">
        <v>0</v>
      </c>
      <c r="AW62" s="66">
        <v>0</v>
      </c>
      <c r="AX62" s="66">
        <v>0</v>
      </c>
      <c r="AY62" s="66">
        <v>0</v>
      </c>
      <c r="AZ62" s="66">
        <f t="array" ref="AZ62">SUMIF($W$2:$AD$2,"&gt;"&amp;0,AR62:AY62)</f>
        <v>0</v>
      </c>
      <c r="BA62" s="67">
        <f t="shared" si="20"/>
        <v>0</v>
      </c>
      <c r="BC62" s="71">
        <f t="shared" si="21"/>
        <v>0</v>
      </c>
      <c r="BD62" s="957"/>
      <c r="BE62" s="70"/>
      <c r="BF62" s="66">
        <v>0</v>
      </c>
      <c r="BG62" s="66">
        <v>0</v>
      </c>
      <c r="BH62" s="66">
        <v>0</v>
      </c>
      <c r="BI62" s="66">
        <v>0</v>
      </c>
      <c r="BJ62" s="66">
        <v>0</v>
      </c>
      <c r="BK62" s="66">
        <v>0</v>
      </c>
      <c r="BL62" s="66">
        <v>0</v>
      </c>
      <c r="BM62" s="66">
        <v>0</v>
      </c>
      <c r="BN62" s="67">
        <f t="shared" si="39"/>
        <v>0</v>
      </c>
      <c r="BO62" s="68">
        <f t="shared" si="40"/>
        <v>0</v>
      </c>
      <c r="BP62" s="69"/>
      <c r="BQ62" s="133">
        <f t="shared" si="23"/>
        <v>0</v>
      </c>
      <c r="BR62" s="69"/>
      <c r="BS62" s="133">
        <f t="shared" si="24"/>
        <v>0</v>
      </c>
      <c r="BT62" s="133">
        <f t="shared" si="25"/>
        <v>0</v>
      </c>
      <c r="BU62" s="133">
        <f t="shared" si="26"/>
        <v>0</v>
      </c>
      <c r="BV62" s="133">
        <f t="shared" si="27"/>
        <v>0</v>
      </c>
      <c r="BW62" s="133">
        <f t="shared" si="28"/>
        <v>0</v>
      </c>
      <c r="BX62" s="144">
        <f t="shared" si="29"/>
        <v>0</v>
      </c>
      <c r="BY62" s="69"/>
      <c r="BZ62" s="133">
        <f t="shared" si="30"/>
        <v>0</v>
      </c>
      <c r="CA62" s="133">
        <f t="shared" si="31"/>
        <v>0</v>
      </c>
      <c r="CB62" s="133">
        <f t="shared" si="32"/>
        <v>0</v>
      </c>
      <c r="CC62" s="133">
        <f t="shared" si="33"/>
        <v>0</v>
      </c>
      <c r="CD62" s="133">
        <f t="shared" si="34"/>
        <v>0</v>
      </c>
      <c r="CE62" s="144">
        <f t="shared" si="35"/>
        <v>0</v>
      </c>
      <c r="CF62" s="133">
        <f t="shared" si="36"/>
        <v>0</v>
      </c>
      <c r="CG62" s="133">
        <f t="shared" si="37"/>
        <v>0</v>
      </c>
      <c r="CH62" s="145">
        <f t="shared" si="41"/>
        <v>0</v>
      </c>
    </row>
    <row r="63" spans="2:86" ht="14.1" customHeight="1" x14ac:dyDescent="0.25">
      <c r="D63" s="8"/>
      <c r="BD63" s="959"/>
    </row>
    <row r="64" spans="2:86" ht="14.1" customHeight="1" thickBot="1" x14ac:dyDescent="0.3">
      <c r="D64" s="8"/>
      <c r="K64" s="1028">
        <f>SUM(K8:K63)</f>
        <v>889</v>
      </c>
      <c r="L64" s="1028">
        <f t="shared" ref="L64:M64" si="42">SUM(L8:L63)</f>
        <v>10659.5</v>
      </c>
      <c r="M64" s="1028">
        <f t="shared" si="42"/>
        <v>3044.7</v>
      </c>
      <c r="P64" s="1031">
        <f>SUM(P8:P62)</f>
        <v>0</v>
      </c>
      <c r="Q64" s="1031">
        <f t="shared" ref="Q64:U64" si="43">SUM(Q8:Q62)</f>
        <v>0</v>
      </c>
      <c r="R64" s="1031">
        <f t="shared" si="43"/>
        <v>0</v>
      </c>
      <c r="S64" s="1031">
        <f t="shared" si="43"/>
        <v>0</v>
      </c>
      <c r="T64" s="1031">
        <f t="shared" si="43"/>
        <v>1205.4079999999999</v>
      </c>
      <c r="U64" s="1031">
        <f t="shared" si="43"/>
        <v>0</v>
      </c>
      <c r="W64" s="945">
        <f>SUM(W8:W62)</f>
        <v>759.49199266600147</v>
      </c>
      <c r="X64" s="945">
        <f t="shared" ref="X64:AE64" si="44">SUM(X8:X62)</f>
        <v>2020.6090145577862</v>
      </c>
      <c r="Y64" s="945">
        <f t="shared" si="44"/>
        <v>958.90000000000009</v>
      </c>
      <c r="Z64" s="945">
        <f t="shared" si="44"/>
        <v>140.37585524251165</v>
      </c>
      <c r="AA64" s="945">
        <f t="shared" si="44"/>
        <v>0</v>
      </c>
      <c r="AB64" s="945">
        <f t="shared" si="44"/>
        <v>430.30000000000007</v>
      </c>
      <c r="AC64" s="945">
        <f t="shared" si="44"/>
        <v>502.9893749494118</v>
      </c>
      <c r="AD64" s="945">
        <f t="shared" si="44"/>
        <v>0</v>
      </c>
      <c r="AE64" s="945">
        <f t="shared" si="44"/>
        <v>6018.0742374157107</v>
      </c>
      <c r="BD64" s="959"/>
    </row>
    <row r="65" spans="4:66" ht="14.1" customHeight="1" thickTop="1" x14ac:dyDescent="0.25">
      <c r="D65" s="8"/>
      <c r="BD65" s="959"/>
    </row>
    <row r="66" spans="4:66" ht="14.1" customHeight="1" x14ac:dyDescent="0.25">
      <c r="D66" s="8"/>
      <c r="BD66" s="959"/>
    </row>
    <row r="67" spans="4:66" ht="14.1" customHeight="1" x14ac:dyDescent="0.25">
      <c r="D67" s="8"/>
      <c r="BD67" s="959"/>
    </row>
    <row r="68" spans="4:66" ht="14.1" hidden="1" customHeight="1" outlineLevel="1" thickBot="1" x14ac:dyDescent="0.3">
      <c r="D68" s="8"/>
      <c r="W68" s="1080">
        <f t="array" ref="W68:AD68">$BF$68:$BM$68</f>
        <v>0</v>
      </c>
      <c r="X68" s="1080">
        <v>0</v>
      </c>
      <c r="Y68" s="1080" t="str">
        <v>*</v>
      </c>
      <c r="Z68" s="1080">
        <v>0</v>
      </c>
      <c r="AA68" s="1080" t="str">
        <v>*</v>
      </c>
      <c r="AB68" s="1080" t="str">
        <v>*</v>
      </c>
      <c r="AC68" s="1080">
        <v>0</v>
      </c>
      <c r="AD68" s="1080">
        <v>0</v>
      </c>
      <c r="BD68" s="959"/>
      <c r="BH68" t="s">
        <v>1553</v>
      </c>
      <c r="BJ68" t="s">
        <v>1553</v>
      </c>
      <c r="BK68" t="s">
        <v>1553</v>
      </c>
    </row>
    <row r="69" spans="4:66" ht="16.5" hidden="1" outlineLevel="1" thickTop="1" thickBot="1" x14ac:dyDescent="0.3">
      <c r="D69" s="8"/>
      <c r="K69" s="1028"/>
      <c r="L69" s="1028"/>
      <c r="M69" s="1028"/>
      <c r="W69" s="55" t="s">
        <v>4</v>
      </c>
      <c r="X69" s="55" t="s">
        <v>6</v>
      </c>
      <c r="Y69" s="55" t="s">
        <v>142</v>
      </c>
      <c r="Z69" s="55" t="s">
        <v>3</v>
      </c>
      <c r="AA69" s="55" t="s">
        <v>5</v>
      </c>
      <c r="AB69" s="55" t="s">
        <v>143</v>
      </c>
      <c r="AC69" s="55" t="s">
        <v>260</v>
      </c>
      <c r="AD69" s="56" t="s">
        <v>56</v>
      </c>
      <c r="AE69" s="56"/>
      <c r="AF69" s="56"/>
      <c r="BD69" s="959"/>
      <c r="BF69" s="55" t="s">
        <v>4</v>
      </c>
      <c r="BG69" s="55" t="s">
        <v>6</v>
      </c>
      <c r="BH69" s="55" t="s">
        <v>142</v>
      </c>
      <c r="BI69" s="55" t="s">
        <v>3</v>
      </c>
      <c r="BJ69" s="55" t="s">
        <v>5</v>
      </c>
      <c r="BK69" s="55" t="s">
        <v>143</v>
      </c>
      <c r="BL69" s="55" t="s">
        <v>260</v>
      </c>
      <c r="BM69" s="56" t="s">
        <v>56</v>
      </c>
      <c r="BN69" s="56"/>
    </row>
    <row r="70" spans="4:66" ht="48" hidden="1" customHeight="1" outlineLevel="1" thickTop="1" x14ac:dyDescent="0.25">
      <c r="D70" s="8"/>
      <c r="V70" s="73" t="s">
        <v>57</v>
      </c>
      <c r="W70" s="73" t="s">
        <v>265</v>
      </c>
      <c r="X70" s="73" t="s">
        <v>60</v>
      </c>
      <c r="Y70" s="73" t="s">
        <v>263</v>
      </c>
      <c r="Z70" s="73" t="s">
        <v>58</v>
      </c>
      <c r="AA70" s="73" t="s">
        <v>59</v>
      </c>
      <c r="AB70" s="73" t="s">
        <v>264</v>
      </c>
      <c r="AC70" s="73" t="s">
        <v>261</v>
      </c>
      <c r="AD70" s="75" t="s">
        <v>246</v>
      </c>
      <c r="AE70" s="76" t="s">
        <v>597</v>
      </c>
      <c r="AF70" s="76" t="s">
        <v>1554</v>
      </c>
      <c r="BD70" s="959"/>
      <c r="BE70" s="73" t="s">
        <v>57</v>
      </c>
      <c r="BF70" s="73" t="s">
        <v>265</v>
      </c>
      <c r="BG70" s="73" t="s">
        <v>60</v>
      </c>
      <c r="BH70" s="73" t="s">
        <v>263</v>
      </c>
      <c r="BI70" s="73" t="s">
        <v>58</v>
      </c>
      <c r="BJ70" s="73" t="s">
        <v>59</v>
      </c>
      <c r="BK70" s="73" t="s">
        <v>264</v>
      </c>
      <c r="BL70" s="73" t="s">
        <v>261</v>
      </c>
      <c r="BM70" s="75" t="s">
        <v>246</v>
      </c>
      <c r="BN70" s="76" t="s">
        <v>597</v>
      </c>
    </row>
    <row r="71" spans="4:66" ht="14.1" hidden="1" customHeight="1" outlineLevel="1" x14ac:dyDescent="0.25">
      <c r="D71" s="8"/>
      <c r="V71" s="933" t="s">
        <v>1320</v>
      </c>
      <c r="W71" s="147">
        <f t="array" ref="W71:AD125">IF($K$8:$K$62=0,0,$K$8:$K$62/$K$64*100)*IF(AR8:AY62=0,0,(AR8:AY62/$BA$8:$BA$62))</f>
        <v>0</v>
      </c>
      <c r="X71" s="147">
        <v>0</v>
      </c>
      <c r="Y71" s="147">
        <v>0</v>
      </c>
      <c r="Z71" s="147">
        <v>0</v>
      </c>
      <c r="AA71" s="147">
        <v>0</v>
      </c>
      <c r="AB71" s="147">
        <v>0</v>
      </c>
      <c r="AC71" s="147">
        <v>0</v>
      </c>
      <c r="AD71" s="147">
        <v>0</v>
      </c>
      <c r="AE71" s="924">
        <f>SUM(W71:AD71)</f>
        <v>0</v>
      </c>
      <c r="AF71" s="924">
        <f>SUM(X71:AE71)</f>
        <v>0</v>
      </c>
      <c r="BD71" s="959"/>
      <c r="BE71" s="933" t="s">
        <v>1320</v>
      </c>
      <c r="BF71" s="147">
        <f t="array" ref="BF71:BM125">IF($BF$68:$BM$68&lt;&gt;0,0,$BD$8:$BD$62*$W$127:$AD$127/$AF$127)</f>
        <v>0</v>
      </c>
      <c r="BG71" s="147">
        <v>0</v>
      </c>
      <c r="BH71" s="147">
        <v>0</v>
      </c>
      <c r="BI71" s="147">
        <v>0</v>
      </c>
      <c r="BJ71" s="147">
        <v>0</v>
      </c>
      <c r="BK71" s="147">
        <v>0</v>
      </c>
      <c r="BL71" s="147">
        <v>0</v>
      </c>
      <c r="BM71" s="147">
        <v>0</v>
      </c>
      <c r="BN71" s="924">
        <f>SUM(BF71:BM71)</f>
        <v>0</v>
      </c>
    </row>
    <row r="72" spans="4:66" ht="14.1" hidden="1" customHeight="1" outlineLevel="1" x14ac:dyDescent="0.25">
      <c r="D72" s="8"/>
      <c r="V72" s="934" t="s">
        <v>1345</v>
      </c>
      <c r="W72" s="147">
        <v>0</v>
      </c>
      <c r="X72" s="147">
        <v>0</v>
      </c>
      <c r="Y72" s="147">
        <v>0</v>
      </c>
      <c r="Z72" s="147">
        <v>0</v>
      </c>
      <c r="AA72" s="147">
        <v>0</v>
      </c>
      <c r="AB72" s="147">
        <v>0</v>
      </c>
      <c r="AC72" s="147">
        <v>0</v>
      </c>
      <c r="AD72" s="147">
        <v>0</v>
      </c>
      <c r="AE72" s="924">
        <f t="shared" ref="AE72:AF107" si="45">SUM(W72:AD72)</f>
        <v>0</v>
      </c>
      <c r="AF72" s="924">
        <f t="shared" si="45"/>
        <v>0</v>
      </c>
      <c r="BD72" s="959"/>
      <c r="BE72" s="934" t="s">
        <v>1345</v>
      </c>
      <c r="BF72" s="147">
        <v>0</v>
      </c>
      <c r="BG72" s="147">
        <v>0</v>
      </c>
      <c r="BH72" s="147">
        <v>0</v>
      </c>
      <c r="BI72" s="147">
        <v>0</v>
      </c>
      <c r="BJ72" s="147">
        <v>0</v>
      </c>
      <c r="BK72" s="147">
        <v>0</v>
      </c>
      <c r="BL72" s="147">
        <v>0</v>
      </c>
      <c r="BM72" s="147">
        <v>0</v>
      </c>
      <c r="BN72" s="924">
        <f t="shared" ref="BN72:BN125" si="46">SUM(BF72:BM72)</f>
        <v>0</v>
      </c>
    </row>
    <row r="73" spans="4:66" ht="14.1" hidden="1" customHeight="1" outlineLevel="1" x14ac:dyDescent="0.25">
      <c r="D73" s="8"/>
      <c r="V73" s="934" t="s">
        <v>1347</v>
      </c>
      <c r="W73" s="147">
        <v>0</v>
      </c>
      <c r="X73" s="147">
        <v>0</v>
      </c>
      <c r="Y73" s="147">
        <v>0</v>
      </c>
      <c r="Z73" s="147">
        <v>0</v>
      </c>
      <c r="AA73" s="147">
        <v>0</v>
      </c>
      <c r="AB73" s="147">
        <v>0</v>
      </c>
      <c r="AC73" s="147">
        <v>0</v>
      </c>
      <c r="AD73" s="147">
        <v>0</v>
      </c>
      <c r="AE73" s="924">
        <f t="shared" si="45"/>
        <v>0</v>
      </c>
      <c r="AF73" s="924">
        <f t="shared" si="45"/>
        <v>0</v>
      </c>
      <c r="BD73" s="959"/>
      <c r="BE73" s="934" t="s">
        <v>1347</v>
      </c>
      <c r="BF73" s="147">
        <v>0</v>
      </c>
      <c r="BG73" s="147">
        <v>0</v>
      </c>
      <c r="BH73" s="147">
        <v>0</v>
      </c>
      <c r="BI73" s="147">
        <v>0</v>
      </c>
      <c r="BJ73" s="147">
        <v>0</v>
      </c>
      <c r="BK73" s="147">
        <v>0</v>
      </c>
      <c r="BL73" s="147">
        <v>0</v>
      </c>
      <c r="BM73" s="147">
        <v>0</v>
      </c>
      <c r="BN73" s="924">
        <f t="shared" si="46"/>
        <v>0</v>
      </c>
    </row>
    <row r="74" spans="4:66" ht="14.1" hidden="1" customHeight="1" outlineLevel="1" x14ac:dyDescent="0.25">
      <c r="D74" s="8"/>
      <c r="V74" s="934" t="s">
        <v>552</v>
      </c>
      <c r="W74" s="147">
        <v>11.52103487064117</v>
      </c>
      <c r="X74" s="147">
        <v>7.760359955005625</v>
      </c>
      <c r="Y74" s="147">
        <v>2.9278740157480314</v>
      </c>
      <c r="Z74" s="147">
        <v>1.1465016872890887</v>
      </c>
      <c r="AA74" s="147">
        <v>0</v>
      </c>
      <c r="AB74" s="147">
        <v>2.3415523059617542</v>
      </c>
      <c r="AC74" s="147">
        <v>2.2481889763779526</v>
      </c>
      <c r="AD74" s="147">
        <v>3.7345331833520813E-3</v>
      </c>
      <c r="AE74" s="924">
        <f t="shared" si="45"/>
        <v>27.949246344206976</v>
      </c>
      <c r="AF74" s="924">
        <f t="shared" si="45"/>
        <v>44.377457817772779</v>
      </c>
      <c r="BD74" s="959"/>
      <c r="BE74" s="934" t="s">
        <v>552</v>
      </c>
      <c r="BF74" s="147">
        <v>-51.838133124309721</v>
      </c>
      <c r="BG74" s="147">
        <v>-53.861189254037939</v>
      </c>
      <c r="BH74" s="147">
        <v>0</v>
      </c>
      <c r="BI74" s="147">
        <v>-6.5192973643300949</v>
      </c>
      <c r="BJ74" s="147">
        <v>0</v>
      </c>
      <c r="BK74" s="147">
        <v>0</v>
      </c>
      <c r="BL74" s="147">
        <v>-23.914288414349198</v>
      </c>
      <c r="BM74" s="147">
        <v>-7.5511842973059032E-2</v>
      </c>
      <c r="BN74" s="924">
        <f t="shared" si="46"/>
        <v>-136.20842000000002</v>
      </c>
    </row>
    <row r="75" spans="4:66" ht="14.1" hidden="1" customHeight="1" outlineLevel="1" x14ac:dyDescent="0.25">
      <c r="D75" s="8"/>
      <c r="V75" s="934" t="s">
        <v>556</v>
      </c>
      <c r="W75" s="147">
        <v>0</v>
      </c>
      <c r="X75" s="147">
        <v>0</v>
      </c>
      <c r="Y75" s="147">
        <v>0</v>
      </c>
      <c r="Z75" s="147">
        <v>0</v>
      </c>
      <c r="AA75" s="147">
        <v>0</v>
      </c>
      <c r="AB75" s="147">
        <v>0</v>
      </c>
      <c r="AC75" s="147">
        <v>0</v>
      </c>
      <c r="AD75" s="147">
        <v>0</v>
      </c>
      <c r="AE75" s="924">
        <f t="shared" si="45"/>
        <v>0</v>
      </c>
      <c r="AF75" s="924">
        <f t="shared" si="45"/>
        <v>0</v>
      </c>
      <c r="BD75" s="959"/>
      <c r="BE75" s="934" t="s">
        <v>556</v>
      </c>
      <c r="BF75" s="147">
        <v>0</v>
      </c>
      <c r="BG75" s="147">
        <v>0</v>
      </c>
      <c r="BH75" s="147">
        <v>0</v>
      </c>
      <c r="BI75" s="147">
        <v>0</v>
      </c>
      <c r="BJ75" s="147">
        <v>0</v>
      </c>
      <c r="BK75" s="147">
        <v>0</v>
      </c>
      <c r="BL75" s="147">
        <v>0</v>
      </c>
      <c r="BM75" s="147">
        <v>0</v>
      </c>
      <c r="BN75" s="924">
        <f t="shared" si="46"/>
        <v>0</v>
      </c>
    </row>
    <row r="76" spans="4:66" ht="14.1" hidden="1" customHeight="1" outlineLevel="1" x14ac:dyDescent="0.25">
      <c r="D76" s="8"/>
      <c r="V76" s="934" t="s">
        <v>558</v>
      </c>
      <c r="W76" s="147">
        <v>0</v>
      </c>
      <c r="X76" s="147">
        <v>0</v>
      </c>
      <c r="Y76" s="147">
        <v>0</v>
      </c>
      <c r="Z76" s="147">
        <v>0</v>
      </c>
      <c r="AA76" s="147">
        <v>0</v>
      </c>
      <c r="AB76" s="147">
        <v>0</v>
      </c>
      <c r="AC76" s="147">
        <v>0</v>
      </c>
      <c r="AD76" s="147">
        <v>0</v>
      </c>
      <c r="AE76" s="924">
        <f t="shared" si="45"/>
        <v>0</v>
      </c>
      <c r="AF76" s="924">
        <f t="shared" si="45"/>
        <v>0</v>
      </c>
      <c r="BD76" s="959"/>
      <c r="BE76" s="934" t="s">
        <v>558</v>
      </c>
      <c r="BF76" s="147">
        <v>0</v>
      </c>
      <c r="BG76" s="147">
        <v>0</v>
      </c>
      <c r="BH76" s="147">
        <v>0</v>
      </c>
      <c r="BI76" s="147">
        <v>0</v>
      </c>
      <c r="BJ76" s="147">
        <v>0</v>
      </c>
      <c r="BK76" s="147">
        <v>0</v>
      </c>
      <c r="BL76" s="147">
        <v>0</v>
      </c>
      <c r="BM76" s="147">
        <v>0</v>
      </c>
      <c r="BN76" s="924">
        <f t="shared" si="46"/>
        <v>0</v>
      </c>
    </row>
    <row r="77" spans="4:66" ht="14.1" hidden="1" customHeight="1" outlineLevel="1" x14ac:dyDescent="0.25">
      <c r="D77" s="8"/>
      <c r="V77" s="934" t="s">
        <v>560</v>
      </c>
      <c r="W77" s="147">
        <v>0</v>
      </c>
      <c r="X77" s="147">
        <v>0</v>
      </c>
      <c r="Y77" s="147">
        <v>0</v>
      </c>
      <c r="Z77" s="147">
        <v>0</v>
      </c>
      <c r="AA77" s="147">
        <v>0</v>
      </c>
      <c r="AB77" s="147">
        <v>0</v>
      </c>
      <c r="AC77" s="147">
        <v>0</v>
      </c>
      <c r="AD77" s="147">
        <v>0</v>
      </c>
      <c r="AE77" s="924">
        <f t="shared" si="45"/>
        <v>0</v>
      </c>
      <c r="AF77" s="924">
        <f t="shared" si="45"/>
        <v>0</v>
      </c>
      <c r="BD77" s="959"/>
      <c r="BE77" s="934" t="s">
        <v>560</v>
      </c>
      <c r="BF77" s="147">
        <v>0</v>
      </c>
      <c r="BG77" s="147">
        <v>0</v>
      </c>
      <c r="BH77" s="147">
        <v>0</v>
      </c>
      <c r="BI77" s="147">
        <v>0</v>
      </c>
      <c r="BJ77" s="147">
        <v>0</v>
      </c>
      <c r="BK77" s="147">
        <v>0</v>
      </c>
      <c r="BL77" s="147">
        <v>0</v>
      </c>
      <c r="BM77" s="147">
        <v>0</v>
      </c>
      <c r="BN77" s="924">
        <f t="shared" si="46"/>
        <v>0</v>
      </c>
    </row>
    <row r="78" spans="4:66" ht="14.1" hidden="1" customHeight="1" outlineLevel="1" x14ac:dyDescent="0.25">
      <c r="D78" s="8"/>
      <c r="V78" s="934" t="s">
        <v>562</v>
      </c>
      <c r="W78" s="147">
        <v>0</v>
      </c>
      <c r="X78" s="147">
        <v>0</v>
      </c>
      <c r="Y78" s="147">
        <v>0</v>
      </c>
      <c r="Z78" s="147">
        <v>0</v>
      </c>
      <c r="AA78" s="147">
        <v>0</v>
      </c>
      <c r="AB78" s="147">
        <v>0</v>
      </c>
      <c r="AC78" s="147">
        <v>0</v>
      </c>
      <c r="AD78" s="147">
        <v>0</v>
      </c>
      <c r="AE78" s="924">
        <f t="shared" si="45"/>
        <v>0</v>
      </c>
      <c r="AF78" s="924">
        <f t="shared" si="45"/>
        <v>0</v>
      </c>
      <c r="BD78" s="959"/>
      <c r="BE78" s="934" t="s">
        <v>562</v>
      </c>
      <c r="BF78" s="147">
        <v>0</v>
      </c>
      <c r="BG78" s="147">
        <v>0</v>
      </c>
      <c r="BH78" s="147">
        <v>0</v>
      </c>
      <c r="BI78" s="147">
        <v>0</v>
      </c>
      <c r="BJ78" s="147">
        <v>0</v>
      </c>
      <c r="BK78" s="147">
        <v>0</v>
      </c>
      <c r="BL78" s="147">
        <v>0</v>
      </c>
      <c r="BM78" s="147">
        <v>0</v>
      </c>
      <c r="BN78" s="924">
        <f t="shared" si="46"/>
        <v>0</v>
      </c>
    </row>
    <row r="79" spans="4:66" ht="14.1" hidden="1" customHeight="1" outlineLevel="1" x14ac:dyDescent="0.25">
      <c r="D79" s="8"/>
      <c r="V79" s="934" t="s">
        <v>111</v>
      </c>
      <c r="W79" s="147">
        <v>0</v>
      </c>
      <c r="X79" s="147">
        <v>0</v>
      </c>
      <c r="Y79" s="147">
        <v>0</v>
      </c>
      <c r="Z79" s="147">
        <v>0</v>
      </c>
      <c r="AA79" s="147">
        <v>0</v>
      </c>
      <c r="AB79" s="147">
        <v>0</v>
      </c>
      <c r="AC79" s="147">
        <v>0</v>
      </c>
      <c r="AD79" s="147">
        <v>0</v>
      </c>
      <c r="AE79" s="924">
        <f t="shared" si="45"/>
        <v>0</v>
      </c>
      <c r="AF79" s="924">
        <f t="shared" si="45"/>
        <v>0</v>
      </c>
      <c r="BD79" s="959"/>
      <c r="BE79" s="934" t="s">
        <v>111</v>
      </c>
      <c r="BF79" s="147">
        <v>0</v>
      </c>
      <c r="BG79" s="147">
        <v>0</v>
      </c>
      <c r="BH79" s="147">
        <v>0</v>
      </c>
      <c r="BI79" s="147">
        <v>0</v>
      </c>
      <c r="BJ79" s="147">
        <v>0</v>
      </c>
      <c r="BK79" s="147">
        <v>0</v>
      </c>
      <c r="BL79" s="147">
        <v>0</v>
      </c>
      <c r="BM79" s="147">
        <v>0</v>
      </c>
      <c r="BN79" s="924">
        <f t="shared" si="46"/>
        <v>0</v>
      </c>
    </row>
    <row r="80" spans="4:66" ht="14.1" hidden="1" customHeight="1" outlineLevel="1" x14ac:dyDescent="0.25">
      <c r="D80" s="8"/>
      <c r="V80" s="934" t="s">
        <v>1355</v>
      </c>
      <c r="W80" s="147">
        <v>0</v>
      </c>
      <c r="X80" s="147">
        <v>0</v>
      </c>
      <c r="Y80" s="147">
        <v>0</v>
      </c>
      <c r="Z80" s="147">
        <v>0</v>
      </c>
      <c r="AA80" s="147">
        <v>0</v>
      </c>
      <c r="AB80" s="147">
        <v>0</v>
      </c>
      <c r="AC80" s="147">
        <v>0</v>
      </c>
      <c r="AD80" s="147">
        <v>0</v>
      </c>
      <c r="AE80" s="924">
        <f t="shared" si="45"/>
        <v>0</v>
      </c>
      <c r="AF80" s="924">
        <f t="shared" si="45"/>
        <v>0</v>
      </c>
      <c r="BD80" s="959"/>
      <c r="BE80" s="934" t="s">
        <v>1355</v>
      </c>
      <c r="BF80" s="147">
        <v>0</v>
      </c>
      <c r="BG80" s="147">
        <v>0</v>
      </c>
      <c r="BH80" s="147">
        <v>0</v>
      </c>
      <c r="BI80" s="147">
        <v>0</v>
      </c>
      <c r="BJ80" s="147">
        <v>0</v>
      </c>
      <c r="BK80" s="147">
        <v>0</v>
      </c>
      <c r="BL80" s="147">
        <v>0</v>
      </c>
      <c r="BM80" s="147">
        <v>0</v>
      </c>
      <c r="BN80" s="924">
        <f t="shared" si="46"/>
        <v>0</v>
      </c>
    </row>
    <row r="81" spans="4:66" ht="14.1" hidden="1" customHeight="1" outlineLevel="1" x14ac:dyDescent="0.25">
      <c r="D81" s="8"/>
      <c r="V81" s="934" t="s">
        <v>113</v>
      </c>
      <c r="W81" s="147">
        <v>0</v>
      </c>
      <c r="X81" s="147">
        <v>0</v>
      </c>
      <c r="Y81" s="147">
        <v>0</v>
      </c>
      <c r="Z81" s="147">
        <v>0</v>
      </c>
      <c r="AA81" s="147">
        <v>0</v>
      </c>
      <c r="AB81" s="147">
        <v>0</v>
      </c>
      <c r="AC81" s="147">
        <v>0</v>
      </c>
      <c r="AD81" s="147">
        <v>0</v>
      </c>
      <c r="AE81" s="924">
        <f t="shared" si="45"/>
        <v>0</v>
      </c>
      <c r="AF81" s="924">
        <f t="shared" si="45"/>
        <v>0</v>
      </c>
      <c r="BD81" s="959"/>
      <c r="BE81" s="934" t="s">
        <v>113</v>
      </c>
      <c r="BF81" s="147">
        <v>0</v>
      </c>
      <c r="BG81" s="147">
        <v>0</v>
      </c>
      <c r="BH81" s="147">
        <v>0</v>
      </c>
      <c r="BI81" s="147">
        <v>0</v>
      </c>
      <c r="BJ81" s="147">
        <v>0</v>
      </c>
      <c r="BK81" s="147">
        <v>0</v>
      </c>
      <c r="BL81" s="147">
        <v>0</v>
      </c>
      <c r="BM81" s="147">
        <v>0</v>
      </c>
      <c r="BN81" s="924">
        <f t="shared" si="46"/>
        <v>0</v>
      </c>
    </row>
    <row r="82" spans="4:66" ht="14.1" hidden="1" customHeight="1" outlineLevel="1" x14ac:dyDescent="0.25">
      <c r="D82" s="8"/>
      <c r="V82" s="934" t="s">
        <v>110</v>
      </c>
      <c r="W82" s="147">
        <v>0</v>
      </c>
      <c r="X82" s="147">
        <v>0</v>
      </c>
      <c r="Y82" s="147">
        <v>0</v>
      </c>
      <c r="Z82" s="147">
        <v>0</v>
      </c>
      <c r="AA82" s="147">
        <v>0</v>
      </c>
      <c r="AB82" s="147">
        <v>0</v>
      </c>
      <c r="AC82" s="147">
        <v>0</v>
      </c>
      <c r="AD82" s="147">
        <v>0</v>
      </c>
      <c r="AE82" s="924">
        <f t="shared" si="45"/>
        <v>0</v>
      </c>
      <c r="AF82" s="924">
        <f t="shared" si="45"/>
        <v>0</v>
      </c>
      <c r="BD82" s="959"/>
      <c r="BE82" s="934" t="s">
        <v>110</v>
      </c>
      <c r="BF82" s="147">
        <v>0</v>
      </c>
      <c r="BG82" s="147">
        <v>0</v>
      </c>
      <c r="BH82" s="147">
        <v>0</v>
      </c>
      <c r="BI82" s="147">
        <v>0</v>
      </c>
      <c r="BJ82" s="147">
        <v>0</v>
      </c>
      <c r="BK82" s="147">
        <v>0</v>
      </c>
      <c r="BL82" s="147">
        <v>0</v>
      </c>
      <c r="BM82" s="147">
        <v>0</v>
      </c>
      <c r="BN82" s="924">
        <f t="shared" si="46"/>
        <v>0</v>
      </c>
    </row>
    <row r="83" spans="4:66" ht="14.1" hidden="1" customHeight="1" outlineLevel="1" x14ac:dyDescent="0.25">
      <c r="D83" s="8"/>
      <c r="V83" s="934" t="s">
        <v>115</v>
      </c>
      <c r="W83" s="147">
        <v>0</v>
      </c>
      <c r="X83" s="147">
        <v>0</v>
      </c>
      <c r="Y83" s="147">
        <v>0</v>
      </c>
      <c r="Z83" s="147">
        <v>0</v>
      </c>
      <c r="AA83" s="147">
        <v>0</v>
      </c>
      <c r="AB83" s="147">
        <v>0</v>
      </c>
      <c r="AC83" s="147">
        <v>0</v>
      </c>
      <c r="AD83" s="147">
        <v>0</v>
      </c>
      <c r="AE83" s="924">
        <f t="shared" si="45"/>
        <v>0</v>
      </c>
      <c r="AF83" s="924">
        <f t="shared" si="45"/>
        <v>0</v>
      </c>
      <c r="BD83" s="959"/>
      <c r="BE83" s="934" t="s">
        <v>115</v>
      </c>
      <c r="BF83" s="147">
        <v>0</v>
      </c>
      <c r="BG83" s="147">
        <v>0</v>
      </c>
      <c r="BH83" s="147">
        <v>0</v>
      </c>
      <c r="BI83" s="147">
        <v>0</v>
      </c>
      <c r="BJ83" s="147">
        <v>0</v>
      </c>
      <c r="BK83" s="147">
        <v>0</v>
      </c>
      <c r="BL83" s="147">
        <v>0</v>
      </c>
      <c r="BM83" s="147">
        <v>0</v>
      </c>
      <c r="BN83" s="924">
        <f t="shared" si="46"/>
        <v>0</v>
      </c>
    </row>
    <row r="84" spans="4:66" ht="14.1" hidden="1" customHeight="1" outlineLevel="1" x14ac:dyDescent="0.25">
      <c r="D84" s="8"/>
      <c r="V84" s="934" t="s">
        <v>116</v>
      </c>
      <c r="W84" s="147">
        <v>0</v>
      </c>
      <c r="X84" s="147">
        <v>0</v>
      </c>
      <c r="Y84" s="147">
        <v>0</v>
      </c>
      <c r="Z84" s="147">
        <v>0</v>
      </c>
      <c r="AA84" s="147">
        <v>0</v>
      </c>
      <c r="AB84" s="147">
        <v>0</v>
      </c>
      <c r="AC84" s="147">
        <v>0</v>
      </c>
      <c r="AD84" s="147">
        <v>0</v>
      </c>
      <c r="AE84" s="924">
        <f t="shared" si="45"/>
        <v>0</v>
      </c>
      <c r="AF84" s="924">
        <f t="shared" si="45"/>
        <v>0</v>
      </c>
      <c r="BD84" s="959"/>
      <c r="BE84" s="934" t="s">
        <v>116</v>
      </c>
      <c r="BF84" s="147">
        <v>0</v>
      </c>
      <c r="BG84" s="147">
        <v>0</v>
      </c>
      <c r="BH84" s="147">
        <v>0</v>
      </c>
      <c r="BI84" s="147">
        <v>0</v>
      </c>
      <c r="BJ84" s="147">
        <v>0</v>
      </c>
      <c r="BK84" s="147">
        <v>0</v>
      </c>
      <c r="BL84" s="147">
        <v>0</v>
      </c>
      <c r="BM84" s="147">
        <v>0</v>
      </c>
      <c r="BN84" s="924">
        <f t="shared" si="46"/>
        <v>0</v>
      </c>
    </row>
    <row r="85" spans="4:66" ht="14.1" hidden="1" customHeight="1" outlineLevel="1" x14ac:dyDescent="0.25">
      <c r="D85" s="8"/>
      <c r="V85" s="934" t="s">
        <v>1339</v>
      </c>
      <c r="W85" s="147">
        <v>0</v>
      </c>
      <c r="X85" s="147">
        <v>0</v>
      </c>
      <c r="Y85" s="147">
        <v>0</v>
      </c>
      <c r="Z85" s="147">
        <v>0</v>
      </c>
      <c r="AA85" s="147">
        <v>0</v>
      </c>
      <c r="AB85" s="147">
        <v>0</v>
      </c>
      <c r="AC85" s="147">
        <v>0</v>
      </c>
      <c r="AD85" s="147">
        <v>0</v>
      </c>
      <c r="AE85" s="924">
        <f t="shared" si="45"/>
        <v>0</v>
      </c>
      <c r="AF85" s="924">
        <f t="shared" si="45"/>
        <v>0</v>
      </c>
      <c r="BD85" s="959"/>
      <c r="BE85" s="934" t="s">
        <v>1339</v>
      </c>
      <c r="BF85" s="147">
        <v>0</v>
      </c>
      <c r="BG85" s="147">
        <v>0</v>
      </c>
      <c r="BH85" s="147">
        <v>0</v>
      </c>
      <c r="BI85" s="147">
        <v>0</v>
      </c>
      <c r="BJ85" s="147">
        <v>0</v>
      </c>
      <c r="BK85" s="147">
        <v>0</v>
      </c>
      <c r="BL85" s="147">
        <v>0</v>
      </c>
      <c r="BM85" s="147">
        <v>0</v>
      </c>
      <c r="BN85" s="924">
        <f t="shared" si="46"/>
        <v>0</v>
      </c>
    </row>
    <row r="86" spans="4:66" ht="14.1" hidden="1" customHeight="1" outlineLevel="1" x14ac:dyDescent="0.25">
      <c r="D86" s="8"/>
      <c r="V86" s="934" t="s">
        <v>117</v>
      </c>
      <c r="W86" s="147">
        <v>0.10574735763790101</v>
      </c>
      <c r="X86" s="147">
        <v>0.48514412746111502</v>
      </c>
      <c r="Y86" s="147">
        <v>0.29446139214596373</v>
      </c>
      <c r="Z86" s="147">
        <v>3.5155371555153261E-2</v>
      </c>
      <c r="AA86" s="147">
        <v>0</v>
      </c>
      <c r="AB86" s="147">
        <v>0.21205720122068447</v>
      </c>
      <c r="AC86" s="147">
        <v>0.22836929362227557</v>
      </c>
      <c r="AD86" s="147">
        <v>8.7185321456780089E-3</v>
      </c>
      <c r="AE86" s="924">
        <f t="shared" si="45"/>
        <v>1.3696532757887709</v>
      </c>
      <c r="AF86" s="924">
        <f t="shared" si="45"/>
        <v>2.6335591939396412</v>
      </c>
      <c r="BD86" s="959"/>
      <c r="BE86" s="934" t="s">
        <v>117</v>
      </c>
      <c r="BF86" s="147">
        <v>0</v>
      </c>
      <c r="BG86" s="147">
        <v>0</v>
      </c>
      <c r="BH86" s="147">
        <v>0</v>
      </c>
      <c r="BI86" s="147">
        <v>0</v>
      </c>
      <c r="BJ86" s="147">
        <v>0</v>
      </c>
      <c r="BK86" s="147">
        <v>0</v>
      </c>
      <c r="BL86" s="147">
        <v>0</v>
      </c>
      <c r="BM86" s="147">
        <v>0</v>
      </c>
      <c r="BN86" s="924">
        <f t="shared" si="46"/>
        <v>0</v>
      </c>
    </row>
    <row r="87" spans="4:66" ht="14.1" hidden="1" customHeight="1" outlineLevel="1" x14ac:dyDescent="0.25">
      <c r="D87" s="8"/>
      <c r="V87" s="934" t="s">
        <v>1349</v>
      </c>
      <c r="W87" s="147">
        <v>0</v>
      </c>
      <c r="X87" s="147">
        <v>0</v>
      </c>
      <c r="Y87" s="147">
        <v>0</v>
      </c>
      <c r="Z87" s="147">
        <v>0</v>
      </c>
      <c r="AA87" s="147">
        <v>0</v>
      </c>
      <c r="AB87" s="147">
        <v>0</v>
      </c>
      <c r="AC87" s="147">
        <v>0</v>
      </c>
      <c r="AD87" s="147">
        <v>0</v>
      </c>
      <c r="AE87" s="924">
        <f t="shared" si="45"/>
        <v>0</v>
      </c>
      <c r="AF87" s="924">
        <f t="shared" si="45"/>
        <v>0</v>
      </c>
      <c r="BD87" s="959"/>
      <c r="BE87" s="934" t="s">
        <v>1349</v>
      </c>
      <c r="BF87" s="147">
        <v>0</v>
      </c>
      <c r="BG87" s="147">
        <v>0</v>
      </c>
      <c r="BH87" s="147">
        <v>0</v>
      </c>
      <c r="BI87" s="147">
        <v>0</v>
      </c>
      <c r="BJ87" s="147">
        <v>0</v>
      </c>
      <c r="BK87" s="147">
        <v>0</v>
      </c>
      <c r="BL87" s="147">
        <v>0</v>
      </c>
      <c r="BM87" s="147">
        <v>0</v>
      </c>
      <c r="BN87" s="924">
        <f t="shared" si="46"/>
        <v>0</v>
      </c>
    </row>
    <row r="88" spans="4:66" ht="14.1" hidden="1" customHeight="1" outlineLevel="1" x14ac:dyDescent="0.25">
      <c r="D88" s="8"/>
      <c r="V88" s="934" t="s">
        <v>1373</v>
      </c>
      <c r="W88" s="147">
        <v>0</v>
      </c>
      <c r="X88" s="147">
        <v>0</v>
      </c>
      <c r="Y88" s="147">
        <v>0</v>
      </c>
      <c r="Z88" s="147">
        <v>0</v>
      </c>
      <c r="AA88" s="147">
        <v>0</v>
      </c>
      <c r="AB88" s="147">
        <v>0</v>
      </c>
      <c r="AC88" s="147">
        <v>0</v>
      </c>
      <c r="AD88" s="147">
        <v>0</v>
      </c>
      <c r="AE88" s="924">
        <f t="shared" si="45"/>
        <v>0</v>
      </c>
      <c r="AF88" s="924">
        <f t="shared" si="45"/>
        <v>0</v>
      </c>
      <c r="BD88" s="959"/>
      <c r="BE88" s="934" t="s">
        <v>1373</v>
      </c>
      <c r="BF88" s="147">
        <v>0</v>
      </c>
      <c r="BG88" s="147">
        <v>0</v>
      </c>
      <c r="BH88" s="147">
        <v>0</v>
      </c>
      <c r="BI88" s="147">
        <v>0</v>
      </c>
      <c r="BJ88" s="147">
        <v>0</v>
      </c>
      <c r="BK88" s="147">
        <v>0</v>
      </c>
      <c r="BL88" s="147">
        <v>0</v>
      </c>
      <c r="BM88" s="147">
        <v>0</v>
      </c>
      <c r="BN88" s="924">
        <f t="shared" si="46"/>
        <v>0</v>
      </c>
    </row>
    <row r="89" spans="4:66" ht="14.1" hidden="1" customHeight="1" outlineLevel="1" x14ac:dyDescent="0.25">
      <c r="D89" s="8"/>
      <c r="V89" s="934" t="s">
        <v>564</v>
      </c>
      <c r="W89" s="147">
        <v>0</v>
      </c>
      <c r="X89" s="147">
        <v>0</v>
      </c>
      <c r="Y89" s="147">
        <v>0</v>
      </c>
      <c r="Z89" s="147">
        <v>0</v>
      </c>
      <c r="AA89" s="147">
        <v>0</v>
      </c>
      <c r="AB89" s="147">
        <v>0</v>
      </c>
      <c r="AC89" s="147">
        <v>0</v>
      </c>
      <c r="AD89" s="147">
        <v>0</v>
      </c>
      <c r="AE89" s="924">
        <f t="shared" si="45"/>
        <v>0</v>
      </c>
      <c r="AF89" s="924">
        <f t="shared" si="45"/>
        <v>0</v>
      </c>
      <c r="BD89" s="959"/>
      <c r="BE89" s="934" t="s">
        <v>564</v>
      </c>
      <c r="BF89" s="147">
        <v>0</v>
      </c>
      <c r="BG89" s="147">
        <v>0</v>
      </c>
      <c r="BH89" s="147">
        <v>0</v>
      </c>
      <c r="BI89" s="147">
        <v>0</v>
      </c>
      <c r="BJ89" s="147">
        <v>0</v>
      </c>
      <c r="BK89" s="147">
        <v>0</v>
      </c>
      <c r="BL89" s="147">
        <v>0</v>
      </c>
      <c r="BM89" s="147">
        <v>0</v>
      </c>
      <c r="BN89" s="924">
        <f t="shared" si="46"/>
        <v>0</v>
      </c>
    </row>
    <row r="90" spans="4:66" ht="14.1" hidden="1" customHeight="1" outlineLevel="1" x14ac:dyDescent="0.25">
      <c r="D90" s="8"/>
      <c r="V90" s="934" t="s">
        <v>1316</v>
      </c>
      <c r="W90" s="147">
        <v>0</v>
      </c>
      <c r="X90" s="147">
        <v>0</v>
      </c>
      <c r="Y90" s="147">
        <v>0</v>
      </c>
      <c r="Z90" s="147">
        <v>0</v>
      </c>
      <c r="AA90" s="147">
        <v>0</v>
      </c>
      <c r="AB90" s="147">
        <v>0</v>
      </c>
      <c r="AC90" s="147">
        <v>0</v>
      </c>
      <c r="AD90" s="147">
        <v>0</v>
      </c>
      <c r="AE90" s="924">
        <f t="shared" si="45"/>
        <v>0</v>
      </c>
      <c r="AF90" s="924">
        <f t="shared" si="45"/>
        <v>0</v>
      </c>
      <c r="BD90" s="959"/>
      <c r="BE90" s="934" t="s">
        <v>1316</v>
      </c>
      <c r="BF90" s="147">
        <v>0</v>
      </c>
      <c r="BG90" s="147">
        <v>0</v>
      </c>
      <c r="BH90" s="147">
        <v>0</v>
      </c>
      <c r="BI90" s="147">
        <v>0</v>
      </c>
      <c r="BJ90" s="147">
        <v>0</v>
      </c>
      <c r="BK90" s="147">
        <v>0</v>
      </c>
      <c r="BL90" s="147">
        <v>0</v>
      </c>
      <c r="BM90" s="147">
        <v>0</v>
      </c>
      <c r="BN90" s="924">
        <f t="shared" si="46"/>
        <v>0</v>
      </c>
    </row>
    <row r="91" spans="4:66" ht="14.1" hidden="1" customHeight="1" outlineLevel="1" x14ac:dyDescent="0.25">
      <c r="D91" s="8"/>
      <c r="V91" s="934" t="s">
        <v>118</v>
      </c>
      <c r="W91" s="147">
        <v>0</v>
      </c>
      <c r="X91" s="147">
        <v>0</v>
      </c>
      <c r="Y91" s="147">
        <v>0</v>
      </c>
      <c r="Z91" s="147">
        <v>0</v>
      </c>
      <c r="AA91" s="147">
        <v>0</v>
      </c>
      <c r="AB91" s="147">
        <v>0</v>
      </c>
      <c r="AC91" s="147">
        <v>0</v>
      </c>
      <c r="AD91" s="147">
        <v>0</v>
      </c>
      <c r="AE91" s="924">
        <f t="shared" si="45"/>
        <v>0</v>
      </c>
      <c r="AF91" s="924">
        <f t="shared" si="45"/>
        <v>0</v>
      </c>
      <c r="BD91" s="959"/>
      <c r="BE91" s="934" t="s">
        <v>118</v>
      </c>
      <c r="BF91" s="147">
        <v>0</v>
      </c>
      <c r="BG91" s="147">
        <v>0</v>
      </c>
      <c r="BH91" s="147">
        <v>0</v>
      </c>
      <c r="BI91" s="147">
        <v>0</v>
      </c>
      <c r="BJ91" s="147">
        <v>0</v>
      </c>
      <c r="BK91" s="147">
        <v>0</v>
      </c>
      <c r="BL91" s="147">
        <v>0</v>
      </c>
      <c r="BM91" s="147">
        <v>0</v>
      </c>
      <c r="BN91" s="924">
        <f t="shared" si="46"/>
        <v>0</v>
      </c>
    </row>
    <row r="92" spans="4:66" ht="14.1" hidden="1" customHeight="1" outlineLevel="1" x14ac:dyDescent="0.25">
      <c r="D92" s="8"/>
      <c r="V92" s="934" t="s">
        <v>1343</v>
      </c>
      <c r="W92" s="147">
        <v>0</v>
      </c>
      <c r="X92" s="147">
        <v>0</v>
      </c>
      <c r="Y92" s="147">
        <v>0</v>
      </c>
      <c r="Z92" s="147">
        <v>0</v>
      </c>
      <c r="AA92" s="147">
        <v>0</v>
      </c>
      <c r="AB92" s="147">
        <v>0</v>
      </c>
      <c r="AC92" s="147">
        <v>0</v>
      </c>
      <c r="AD92" s="147">
        <v>0</v>
      </c>
      <c r="AE92" s="924">
        <f t="shared" si="45"/>
        <v>0</v>
      </c>
      <c r="AF92" s="924">
        <f t="shared" si="45"/>
        <v>0</v>
      </c>
      <c r="BD92" s="959"/>
      <c r="BE92" s="934" t="s">
        <v>1343</v>
      </c>
      <c r="BF92" s="147">
        <v>0</v>
      </c>
      <c r="BG92" s="147">
        <v>0</v>
      </c>
      <c r="BH92" s="147">
        <v>0</v>
      </c>
      <c r="BI92" s="147">
        <v>0</v>
      </c>
      <c r="BJ92" s="147">
        <v>0</v>
      </c>
      <c r="BK92" s="147">
        <v>0</v>
      </c>
      <c r="BL92" s="147">
        <v>0</v>
      </c>
      <c r="BM92" s="147">
        <v>0</v>
      </c>
      <c r="BN92" s="924">
        <f t="shared" si="46"/>
        <v>0</v>
      </c>
    </row>
    <row r="93" spans="4:66" ht="14.1" hidden="1" customHeight="1" outlineLevel="1" x14ac:dyDescent="0.25">
      <c r="D93" s="8"/>
      <c r="V93" s="934" t="s">
        <v>120</v>
      </c>
      <c r="W93" s="147">
        <v>0</v>
      </c>
      <c r="X93" s="147">
        <v>0</v>
      </c>
      <c r="Y93" s="147">
        <v>0</v>
      </c>
      <c r="Z93" s="147">
        <v>0</v>
      </c>
      <c r="AA93" s="147">
        <v>0</v>
      </c>
      <c r="AB93" s="147">
        <v>0</v>
      </c>
      <c r="AC93" s="147">
        <v>0</v>
      </c>
      <c r="AD93" s="147">
        <v>0</v>
      </c>
      <c r="AE93" s="924">
        <f t="shared" si="45"/>
        <v>0</v>
      </c>
      <c r="AF93" s="924">
        <f t="shared" si="45"/>
        <v>0</v>
      </c>
      <c r="BD93" s="959"/>
      <c r="BE93" s="934" t="s">
        <v>120</v>
      </c>
      <c r="BF93" s="147">
        <v>0</v>
      </c>
      <c r="BG93" s="147">
        <v>0</v>
      </c>
      <c r="BH93" s="147">
        <v>0</v>
      </c>
      <c r="BI93" s="147">
        <v>0</v>
      </c>
      <c r="BJ93" s="147">
        <v>0</v>
      </c>
      <c r="BK93" s="147">
        <v>0</v>
      </c>
      <c r="BL93" s="147">
        <v>0</v>
      </c>
      <c r="BM93" s="147">
        <v>0</v>
      </c>
      <c r="BN93" s="924">
        <f t="shared" si="46"/>
        <v>0</v>
      </c>
    </row>
    <row r="94" spans="4:66" ht="14.1" hidden="1" customHeight="1" outlineLevel="1" x14ac:dyDescent="0.25">
      <c r="D94" s="8"/>
      <c r="V94" s="934" t="s">
        <v>554</v>
      </c>
      <c r="W94" s="147">
        <v>0</v>
      </c>
      <c r="X94" s="147">
        <v>0</v>
      </c>
      <c r="Y94" s="147">
        <v>0</v>
      </c>
      <c r="Z94" s="147">
        <v>0</v>
      </c>
      <c r="AA94" s="147">
        <v>0</v>
      </c>
      <c r="AB94" s="147">
        <v>0</v>
      </c>
      <c r="AC94" s="147">
        <v>0</v>
      </c>
      <c r="AD94" s="147">
        <v>0</v>
      </c>
      <c r="AE94" s="924">
        <f t="shared" si="45"/>
        <v>0</v>
      </c>
      <c r="AF94" s="924">
        <f t="shared" si="45"/>
        <v>0</v>
      </c>
      <c r="BD94" s="959"/>
      <c r="BE94" s="934" t="s">
        <v>554</v>
      </c>
      <c r="BF94" s="147">
        <v>0</v>
      </c>
      <c r="BG94" s="147">
        <v>0</v>
      </c>
      <c r="BH94" s="147">
        <v>0</v>
      </c>
      <c r="BI94" s="147">
        <v>0</v>
      </c>
      <c r="BJ94" s="147">
        <v>0</v>
      </c>
      <c r="BK94" s="147">
        <v>0</v>
      </c>
      <c r="BL94" s="147">
        <v>0</v>
      </c>
      <c r="BM94" s="147">
        <v>0</v>
      </c>
      <c r="BN94" s="924">
        <f t="shared" si="46"/>
        <v>0</v>
      </c>
    </row>
    <row r="95" spans="4:66" ht="14.1" hidden="1" customHeight="1" outlineLevel="1" x14ac:dyDescent="0.25">
      <c r="D95" s="8"/>
      <c r="V95" s="934" t="s">
        <v>121</v>
      </c>
      <c r="W95" s="147">
        <v>0.86888638920134975</v>
      </c>
      <c r="X95" s="147">
        <v>0.39201349831271087</v>
      </c>
      <c r="Y95" s="147">
        <v>0.87534308211473555</v>
      </c>
      <c r="Z95" s="147">
        <v>9.5005624296962868E-2</v>
      </c>
      <c r="AA95" s="147">
        <v>0</v>
      </c>
      <c r="AB95" s="147">
        <v>0</v>
      </c>
      <c r="AC95" s="147">
        <v>0.72130483689538805</v>
      </c>
      <c r="AD95" s="147">
        <v>5.5343082114735643E-3</v>
      </c>
      <c r="AE95" s="924">
        <f t="shared" si="45"/>
        <v>2.9580877390326208</v>
      </c>
      <c r="AF95" s="924">
        <f t="shared" si="45"/>
        <v>5.0472890888638915</v>
      </c>
      <c r="BD95" s="959"/>
      <c r="BE95" s="934" t="s">
        <v>121</v>
      </c>
      <c r="BF95" s="147">
        <v>11.605574498512903</v>
      </c>
      <c r="BG95" s="147">
        <v>12.058498383173855</v>
      </c>
      <c r="BH95" s="147">
        <v>0</v>
      </c>
      <c r="BI95" s="147">
        <v>1.4595469913674526</v>
      </c>
      <c r="BJ95" s="147">
        <v>0</v>
      </c>
      <c r="BK95" s="147">
        <v>0</v>
      </c>
      <c r="BL95" s="147">
        <v>5.3539554579657578</v>
      </c>
      <c r="BM95" s="147">
        <v>1.6905668980059633E-2</v>
      </c>
      <c r="BN95" s="924">
        <f t="shared" si="46"/>
        <v>30.494481000000025</v>
      </c>
    </row>
    <row r="96" spans="4:66" ht="14.1" hidden="1" customHeight="1" outlineLevel="1" x14ac:dyDescent="0.25">
      <c r="D96" s="8"/>
      <c r="V96" s="934" t="s">
        <v>566</v>
      </c>
      <c r="W96" s="147">
        <v>0</v>
      </c>
      <c r="X96" s="147">
        <v>0</v>
      </c>
      <c r="Y96" s="147">
        <v>0</v>
      </c>
      <c r="Z96" s="147">
        <v>0</v>
      </c>
      <c r="AA96" s="147">
        <v>0</v>
      </c>
      <c r="AB96" s="147">
        <v>0</v>
      </c>
      <c r="AC96" s="147">
        <v>0</v>
      </c>
      <c r="AD96" s="147">
        <v>0</v>
      </c>
      <c r="AE96" s="924">
        <f t="shared" si="45"/>
        <v>0</v>
      </c>
      <c r="AF96" s="924">
        <f t="shared" si="45"/>
        <v>0</v>
      </c>
      <c r="BD96" s="959"/>
      <c r="BE96" s="934" t="s">
        <v>566</v>
      </c>
      <c r="BF96" s="147">
        <v>0</v>
      </c>
      <c r="BG96" s="147">
        <v>0</v>
      </c>
      <c r="BH96" s="147">
        <v>0</v>
      </c>
      <c r="BI96" s="147">
        <v>0</v>
      </c>
      <c r="BJ96" s="147">
        <v>0</v>
      </c>
      <c r="BK96" s="147">
        <v>0</v>
      </c>
      <c r="BL96" s="147">
        <v>0</v>
      </c>
      <c r="BM96" s="147">
        <v>0</v>
      </c>
      <c r="BN96" s="924">
        <f t="shared" si="46"/>
        <v>0</v>
      </c>
    </row>
    <row r="97" spans="4:66" ht="14.1" hidden="1" customHeight="1" outlineLevel="1" x14ac:dyDescent="0.25">
      <c r="D97" s="8"/>
      <c r="V97" s="934" t="s">
        <v>123</v>
      </c>
      <c r="W97" s="147">
        <v>0</v>
      </c>
      <c r="X97" s="147">
        <v>0</v>
      </c>
      <c r="Y97" s="147">
        <v>0</v>
      </c>
      <c r="Z97" s="147">
        <v>0</v>
      </c>
      <c r="AA97" s="147">
        <v>0</v>
      </c>
      <c r="AB97" s="147">
        <v>0</v>
      </c>
      <c r="AC97" s="147">
        <v>0</v>
      </c>
      <c r="AD97" s="147">
        <v>0</v>
      </c>
      <c r="AE97" s="924">
        <f t="shared" si="45"/>
        <v>0</v>
      </c>
      <c r="AF97" s="924">
        <f t="shared" si="45"/>
        <v>0</v>
      </c>
      <c r="BD97" s="959"/>
      <c r="BE97" s="934" t="s">
        <v>123</v>
      </c>
      <c r="BF97" s="147">
        <v>0</v>
      </c>
      <c r="BG97" s="147">
        <v>0</v>
      </c>
      <c r="BH97" s="147">
        <v>0</v>
      </c>
      <c r="BI97" s="147">
        <v>0</v>
      </c>
      <c r="BJ97" s="147">
        <v>0</v>
      </c>
      <c r="BK97" s="147">
        <v>0</v>
      </c>
      <c r="BL97" s="147">
        <v>0</v>
      </c>
      <c r="BM97" s="147">
        <v>0</v>
      </c>
      <c r="BN97" s="924">
        <f t="shared" si="46"/>
        <v>0</v>
      </c>
    </row>
    <row r="98" spans="4:66" ht="14.1" hidden="1" customHeight="1" outlineLevel="1" x14ac:dyDescent="0.25">
      <c r="D98" s="8"/>
      <c r="V98" s="934" t="s">
        <v>125</v>
      </c>
      <c r="W98" s="147">
        <v>0</v>
      </c>
      <c r="X98" s="147">
        <v>0</v>
      </c>
      <c r="Y98" s="147">
        <v>0</v>
      </c>
      <c r="Z98" s="147">
        <v>0</v>
      </c>
      <c r="AA98" s="147">
        <v>0</v>
      </c>
      <c r="AB98" s="147">
        <v>0</v>
      </c>
      <c r="AC98" s="147">
        <v>0</v>
      </c>
      <c r="AD98" s="147">
        <v>0</v>
      </c>
      <c r="AE98" s="924">
        <f t="shared" si="45"/>
        <v>0</v>
      </c>
      <c r="AF98" s="924">
        <f t="shared" si="45"/>
        <v>0</v>
      </c>
      <c r="BD98" s="959"/>
      <c r="BE98" s="934" t="s">
        <v>125</v>
      </c>
      <c r="BF98" s="147">
        <v>0</v>
      </c>
      <c r="BG98" s="147">
        <v>0</v>
      </c>
      <c r="BH98" s="147">
        <v>0</v>
      </c>
      <c r="BI98" s="147">
        <v>0</v>
      </c>
      <c r="BJ98" s="147">
        <v>0</v>
      </c>
      <c r="BK98" s="147">
        <v>0</v>
      </c>
      <c r="BL98" s="147">
        <v>0</v>
      </c>
      <c r="BM98" s="147">
        <v>0</v>
      </c>
      <c r="BN98" s="924">
        <f t="shared" si="46"/>
        <v>0</v>
      </c>
    </row>
    <row r="99" spans="4:66" ht="14.1" hidden="1" customHeight="1" outlineLevel="1" x14ac:dyDescent="0.25">
      <c r="D99" s="8"/>
      <c r="V99" s="934" t="s">
        <v>126</v>
      </c>
      <c r="W99" s="147">
        <v>0</v>
      </c>
      <c r="X99" s="147">
        <v>0</v>
      </c>
      <c r="Y99" s="147">
        <v>0</v>
      </c>
      <c r="Z99" s="147">
        <v>0</v>
      </c>
      <c r="AA99" s="147">
        <v>0</v>
      </c>
      <c r="AB99" s="147">
        <v>0</v>
      </c>
      <c r="AC99" s="147">
        <v>0</v>
      </c>
      <c r="AD99" s="147">
        <v>0</v>
      </c>
      <c r="AE99" s="924">
        <f t="shared" si="45"/>
        <v>0</v>
      </c>
      <c r="AF99" s="924">
        <f t="shared" si="45"/>
        <v>0</v>
      </c>
      <c r="BD99" s="959"/>
      <c r="BE99" s="934" t="s">
        <v>126</v>
      </c>
      <c r="BF99" s="147">
        <v>0</v>
      </c>
      <c r="BG99" s="147">
        <v>0</v>
      </c>
      <c r="BH99" s="147">
        <v>0</v>
      </c>
      <c r="BI99" s="147">
        <v>0</v>
      </c>
      <c r="BJ99" s="147">
        <v>0</v>
      </c>
      <c r="BK99" s="147">
        <v>0</v>
      </c>
      <c r="BL99" s="147">
        <v>0</v>
      </c>
      <c r="BM99" s="147">
        <v>0</v>
      </c>
      <c r="BN99" s="924">
        <f t="shared" si="46"/>
        <v>0</v>
      </c>
    </row>
    <row r="100" spans="4:66" ht="14.1" hidden="1" customHeight="1" outlineLevel="1" x14ac:dyDescent="0.25">
      <c r="D100" s="8"/>
      <c r="V100" s="934" t="s">
        <v>1325</v>
      </c>
      <c r="W100" s="147">
        <v>0</v>
      </c>
      <c r="X100" s="147">
        <v>0</v>
      </c>
      <c r="Y100" s="147">
        <v>0</v>
      </c>
      <c r="Z100" s="147">
        <v>0</v>
      </c>
      <c r="AA100" s="147">
        <v>0</v>
      </c>
      <c r="AB100" s="147">
        <v>0</v>
      </c>
      <c r="AC100" s="147">
        <v>0</v>
      </c>
      <c r="AD100" s="147">
        <v>0</v>
      </c>
      <c r="AE100" s="924">
        <f t="shared" si="45"/>
        <v>0</v>
      </c>
      <c r="AF100" s="924">
        <f t="shared" si="45"/>
        <v>0</v>
      </c>
      <c r="BD100" s="959"/>
      <c r="BE100" s="934" t="s">
        <v>1325</v>
      </c>
      <c r="BF100" s="147">
        <v>0</v>
      </c>
      <c r="BG100" s="147">
        <v>0</v>
      </c>
      <c r="BH100" s="147">
        <v>0</v>
      </c>
      <c r="BI100" s="147">
        <v>0</v>
      </c>
      <c r="BJ100" s="147">
        <v>0</v>
      </c>
      <c r="BK100" s="147">
        <v>0</v>
      </c>
      <c r="BL100" s="147">
        <v>0</v>
      </c>
      <c r="BM100" s="147">
        <v>0</v>
      </c>
      <c r="BN100" s="924">
        <f t="shared" si="46"/>
        <v>0</v>
      </c>
    </row>
    <row r="101" spans="4:66" ht="14.1" hidden="1" customHeight="1" outlineLevel="1" x14ac:dyDescent="0.25">
      <c r="D101" s="8"/>
      <c r="V101" s="934" t="s">
        <v>127</v>
      </c>
      <c r="W101" s="147">
        <v>3.3086416465197068</v>
      </c>
      <c r="X101" s="147">
        <v>7.7674542788892964</v>
      </c>
      <c r="Y101" s="147">
        <v>4.924961225753683</v>
      </c>
      <c r="Z101" s="147">
        <v>0.70935655514970741</v>
      </c>
      <c r="AA101" s="147">
        <v>0</v>
      </c>
      <c r="AB101" s="147">
        <v>0</v>
      </c>
      <c r="AC101" s="147">
        <v>4.0940006897211685</v>
      </c>
      <c r="AD101" s="147">
        <v>5.0668325367836248E-3</v>
      </c>
      <c r="AE101" s="924">
        <f t="shared" si="45"/>
        <v>20.809481228570348</v>
      </c>
      <c r="AF101" s="924">
        <f t="shared" si="45"/>
        <v>38.310320810620986</v>
      </c>
      <c r="BD101" s="959"/>
      <c r="BE101" s="934" t="s">
        <v>127</v>
      </c>
      <c r="BF101" s="147">
        <v>-72.075448708201677</v>
      </c>
      <c r="BG101" s="147">
        <v>-74.888294571349846</v>
      </c>
      <c r="BH101" s="147">
        <v>0</v>
      </c>
      <c r="BI101" s="147">
        <v>-9.0643943845256896</v>
      </c>
      <c r="BJ101" s="147">
        <v>0</v>
      </c>
      <c r="BK101" s="147">
        <v>0</v>
      </c>
      <c r="BL101" s="147">
        <v>-33.250292094204717</v>
      </c>
      <c r="BM101" s="147">
        <v>-0.10499124171804305</v>
      </c>
      <c r="BN101" s="924">
        <f t="shared" si="46"/>
        <v>-189.38342099999997</v>
      </c>
    </row>
    <row r="102" spans="4:66" ht="14.1" hidden="1" customHeight="1" outlineLevel="1" x14ac:dyDescent="0.25">
      <c r="D102" s="8"/>
      <c r="V102" s="934" t="s">
        <v>1351</v>
      </c>
      <c r="W102" s="147">
        <v>0</v>
      </c>
      <c r="X102" s="147">
        <v>0</v>
      </c>
      <c r="Y102" s="147">
        <v>0</v>
      </c>
      <c r="Z102" s="147">
        <v>0</v>
      </c>
      <c r="AA102" s="147">
        <v>0</v>
      </c>
      <c r="AB102" s="147">
        <v>0</v>
      </c>
      <c r="AC102" s="147">
        <v>0</v>
      </c>
      <c r="AD102" s="147">
        <v>0</v>
      </c>
      <c r="AE102" s="924">
        <f t="shared" si="45"/>
        <v>0</v>
      </c>
      <c r="AF102" s="924">
        <f t="shared" si="45"/>
        <v>0</v>
      </c>
      <c r="BD102" s="959"/>
      <c r="BE102" s="934" t="s">
        <v>1351</v>
      </c>
      <c r="BF102" s="147">
        <v>0</v>
      </c>
      <c r="BG102" s="147">
        <v>0</v>
      </c>
      <c r="BH102" s="147">
        <v>0</v>
      </c>
      <c r="BI102" s="147">
        <v>0</v>
      </c>
      <c r="BJ102" s="147">
        <v>0</v>
      </c>
      <c r="BK102" s="147">
        <v>0</v>
      </c>
      <c r="BL102" s="147">
        <v>0</v>
      </c>
      <c r="BM102" s="147">
        <v>0</v>
      </c>
      <c r="BN102" s="924">
        <f t="shared" si="46"/>
        <v>0</v>
      </c>
    </row>
    <row r="103" spans="4:66" ht="14.1" hidden="1" customHeight="1" outlineLevel="1" x14ac:dyDescent="0.25">
      <c r="D103" s="8"/>
      <c r="V103" s="934" t="s">
        <v>1375</v>
      </c>
      <c r="W103" s="147">
        <v>0</v>
      </c>
      <c r="X103" s="147">
        <v>0</v>
      </c>
      <c r="Y103" s="147">
        <v>0</v>
      </c>
      <c r="Z103" s="147">
        <v>0</v>
      </c>
      <c r="AA103" s="147">
        <v>0</v>
      </c>
      <c r="AB103" s="147">
        <v>0</v>
      </c>
      <c r="AC103" s="147">
        <v>0</v>
      </c>
      <c r="AD103" s="147">
        <v>0</v>
      </c>
      <c r="AE103" s="924">
        <f t="shared" si="45"/>
        <v>0</v>
      </c>
      <c r="AF103" s="924">
        <f t="shared" si="45"/>
        <v>0</v>
      </c>
      <c r="BD103" s="959"/>
      <c r="BE103" s="934" t="s">
        <v>1375</v>
      </c>
      <c r="BF103" s="147">
        <v>0</v>
      </c>
      <c r="BG103" s="147">
        <v>0</v>
      </c>
      <c r="BH103" s="147">
        <v>0</v>
      </c>
      <c r="BI103" s="147">
        <v>0</v>
      </c>
      <c r="BJ103" s="147">
        <v>0</v>
      </c>
      <c r="BK103" s="147">
        <v>0</v>
      </c>
      <c r="BL103" s="147">
        <v>0</v>
      </c>
      <c r="BM103" s="147">
        <v>0</v>
      </c>
      <c r="BN103" s="924">
        <f t="shared" si="46"/>
        <v>0</v>
      </c>
    </row>
    <row r="104" spans="4:66" ht="14.1" hidden="1" customHeight="1" outlineLevel="1" x14ac:dyDescent="0.25">
      <c r="D104" s="8"/>
      <c r="V104" s="934" t="s">
        <v>128</v>
      </c>
      <c r="W104" s="147">
        <v>0</v>
      </c>
      <c r="X104" s="147">
        <v>0</v>
      </c>
      <c r="Y104" s="147">
        <v>0</v>
      </c>
      <c r="Z104" s="147">
        <v>0</v>
      </c>
      <c r="AA104" s="147">
        <v>0</v>
      </c>
      <c r="AB104" s="147">
        <v>0</v>
      </c>
      <c r="AC104" s="147">
        <v>0</v>
      </c>
      <c r="AD104" s="147">
        <v>0</v>
      </c>
      <c r="AE104" s="924">
        <f t="shared" si="45"/>
        <v>0</v>
      </c>
      <c r="AF104" s="924">
        <f t="shared" si="45"/>
        <v>0</v>
      </c>
      <c r="BD104" s="959"/>
      <c r="BE104" s="934" t="s">
        <v>128</v>
      </c>
      <c r="BF104" s="147">
        <v>0</v>
      </c>
      <c r="BG104" s="147">
        <v>0</v>
      </c>
      <c r="BH104" s="147">
        <v>0</v>
      </c>
      <c r="BI104" s="147">
        <v>0</v>
      </c>
      <c r="BJ104" s="147">
        <v>0</v>
      </c>
      <c r="BK104" s="147">
        <v>0</v>
      </c>
      <c r="BL104" s="147">
        <v>0</v>
      </c>
      <c r="BM104" s="147">
        <v>0</v>
      </c>
      <c r="BN104" s="924">
        <f t="shared" si="46"/>
        <v>0</v>
      </c>
    </row>
    <row r="105" spans="4:66" ht="14.1" hidden="1" customHeight="1" outlineLevel="1" x14ac:dyDescent="0.25">
      <c r="D105" s="8"/>
      <c r="V105" s="934" t="s">
        <v>1168</v>
      </c>
      <c r="W105" s="147">
        <v>0</v>
      </c>
      <c r="X105" s="147">
        <v>0</v>
      </c>
      <c r="Y105" s="147">
        <v>0</v>
      </c>
      <c r="Z105" s="147">
        <v>0</v>
      </c>
      <c r="AA105" s="147">
        <v>0</v>
      </c>
      <c r="AB105" s="147">
        <v>0</v>
      </c>
      <c r="AC105" s="147">
        <v>0</v>
      </c>
      <c r="AD105" s="147">
        <v>0</v>
      </c>
      <c r="AE105" s="924">
        <f t="shared" si="45"/>
        <v>0</v>
      </c>
      <c r="AF105" s="924">
        <f t="shared" si="45"/>
        <v>0</v>
      </c>
      <c r="BD105" s="959"/>
      <c r="BE105" s="934" t="s">
        <v>1168</v>
      </c>
      <c r="BF105" s="147">
        <v>0</v>
      </c>
      <c r="BG105" s="147">
        <v>0</v>
      </c>
      <c r="BH105" s="147">
        <v>0</v>
      </c>
      <c r="BI105" s="147">
        <v>0</v>
      </c>
      <c r="BJ105" s="147">
        <v>0</v>
      </c>
      <c r="BK105" s="147">
        <v>0</v>
      </c>
      <c r="BL105" s="147">
        <v>0</v>
      </c>
      <c r="BM105" s="147">
        <v>0</v>
      </c>
      <c r="BN105" s="924">
        <f t="shared" si="46"/>
        <v>0</v>
      </c>
    </row>
    <row r="106" spans="4:66" ht="14.1" hidden="1" customHeight="1" outlineLevel="1" x14ac:dyDescent="0.25">
      <c r="D106" s="8"/>
      <c r="V106" s="934" t="s">
        <v>130</v>
      </c>
      <c r="W106" s="147">
        <v>0</v>
      </c>
      <c r="X106" s="147">
        <v>0</v>
      </c>
      <c r="Y106" s="147">
        <v>0</v>
      </c>
      <c r="Z106" s="147">
        <v>0</v>
      </c>
      <c r="AA106" s="147">
        <v>0</v>
      </c>
      <c r="AB106" s="147">
        <v>0</v>
      </c>
      <c r="AC106" s="147">
        <v>0</v>
      </c>
      <c r="AD106" s="147">
        <v>0</v>
      </c>
      <c r="AE106" s="924">
        <f t="shared" si="45"/>
        <v>0</v>
      </c>
      <c r="AF106" s="924">
        <f t="shared" si="45"/>
        <v>0</v>
      </c>
      <c r="BD106" s="959"/>
      <c r="BE106" s="934" t="s">
        <v>130</v>
      </c>
      <c r="BF106" s="147">
        <v>0</v>
      </c>
      <c r="BG106" s="147">
        <v>0</v>
      </c>
      <c r="BH106" s="147">
        <v>0</v>
      </c>
      <c r="BI106" s="147">
        <v>0</v>
      </c>
      <c r="BJ106" s="147">
        <v>0</v>
      </c>
      <c r="BK106" s="147">
        <v>0</v>
      </c>
      <c r="BL106" s="147">
        <v>0</v>
      </c>
      <c r="BM106" s="147">
        <v>0</v>
      </c>
      <c r="BN106" s="924">
        <f t="shared" si="46"/>
        <v>0</v>
      </c>
    </row>
    <row r="107" spans="4:66" ht="14.1" hidden="1" customHeight="1" outlineLevel="1" x14ac:dyDescent="0.25">
      <c r="D107" s="8"/>
      <c r="V107" s="934" t="s">
        <v>1155</v>
      </c>
      <c r="W107" s="147">
        <v>0</v>
      </c>
      <c r="X107" s="147">
        <v>0</v>
      </c>
      <c r="Y107" s="147">
        <v>0</v>
      </c>
      <c r="Z107" s="147">
        <v>0</v>
      </c>
      <c r="AA107" s="147">
        <v>0</v>
      </c>
      <c r="AB107" s="147">
        <v>0</v>
      </c>
      <c r="AC107" s="147">
        <v>0</v>
      </c>
      <c r="AD107" s="147">
        <v>0</v>
      </c>
      <c r="AE107" s="924">
        <f t="shared" si="45"/>
        <v>0</v>
      </c>
      <c r="AF107" s="924">
        <f t="shared" si="45"/>
        <v>0</v>
      </c>
      <c r="BD107" s="959"/>
      <c r="BE107" s="934" t="s">
        <v>1155</v>
      </c>
      <c r="BF107" s="147">
        <v>0</v>
      </c>
      <c r="BG107" s="147">
        <v>0</v>
      </c>
      <c r="BH107" s="147">
        <v>0</v>
      </c>
      <c r="BI107" s="147">
        <v>0</v>
      </c>
      <c r="BJ107" s="147">
        <v>0</v>
      </c>
      <c r="BK107" s="147">
        <v>0</v>
      </c>
      <c r="BL107" s="147">
        <v>0</v>
      </c>
      <c r="BM107" s="147">
        <v>0</v>
      </c>
      <c r="BN107" s="924">
        <f t="shared" si="46"/>
        <v>0</v>
      </c>
    </row>
    <row r="108" spans="4:66" ht="14.1" hidden="1" customHeight="1" outlineLevel="1" x14ac:dyDescent="0.25">
      <c r="D108" s="8"/>
      <c r="V108" s="934" t="s">
        <v>131</v>
      </c>
      <c r="W108" s="147">
        <v>0</v>
      </c>
      <c r="X108" s="147">
        <v>0</v>
      </c>
      <c r="Y108" s="147">
        <v>0</v>
      </c>
      <c r="Z108" s="147">
        <v>0</v>
      </c>
      <c r="AA108" s="147">
        <v>0</v>
      </c>
      <c r="AB108" s="147">
        <v>0</v>
      </c>
      <c r="AC108" s="147">
        <v>0</v>
      </c>
      <c r="AD108" s="147">
        <v>0</v>
      </c>
      <c r="AE108" s="924">
        <f t="shared" ref="AE108:AF125" si="47">SUM(W108:AD108)</f>
        <v>0</v>
      </c>
      <c r="AF108" s="924">
        <f t="shared" si="47"/>
        <v>0</v>
      </c>
      <c r="BD108" s="959"/>
      <c r="BE108" s="934" t="s">
        <v>131</v>
      </c>
      <c r="BF108" s="147">
        <v>0</v>
      </c>
      <c r="BG108" s="147">
        <v>0</v>
      </c>
      <c r="BH108" s="147">
        <v>0</v>
      </c>
      <c r="BI108" s="147">
        <v>0</v>
      </c>
      <c r="BJ108" s="147">
        <v>0</v>
      </c>
      <c r="BK108" s="147">
        <v>0</v>
      </c>
      <c r="BL108" s="147">
        <v>0</v>
      </c>
      <c r="BM108" s="147">
        <v>0</v>
      </c>
      <c r="BN108" s="924">
        <f t="shared" si="46"/>
        <v>0</v>
      </c>
    </row>
    <row r="109" spans="4:66" ht="14.1" hidden="1" customHeight="1" outlineLevel="1" x14ac:dyDescent="0.25">
      <c r="D109" s="8"/>
      <c r="V109" s="934" t="s">
        <v>133</v>
      </c>
      <c r="W109" s="147">
        <v>0</v>
      </c>
      <c r="X109" s="147">
        <v>0</v>
      </c>
      <c r="Y109" s="147">
        <v>0</v>
      </c>
      <c r="Z109" s="147">
        <v>0</v>
      </c>
      <c r="AA109" s="147">
        <v>0</v>
      </c>
      <c r="AB109" s="147">
        <v>0</v>
      </c>
      <c r="AC109" s="147">
        <v>0</v>
      </c>
      <c r="AD109" s="147">
        <v>0</v>
      </c>
      <c r="AE109" s="924">
        <f t="shared" si="47"/>
        <v>0</v>
      </c>
      <c r="AF109" s="924">
        <f t="shared" si="47"/>
        <v>0</v>
      </c>
      <c r="BD109" s="959"/>
      <c r="BE109" s="934" t="s">
        <v>133</v>
      </c>
      <c r="BF109" s="147">
        <v>0</v>
      </c>
      <c r="BG109" s="147">
        <v>0</v>
      </c>
      <c r="BH109" s="147">
        <v>0</v>
      </c>
      <c r="BI109" s="147">
        <v>0</v>
      </c>
      <c r="BJ109" s="147">
        <v>0</v>
      </c>
      <c r="BK109" s="147">
        <v>0</v>
      </c>
      <c r="BL109" s="147">
        <v>0</v>
      </c>
      <c r="BM109" s="147">
        <v>0</v>
      </c>
      <c r="BN109" s="924">
        <f t="shared" si="46"/>
        <v>0</v>
      </c>
    </row>
    <row r="110" spans="4:66" ht="14.1" hidden="1" customHeight="1" outlineLevel="1" x14ac:dyDescent="0.25">
      <c r="V110" s="934" t="s">
        <v>134</v>
      </c>
      <c r="W110" s="147">
        <v>0</v>
      </c>
      <c r="X110" s="147">
        <v>0</v>
      </c>
      <c r="Y110" s="147">
        <v>0</v>
      </c>
      <c r="Z110" s="147">
        <v>0</v>
      </c>
      <c r="AA110" s="147">
        <v>0</v>
      </c>
      <c r="AB110" s="147">
        <v>0</v>
      </c>
      <c r="AC110" s="147">
        <v>0</v>
      </c>
      <c r="AD110" s="147">
        <v>0</v>
      </c>
      <c r="AE110" s="924">
        <f t="shared" si="47"/>
        <v>0</v>
      </c>
      <c r="AF110" s="924">
        <f t="shared" si="47"/>
        <v>0</v>
      </c>
      <c r="BE110" s="934" t="s">
        <v>134</v>
      </c>
      <c r="BF110" s="147">
        <v>0</v>
      </c>
      <c r="BG110" s="147">
        <v>0</v>
      </c>
      <c r="BH110" s="147">
        <v>0</v>
      </c>
      <c r="BI110" s="147">
        <v>0</v>
      </c>
      <c r="BJ110" s="147">
        <v>0</v>
      </c>
      <c r="BK110" s="147">
        <v>0</v>
      </c>
      <c r="BL110" s="147">
        <v>0</v>
      </c>
      <c r="BM110" s="147">
        <v>0</v>
      </c>
      <c r="BN110" s="924">
        <f t="shared" si="46"/>
        <v>0</v>
      </c>
    </row>
    <row r="111" spans="4:66" ht="14.1" hidden="1" customHeight="1" outlineLevel="1" x14ac:dyDescent="0.25">
      <c r="V111" s="934" t="s">
        <v>135</v>
      </c>
      <c r="W111" s="147">
        <v>0</v>
      </c>
      <c r="X111" s="147">
        <v>0</v>
      </c>
      <c r="Y111" s="147">
        <v>0</v>
      </c>
      <c r="Z111" s="147">
        <v>0</v>
      </c>
      <c r="AA111" s="147">
        <v>0</v>
      </c>
      <c r="AB111" s="147">
        <v>0</v>
      </c>
      <c r="AC111" s="147">
        <v>0</v>
      </c>
      <c r="AD111" s="147">
        <v>0</v>
      </c>
      <c r="AE111" s="924">
        <f t="shared" si="47"/>
        <v>0</v>
      </c>
      <c r="AF111" s="924">
        <f t="shared" si="47"/>
        <v>0</v>
      </c>
      <c r="BE111" s="934" t="s">
        <v>135</v>
      </c>
      <c r="BF111" s="147">
        <v>0</v>
      </c>
      <c r="BG111" s="147">
        <v>0</v>
      </c>
      <c r="BH111" s="147">
        <v>0</v>
      </c>
      <c r="BI111" s="147">
        <v>0</v>
      </c>
      <c r="BJ111" s="147">
        <v>0</v>
      </c>
      <c r="BK111" s="147">
        <v>0</v>
      </c>
      <c r="BL111" s="147">
        <v>0</v>
      </c>
      <c r="BM111" s="147">
        <v>0</v>
      </c>
      <c r="BN111" s="924">
        <f t="shared" si="46"/>
        <v>0</v>
      </c>
    </row>
    <row r="112" spans="4:66" ht="14.1" hidden="1" customHeight="1" outlineLevel="1" x14ac:dyDescent="0.25">
      <c r="V112" s="934" t="s">
        <v>1341</v>
      </c>
      <c r="W112" s="147">
        <v>0</v>
      </c>
      <c r="X112" s="147">
        <v>0</v>
      </c>
      <c r="Y112" s="147">
        <v>0</v>
      </c>
      <c r="Z112" s="147">
        <v>0</v>
      </c>
      <c r="AA112" s="147">
        <v>0</v>
      </c>
      <c r="AB112" s="147">
        <v>0</v>
      </c>
      <c r="AC112" s="147">
        <v>0</v>
      </c>
      <c r="AD112" s="147">
        <v>0</v>
      </c>
      <c r="AE112" s="924">
        <f t="shared" si="47"/>
        <v>0</v>
      </c>
      <c r="AF112" s="924">
        <f t="shared" si="47"/>
        <v>0</v>
      </c>
      <c r="BE112" s="934" t="s">
        <v>1341</v>
      </c>
      <c r="BF112" s="147">
        <v>0</v>
      </c>
      <c r="BG112" s="147">
        <v>0</v>
      </c>
      <c r="BH112" s="147">
        <v>0</v>
      </c>
      <c r="BI112" s="147">
        <v>0</v>
      </c>
      <c r="BJ112" s="147">
        <v>0</v>
      </c>
      <c r="BK112" s="147">
        <v>0</v>
      </c>
      <c r="BL112" s="147">
        <v>0</v>
      </c>
      <c r="BM112" s="147">
        <v>0</v>
      </c>
      <c r="BN112" s="924">
        <f t="shared" si="46"/>
        <v>0</v>
      </c>
    </row>
    <row r="113" spans="22:66" ht="14.1" hidden="1" customHeight="1" outlineLevel="1" x14ac:dyDescent="0.25">
      <c r="V113" s="934" t="s">
        <v>136</v>
      </c>
      <c r="W113" s="147">
        <v>2.2174121185243492E-2</v>
      </c>
      <c r="X113" s="147">
        <v>3.9163361257890578E-2</v>
      </c>
      <c r="Y113" s="147">
        <v>8.6866526701234077E-3</v>
      </c>
      <c r="Z113" s="147">
        <v>4.3602703909852211E-3</v>
      </c>
      <c r="AA113" s="147">
        <v>0</v>
      </c>
      <c r="AB113" s="147">
        <v>0</v>
      </c>
      <c r="AC113" s="147">
        <v>9.3079347206523888E-3</v>
      </c>
      <c r="AD113" s="147">
        <v>0</v>
      </c>
      <c r="AE113" s="924">
        <f t="shared" si="47"/>
        <v>8.3692340224895079E-2</v>
      </c>
      <c r="AF113" s="924">
        <f t="shared" si="47"/>
        <v>0.14521055926454668</v>
      </c>
      <c r="BE113" s="934" t="s">
        <v>136</v>
      </c>
      <c r="BF113" s="147">
        <v>0</v>
      </c>
      <c r="BG113" s="147">
        <v>0</v>
      </c>
      <c r="BH113" s="147">
        <v>0</v>
      </c>
      <c r="BI113" s="147">
        <v>0</v>
      </c>
      <c r="BJ113" s="147">
        <v>0</v>
      </c>
      <c r="BK113" s="147">
        <v>0</v>
      </c>
      <c r="BL113" s="147">
        <v>0</v>
      </c>
      <c r="BM113" s="147">
        <v>0</v>
      </c>
      <c r="BN113" s="924">
        <f t="shared" si="46"/>
        <v>0</v>
      </c>
    </row>
    <row r="114" spans="22:66" ht="14.1" hidden="1" customHeight="1" outlineLevel="1" x14ac:dyDescent="0.25">
      <c r="V114" s="934" t="s">
        <v>1361</v>
      </c>
      <c r="W114" s="147">
        <v>0</v>
      </c>
      <c r="X114" s="147">
        <v>0</v>
      </c>
      <c r="Y114" s="147">
        <v>0</v>
      </c>
      <c r="Z114" s="147">
        <v>0</v>
      </c>
      <c r="AA114" s="147">
        <v>0</v>
      </c>
      <c r="AB114" s="147">
        <v>0</v>
      </c>
      <c r="AC114" s="147">
        <v>0</v>
      </c>
      <c r="AD114" s="147">
        <v>0</v>
      </c>
      <c r="AE114" s="924">
        <f t="shared" si="47"/>
        <v>0</v>
      </c>
      <c r="AF114" s="924">
        <f t="shared" si="47"/>
        <v>0</v>
      </c>
      <c r="BE114" s="934" t="s">
        <v>1361</v>
      </c>
      <c r="BF114" s="147">
        <v>0</v>
      </c>
      <c r="BG114" s="147">
        <v>0</v>
      </c>
      <c r="BH114" s="147">
        <v>0</v>
      </c>
      <c r="BI114" s="147">
        <v>0</v>
      </c>
      <c r="BJ114" s="147">
        <v>0</v>
      </c>
      <c r="BK114" s="147">
        <v>0</v>
      </c>
      <c r="BL114" s="147">
        <v>0</v>
      </c>
      <c r="BM114" s="147">
        <v>0</v>
      </c>
      <c r="BN114" s="924">
        <f t="shared" si="46"/>
        <v>0</v>
      </c>
    </row>
    <row r="115" spans="22:66" ht="14.1" hidden="1" customHeight="1" outlineLevel="1" x14ac:dyDescent="0.25">
      <c r="V115" s="934" t="s">
        <v>137</v>
      </c>
      <c r="W115" s="147">
        <v>0</v>
      </c>
      <c r="X115" s="147">
        <v>0</v>
      </c>
      <c r="Y115" s="147">
        <v>0</v>
      </c>
      <c r="Z115" s="147">
        <v>0</v>
      </c>
      <c r="AA115" s="147">
        <v>0</v>
      </c>
      <c r="AB115" s="147">
        <v>0</v>
      </c>
      <c r="AC115" s="147">
        <v>0</v>
      </c>
      <c r="AD115" s="147">
        <v>0</v>
      </c>
      <c r="AE115" s="924">
        <f t="shared" si="47"/>
        <v>0</v>
      </c>
      <c r="AF115" s="924">
        <f t="shared" si="47"/>
        <v>0</v>
      </c>
      <c r="BE115" s="934" t="s">
        <v>137</v>
      </c>
      <c r="BF115" s="147">
        <v>0</v>
      </c>
      <c r="BG115" s="147">
        <v>0</v>
      </c>
      <c r="BH115" s="147">
        <v>0</v>
      </c>
      <c r="BI115" s="147">
        <v>0</v>
      </c>
      <c r="BJ115" s="147">
        <v>0</v>
      </c>
      <c r="BK115" s="147">
        <v>0</v>
      </c>
      <c r="BL115" s="147">
        <v>0</v>
      </c>
      <c r="BM115" s="147">
        <v>0</v>
      </c>
      <c r="BN115" s="924">
        <f t="shared" si="46"/>
        <v>0</v>
      </c>
    </row>
    <row r="116" spans="22:66" ht="14.1" hidden="1" customHeight="1" outlineLevel="1" x14ac:dyDescent="0.25">
      <c r="V116" s="934" t="s">
        <v>1118</v>
      </c>
      <c r="W116" s="147">
        <v>0</v>
      </c>
      <c r="X116" s="147">
        <v>0</v>
      </c>
      <c r="Y116" s="147">
        <v>0</v>
      </c>
      <c r="Z116" s="147">
        <v>0</v>
      </c>
      <c r="AA116" s="147">
        <v>0</v>
      </c>
      <c r="AB116" s="147">
        <v>0</v>
      </c>
      <c r="AC116" s="147">
        <v>0</v>
      </c>
      <c r="AD116" s="147">
        <v>0</v>
      </c>
      <c r="AE116" s="924">
        <f t="shared" si="47"/>
        <v>0</v>
      </c>
      <c r="AF116" s="924">
        <f t="shared" si="47"/>
        <v>0</v>
      </c>
      <c r="BE116" s="934" t="s">
        <v>1118</v>
      </c>
      <c r="BF116" s="147">
        <v>0</v>
      </c>
      <c r="BG116" s="147">
        <v>0</v>
      </c>
      <c r="BH116" s="147">
        <v>0</v>
      </c>
      <c r="BI116" s="147">
        <v>0</v>
      </c>
      <c r="BJ116" s="147">
        <v>0</v>
      </c>
      <c r="BK116" s="147">
        <v>0</v>
      </c>
      <c r="BL116" s="147">
        <v>0</v>
      </c>
      <c r="BM116" s="147">
        <v>0</v>
      </c>
      <c r="BN116" s="924">
        <f t="shared" si="46"/>
        <v>0</v>
      </c>
    </row>
    <row r="117" spans="22:66" ht="14.1" hidden="1" customHeight="1" outlineLevel="1" x14ac:dyDescent="0.25">
      <c r="V117" s="934" t="s">
        <v>139</v>
      </c>
      <c r="W117" s="147">
        <v>0</v>
      </c>
      <c r="X117" s="147">
        <v>0</v>
      </c>
      <c r="Y117" s="147">
        <v>0</v>
      </c>
      <c r="Z117" s="147">
        <v>0</v>
      </c>
      <c r="AA117" s="147">
        <v>0</v>
      </c>
      <c r="AB117" s="147">
        <v>0</v>
      </c>
      <c r="AC117" s="147">
        <v>0</v>
      </c>
      <c r="AD117" s="147">
        <v>0</v>
      </c>
      <c r="AE117" s="924">
        <f t="shared" si="47"/>
        <v>0</v>
      </c>
      <c r="AF117" s="924">
        <f t="shared" si="47"/>
        <v>0</v>
      </c>
      <c r="BE117" s="934" t="s">
        <v>139</v>
      </c>
      <c r="BF117" s="147">
        <v>0</v>
      </c>
      <c r="BG117" s="147">
        <v>0</v>
      </c>
      <c r="BH117" s="147">
        <v>0</v>
      </c>
      <c r="BI117" s="147">
        <v>0</v>
      </c>
      <c r="BJ117" s="147">
        <v>0</v>
      </c>
      <c r="BK117" s="147">
        <v>0</v>
      </c>
      <c r="BL117" s="147">
        <v>0</v>
      </c>
      <c r="BM117" s="147">
        <v>0</v>
      </c>
      <c r="BN117" s="924">
        <f t="shared" si="46"/>
        <v>0</v>
      </c>
    </row>
    <row r="118" spans="22:66" ht="14.1" hidden="1" customHeight="1" outlineLevel="1" x14ac:dyDescent="0.25">
      <c r="V118" s="934" t="s">
        <v>1128</v>
      </c>
      <c r="W118" s="147">
        <v>0</v>
      </c>
      <c r="X118" s="147">
        <v>0</v>
      </c>
      <c r="Y118" s="147">
        <v>0</v>
      </c>
      <c r="Z118" s="147">
        <v>0</v>
      </c>
      <c r="AA118" s="147">
        <v>0</v>
      </c>
      <c r="AB118" s="147">
        <v>0</v>
      </c>
      <c r="AC118" s="147">
        <v>0</v>
      </c>
      <c r="AD118" s="147">
        <v>0</v>
      </c>
      <c r="AE118" s="924">
        <f t="shared" si="47"/>
        <v>0</v>
      </c>
      <c r="AF118" s="924">
        <f t="shared" si="47"/>
        <v>0</v>
      </c>
      <c r="BE118" s="934" t="s">
        <v>1128</v>
      </c>
      <c r="BF118" s="147">
        <v>0</v>
      </c>
      <c r="BG118" s="147">
        <v>0</v>
      </c>
      <c r="BH118" s="147">
        <v>0</v>
      </c>
      <c r="BI118" s="147">
        <v>0</v>
      </c>
      <c r="BJ118" s="147">
        <v>0</v>
      </c>
      <c r="BK118" s="147">
        <v>0</v>
      </c>
      <c r="BL118" s="147">
        <v>0</v>
      </c>
      <c r="BM118" s="147">
        <v>0</v>
      </c>
      <c r="BN118" s="924">
        <f t="shared" si="46"/>
        <v>0</v>
      </c>
    </row>
    <row r="119" spans="22:66" ht="14.1" hidden="1" customHeight="1" outlineLevel="1" x14ac:dyDescent="0.25">
      <c r="V119" s="934" t="s">
        <v>1327</v>
      </c>
      <c r="W119" s="147">
        <v>0</v>
      </c>
      <c r="X119" s="147">
        <v>0</v>
      </c>
      <c r="Y119" s="147">
        <v>0</v>
      </c>
      <c r="Z119" s="147">
        <v>0</v>
      </c>
      <c r="AA119" s="147">
        <v>0</v>
      </c>
      <c r="AB119" s="147">
        <v>0</v>
      </c>
      <c r="AC119" s="147">
        <v>0</v>
      </c>
      <c r="AD119" s="147">
        <v>0</v>
      </c>
      <c r="AE119" s="924">
        <f t="shared" si="47"/>
        <v>0</v>
      </c>
      <c r="AF119" s="924">
        <f t="shared" si="47"/>
        <v>0</v>
      </c>
      <c r="BE119" s="934" t="s">
        <v>1327</v>
      </c>
      <c r="BF119" s="147">
        <v>0</v>
      </c>
      <c r="BG119" s="147">
        <v>0</v>
      </c>
      <c r="BH119" s="147">
        <v>0</v>
      </c>
      <c r="BI119" s="147">
        <v>0</v>
      </c>
      <c r="BJ119" s="147">
        <v>0</v>
      </c>
      <c r="BK119" s="147">
        <v>0</v>
      </c>
      <c r="BL119" s="147">
        <v>0</v>
      </c>
      <c r="BM119" s="147">
        <v>0</v>
      </c>
      <c r="BN119" s="924">
        <f t="shared" si="46"/>
        <v>0</v>
      </c>
    </row>
    <row r="120" spans="22:66" ht="14.1" hidden="1" customHeight="1" outlineLevel="1" x14ac:dyDescent="0.25">
      <c r="V120" s="934" t="s">
        <v>1331</v>
      </c>
      <c r="W120" s="147">
        <v>0</v>
      </c>
      <c r="X120" s="147">
        <v>0</v>
      </c>
      <c r="Y120" s="147">
        <v>0</v>
      </c>
      <c r="Z120" s="147">
        <v>0</v>
      </c>
      <c r="AA120" s="147">
        <v>0</v>
      </c>
      <c r="AB120" s="147">
        <v>0</v>
      </c>
      <c r="AC120" s="147">
        <v>0</v>
      </c>
      <c r="AD120" s="147">
        <v>0</v>
      </c>
      <c r="AE120" s="924">
        <f t="shared" si="47"/>
        <v>0</v>
      </c>
      <c r="AF120" s="924">
        <f t="shared" si="47"/>
        <v>0</v>
      </c>
      <c r="BE120" s="934" t="s">
        <v>1331</v>
      </c>
      <c r="BF120" s="147">
        <v>0</v>
      </c>
      <c r="BG120" s="147">
        <v>0</v>
      </c>
      <c r="BH120" s="147">
        <v>0</v>
      </c>
      <c r="BI120" s="147">
        <v>0</v>
      </c>
      <c r="BJ120" s="147">
        <v>0</v>
      </c>
      <c r="BK120" s="147">
        <v>0</v>
      </c>
      <c r="BL120" s="147">
        <v>0</v>
      </c>
      <c r="BM120" s="147">
        <v>0</v>
      </c>
      <c r="BN120" s="924">
        <f t="shared" si="46"/>
        <v>0</v>
      </c>
    </row>
    <row r="121" spans="22:66" ht="14.1" hidden="1" customHeight="1" outlineLevel="1" x14ac:dyDescent="0.25">
      <c r="V121" s="934" t="s">
        <v>1333</v>
      </c>
      <c r="W121" s="147">
        <v>0</v>
      </c>
      <c r="X121" s="147">
        <v>0</v>
      </c>
      <c r="Y121" s="147">
        <v>0</v>
      </c>
      <c r="Z121" s="147">
        <v>0</v>
      </c>
      <c r="AA121" s="147">
        <v>0</v>
      </c>
      <c r="AB121" s="147">
        <v>0</v>
      </c>
      <c r="AC121" s="147">
        <v>0</v>
      </c>
      <c r="AD121" s="147">
        <v>0</v>
      </c>
      <c r="AE121" s="924">
        <f t="shared" si="47"/>
        <v>0</v>
      </c>
      <c r="AF121" s="924">
        <f t="shared" si="47"/>
        <v>0</v>
      </c>
      <c r="BE121" s="934" t="s">
        <v>1333</v>
      </c>
      <c r="BF121" s="147">
        <v>0</v>
      </c>
      <c r="BG121" s="147">
        <v>0</v>
      </c>
      <c r="BH121" s="147">
        <v>0</v>
      </c>
      <c r="BI121" s="147">
        <v>0</v>
      </c>
      <c r="BJ121" s="147">
        <v>0</v>
      </c>
      <c r="BK121" s="147">
        <v>0</v>
      </c>
      <c r="BL121" s="147">
        <v>0</v>
      </c>
      <c r="BM121" s="147">
        <v>0</v>
      </c>
      <c r="BN121" s="924">
        <f t="shared" si="46"/>
        <v>0</v>
      </c>
    </row>
    <row r="122" spans="22:66" ht="14.1" hidden="1" customHeight="1" outlineLevel="1" x14ac:dyDescent="0.25">
      <c r="V122" s="934" t="s">
        <v>1335</v>
      </c>
      <c r="W122" s="147">
        <v>0</v>
      </c>
      <c r="X122" s="147">
        <v>0</v>
      </c>
      <c r="Y122" s="147">
        <v>0</v>
      </c>
      <c r="Z122" s="147">
        <v>0</v>
      </c>
      <c r="AA122" s="147">
        <v>0</v>
      </c>
      <c r="AB122" s="147">
        <v>0</v>
      </c>
      <c r="AC122" s="147">
        <v>0</v>
      </c>
      <c r="AD122" s="147">
        <v>0</v>
      </c>
      <c r="AE122" s="924">
        <f t="shared" si="47"/>
        <v>0</v>
      </c>
      <c r="AF122" s="924">
        <f t="shared" si="47"/>
        <v>0</v>
      </c>
      <c r="BE122" s="934" t="s">
        <v>1335</v>
      </c>
      <c r="BF122" s="147">
        <v>0</v>
      </c>
      <c r="BG122" s="147">
        <v>0</v>
      </c>
      <c r="BH122" s="147">
        <v>0</v>
      </c>
      <c r="BI122" s="147">
        <v>0</v>
      </c>
      <c r="BJ122" s="147">
        <v>0</v>
      </c>
      <c r="BK122" s="147">
        <v>0</v>
      </c>
      <c r="BL122" s="147">
        <v>0</v>
      </c>
      <c r="BM122" s="147">
        <v>0</v>
      </c>
      <c r="BN122" s="924">
        <f t="shared" si="46"/>
        <v>0</v>
      </c>
    </row>
    <row r="123" spans="22:66" ht="14.1" hidden="1" customHeight="1" outlineLevel="1" x14ac:dyDescent="0.25">
      <c r="V123" s="934" t="s">
        <v>1337</v>
      </c>
      <c r="W123" s="147">
        <v>0</v>
      </c>
      <c r="X123" s="147">
        <v>0</v>
      </c>
      <c r="Y123" s="147">
        <v>0</v>
      </c>
      <c r="Z123" s="147">
        <v>0</v>
      </c>
      <c r="AA123" s="147">
        <v>0</v>
      </c>
      <c r="AB123" s="147">
        <v>0</v>
      </c>
      <c r="AC123" s="147">
        <v>0</v>
      </c>
      <c r="AD123" s="147">
        <v>0</v>
      </c>
      <c r="AE123" s="924">
        <f t="shared" si="47"/>
        <v>0</v>
      </c>
      <c r="AF123" s="924">
        <f t="shared" si="47"/>
        <v>0</v>
      </c>
      <c r="BE123" s="934" t="s">
        <v>1337</v>
      </c>
      <c r="BF123" s="147">
        <v>0</v>
      </c>
      <c r="BG123" s="147">
        <v>0</v>
      </c>
      <c r="BH123" s="147">
        <v>0</v>
      </c>
      <c r="BI123" s="147">
        <v>0</v>
      </c>
      <c r="BJ123" s="147">
        <v>0</v>
      </c>
      <c r="BK123" s="147">
        <v>0</v>
      </c>
      <c r="BL123" s="147">
        <v>0</v>
      </c>
      <c r="BM123" s="147">
        <v>0</v>
      </c>
      <c r="BN123" s="924">
        <f t="shared" si="46"/>
        <v>0</v>
      </c>
    </row>
    <row r="124" spans="22:66" ht="14.1" hidden="1" customHeight="1" outlineLevel="1" x14ac:dyDescent="0.25">
      <c r="V124" s="934" t="s">
        <v>1353</v>
      </c>
      <c r="W124" s="147">
        <v>0</v>
      </c>
      <c r="X124" s="147">
        <v>0</v>
      </c>
      <c r="Y124" s="147">
        <v>0</v>
      </c>
      <c r="Z124" s="147">
        <v>0</v>
      </c>
      <c r="AA124" s="147">
        <v>0</v>
      </c>
      <c r="AB124" s="147">
        <v>0</v>
      </c>
      <c r="AC124" s="147">
        <v>0</v>
      </c>
      <c r="AD124" s="147">
        <v>0</v>
      </c>
      <c r="AE124" s="924">
        <f t="shared" si="47"/>
        <v>0</v>
      </c>
      <c r="AF124" s="924">
        <f t="shared" si="47"/>
        <v>0</v>
      </c>
      <c r="BD124" s="262"/>
      <c r="BE124" s="934" t="s">
        <v>1353</v>
      </c>
      <c r="BF124" s="147">
        <v>0</v>
      </c>
      <c r="BG124" s="147">
        <v>0</v>
      </c>
      <c r="BH124" s="147">
        <v>0</v>
      </c>
      <c r="BI124" s="147">
        <v>0</v>
      </c>
      <c r="BJ124" s="147">
        <v>0</v>
      </c>
      <c r="BK124" s="147">
        <v>0</v>
      </c>
      <c r="BL124" s="147">
        <v>0</v>
      </c>
      <c r="BM124" s="147">
        <v>0</v>
      </c>
      <c r="BN124" s="924">
        <f t="shared" si="46"/>
        <v>0</v>
      </c>
    </row>
    <row r="125" spans="22:66" ht="14.1" hidden="1" customHeight="1" outlineLevel="1" x14ac:dyDescent="0.25">
      <c r="V125" s="934" t="s">
        <v>1377</v>
      </c>
      <c r="W125" s="147">
        <v>0</v>
      </c>
      <c r="X125" s="147">
        <v>0</v>
      </c>
      <c r="Y125" s="147">
        <v>0</v>
      </c>
      <c r="Z125" s="147">
        <v>0</v>
      </c>
      <c r="AA125" s="147">
        <v>0</v>
      </c>
      <c r="AB125" s="147">
        <v>0</v>
      </c>
      <c r="AC125" s="147">
        <v>0</v>
      </c>
      <c r="AD125" s="147">
        <v>0</v>
      </c>
      <c r="AE125" s="924">
        <f t="shared" si="47"/>
        <v>0</v>
      </c>
      <c r="AF125" s="924">
        <f t="shared" si="47"/>
        <v>0</v>
      </c>
      <c r="BD125" s="262"/>
      <c r="BE125" s="934" t="s">
        <v>1377</v>
      </c>
      <c r="BF125" s="147">
        <v>0</v>
      </c>
      <c r="BG125" s="147">
        <v>0</v>
      </c>
      <c r="BH125" s="147">
        <v>0</v>
      </c>
      <c r="BI125" s="147">
        <v>0</v>
      </c>
      <c r="BJ125" s="147">
        <v>0</v>
      </c>
      <c r="BK125" s="147">
        <v>0</v>
      </c>
      <c r="BL125" s="147">
        <v>0</v>
      </c>
      <c r="BM125" s="147">
        <v>0</v>
      </c>
      <c r="BN125" s="924">
        <f t="shared" si="46"/>
        <v>0</v>
      </c>
    </row>
    <row r="126" spans="22:66" ht="14.1" hidden="1" customHeight="1" outlineLevel="1" x14ac:dyDescent="0.25"/>
    <row r="127" spans="22:66" ht="14.1" hidden="1" customHeight="1" outlineLevel="1" x14ac:dyDescent="0.25">
      <c r="W127" s="945">
        <f>SUM(W71:W125)</f>
        <v>15.82648438518537</v>
      </c>
      <c r="X127" s="945">
        <f t="shared" ref="X127:AE127" si="48">SUM(X71:X125)</f>
        <v>16.44413522092664</v>
      </c>
      <c r="Y127" s="945">
        <f t="shared" si="48"/>
        <v>9.031326368432536</v>
      </c>
      <c r="Z127" s="945">
        <f t="shared" si="48"/>
        <v>1.9903795086818976</v>
      </c>
      <c r="AA127" s="945">
        <f t="shared" si="48"/>
        <v>0</v>
      </c>
      <c r="AB127" s="945">
        <f t="shared" si="48"/>
        <v>2.5536095071824385</v>
      </c>
      <c r="AC127" s="945">
        <f t="shared" si="48"/>
        <v>7.3011717313374369</v>
      </c>
      <c r="AD127" s="945">
        <f t="shared" si="48"/>
        <v>2.3054206077287281E-2</v>
      </c>
      <c r="AE127" s="945">
        <f t="shared" si="48"/>
        <v>53.170160927823609</v>
      </c>
      <c r="AF127" s="268">
        <f t="array" ref="AF127">SUMIF($W$68:$AD$68,"&lt;&gt;*",$W$127:$AD$127)</f>
        <v>41.585225052208628</v>
      </c>
      <c r="BF127" s="268">
        <f>SUBTOTAL(9,BF71:BF125)</f>
        <v>-112.30800733399849</v>
      </c>
      <c r="BG127" s="268">
        <f t="shared" ref="BG127:BM127" si="49">SUBTOTAL(9,BG71:BG125)</f>
        <v>-116.69098544221393</v>
      </c>
      <c r="BH127" s="268">
        <f t="shared" si="49"/>
        <v>0</v>
      </c>
      <c r="BI127" s="268">
        <f t="shared" si="49"/>
        <v>-14.124144757488331</v>
      </c>
      <c r="BJ127" s="268">
        <f t="shared" si="49"/>
        <v>0</v>
      </c>
      <c r="BK127" s="268">
        <f t="shared" si="49"/>
        <v>0</v>
      </c>
      <c r="BL127" s="268">
        <f t="shared" si="49"/>
        <v>-51.810625050588158</v>
      </c>
      <c r="BM127" s="268">
        <f t="shared" si="49"/>
        <v>-0.16359741571104247</v>
      </c>
      <c r="BN127" s="268"/>
    </row>
    <row r="128" spans="22:66" ht="14.1" hidden="1" customHeight="1" outlineLevel="1" x14ac:dyDescent="0.25"/>
    <row r="129" ht="14.1" hidden="1" customHeight="1" outlineLevel="1" x14ac:dyDescent="0.25"/>
    <row r="130" ht="14.1" hidden="1" customHeight="1" outlineLevel="1" x14ac:dyDescent="0.25"/>
    <row r="131" ht="14.1" hidden="1" customHeight="1" outlineLevel="1" x14ac:dyDescent="0.25"/>
    <row r="132" ht="14.1" hidden="1" customHeight="1" outlineLevel="1" x14ac:dyDescent="0.25"/>
    <row r="133" ht="14.1" customHeight="1" collapsed="1" x14ac:dyDescent="0.25"/>
  </sheetData>
  <autoFilter ref="B7:M62" xr:uid="{00000000-0009-0000-0000-000008000000}"/>
  <sortState xmlns:xlrd2="http://schemas.microsoft.com/office/spreadsheetml/2017/richdata2" ref="B8:M43">
    <sortCondition ref="B8"/>
  </sortState>
  <mergeCells count="10">
    <mergeCell ref="BS2:CH5"/>
    <mergeCell ref="AK2:BA5"/>
    <mergeCell ref="AG2:AI5"/>
    <mergeCell ref="BF2:BO5"/>
    <mergeCell ref="BC2:BD5"/>
    <mergeCell ref="E1:F1"/>
    <mergeCell ref="E2:F2"/>
    <mergeCell ref="E3:F3"/>
    <mergeCell ref="E4:F4"/>
    <mergeCell ref="N5:O5"/>
  </mergeCells>
  <conditionalFormatting sqref="K4:M4">
    <cfRule type="cellIs" dxfId="4" priority="1" operator="notEqual">
      <formula>0</formula>
    </cfRule>
  </conditionalFormatting>
  <conditionalFormatting sqref="G4:I4">
    <cfRule type="cellIs" dxfId="3" priority="2" operator="not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4" r:id="rId4" name="Button 2">
              <controlPr defaultSize="0" print="0" autoFill="0" autoPict="0" macro="[0]!middleAllocate">
                <anchor moveWithCells="1" sizeWithCells="1">
                  <from>
                    <xdr:col>0</xdr:col>
                    <xdr:colOff>276225</xdr:colOff>
                    <xdr:row>0</xdr:row>
                    <xdr:rowOff>409575</xdr:rowOff>
                  </from>
                  <to>
                    <xdr:col>1</xdr:col>
                    <xdr:colOff>838200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NewDeboningShoulder" filterMode="1"/>
  <dimension ref="A1:BQ73"/>
  <sheetViews>
    <sheetView showGridLines="0" zoomScale="70" zoomScaleNormal="70" zoomScaleSheetLayoutView="80" workbookViewId="0">
      <pane xSplit="5" ySplit="7" topLeftCell="AJ8" activePane="bottomRight" state="frozen"/>
      <selection activeCell="O1" sqref="O1:O1048576"/>
      <selection pane="topRight" activeCell="O1" sqref="O1:O1048576"/>
      <selection pane="bottomLeft" activeCell="O1" sqref="O1:O1048576"/>
      <selection pane="bottomRight" activeCell="AR15" sqref="AR15"/>
    </sheetView>
  </sheetViews>
  <sheetFormatPr defaultRowHeight="14.1" customHeight="1" outlineLevelRow="1" outlineLevelCol="1" x14ac:dyDescent="0.25"/>
  <cols>
    <col min="1" max="1" width="4.28515625" style="1149" customWidth="1"/>
    <col min="2" max="2" width="9.140625" style="1149" bestFit="1" customWidth="1"/>
    <col min="3" max="3" width="29.140625" style="1149" bestFit="1" customWidth="1"/>
    <col min="4" max="4" width="11" style="1149" bestFit="1" customWidth="1"/>
    <col min="5" max="5" width="23.140625" style="1149" customWidth="1"/>
    <col min="6" max="6" width="10.7109375" hidden="1" customWidth="1"/>
    <col min="7" max="7" width="11.140625" style="1149" customWidth="1"/>
    <col min="8" max="9" width="9.7109375" style="1149" customWidth="1"/>
    <col min="10" max="10" width="13.5703125" style="1149" bestFit="1" customWidth="1"/>
    <col min="11" max="11" width="11" style="1149" bestFit="1" customWidth="1"/>
    <col min="12" max="12" width="14.5703125" style="1149" customWidth="1"/>
    <col min="13" max="13" width="16.28515625" style="1149" customWidth="1"/>
    <col min="14" max="14" width="9.7109375" style="1149" customWidth="1"/>
    <col min="15" max="15" width="18.140625" style="1149" bestFit="1" customWidth="1"/>
    <col min="16" max="18" width="9.85546875" style="1149" customWidth="1"/>
    <col min="19" max="19" width="12.5703125" style="1149" bestFit="1" customWidth="1"/>
    <col min="20" max="20" width="9.85546875" style="1149" customWidth="1"/>
    <col min="21" max="21" width="13.85546875" style="1149" bestFit="1" customWidth="1"/>
    <col min="22" max="24" width="9.85546875" style="1149" customWidth="1"/>
    <col min="25" max="25" width="13.7109375" style="1149" bestFit="1" customWidth="1"/>
    <col min="26" max="27" width="9.7109375" style="1149" customWidth="1"/>
    <col min="28" max="28" width="9.7109375" style="1149" customWidth="1" collapsed="1"/>
    <col min="29" max="30" width="9.7109375" style="1149" customWidth="1"/>
    <col min="31" max="31" width="12" style="1149" bestFit="1" customWidth="1" collapsed="1"/>
    <col min="32" max="40" width="9.7109375" style="1149" customWidth="1"/>
    <col min="41" max="41" width="9.7109375" hidden="1" customWidth="1"/>
    <col min="42" max="42" width="9.7109375" style="1149" customWidth="1"/>
    <col min="43" max="43" width="9.7109375" customWidth="1" outlineLevel="1"/>
    <col min="44" max="44" width="12" customWidth="1" outlineLevel="1"/>
    <col min="45" max="45" width="13.42578125" customWidth="1" outlineLevel="1"/>
    <col min="46" max="55" width="9.7109375" customWidth="1" outlineLevel="1"/>
    <col min="56" max="56" width="12.85546875" customWidth="1" outlineLevel="1"/>
    <col min="57" max="57" width="11.42578125" customWidth="1" outlineLevel="1"/>
    <col min="58" max="58" width="9.7109375" style="1149" customWidth="1"/>
    <col min="59" max="59" width="12" style="1149" bestFit="1" customWidth="1"/>
    <col min="60" max="69" width="9.7109375" style="1149" customWidth="1"/>
    <col min="70" max="82" width="9.140625" style="1149" customWidth="1"/>
    <col min="83" max="16384" width="9.140625" style="1149"/>
  </cols>
  <sheetData>
    <row r="1" spans="1:69" ht="42.75" customHeight="1" thickBot="1" x14ac:dyDescent="0.3">
      <c r="A1" s="1092"/>
      <c r="B1" s="1093"/>
      <c r="C1" s="1094"/>
      <c r="D1" s="1095" t="s">
        <v>8</v>
      </c>
      <c r="E1" s="1390" t="s">
        <v>1197</v>
      </c>
      <c r="F1" s="1391"/>
      <c r="G1" s="1114" t="s">
        <v>11</v>
      </c>
      <c r="H1" s="1114" t="s">
        <v>513</v>
      </c>
      <c r="I1" s="1115" t="s">
        <v>169</v>
      </c>
      <c r="J1" s="1094"/>
      <c r="K1" s="1116" t="s">
        <v>593</v>
      </c>
      <c r="L1" s="1116" t="s">
        <v>596</v>
      </c>
      <c r="M1" s="1116" t="s">
        <v>594</v>
      </c>
      <c r="N1" s="1116"/>
      <c r="O1" s="1094"/>
      <c r="P1" s="1117" t="s">
        <v>2</v>
      </c>
      <c r="Q1" s="1117" t="s">
        <v>4</v>
      </c>
      <c r="R1" s="1117" t="s">
        <v>7</v>
      </c>
      <c r="S1" s="1117" t="s">
        <v>1</v>
      </c>
      <c r="T1" s="1117" t="s">
        <v>3</v>
      </c>
      <c r="U1" s="1117" t="s">
        <v>6</v>
      </c>
      <c r="V1" s="1117" t="s">
        <v>5</v>
      </c>
      <c r="W1" s="1117" t="s">
        <v>260</v>
      </c>
      <c r="X1" s="1117" t="s">
        <v>56</v>
      </c>
      <c r="Y1" s="1118"/>
      <c r="Z1" s="1092"/>
      <c r="AA1" s="1119"/>
      <c r="AB1" s="1092"/>
      <c r="AC1" s="1092"/>
      <c r="AD1" s="1092"/>
      <c r="AE1" s="1092"/>
      <c r="AF1" s="1092"/>
      <c r="AG1" s="1092"/>
      <c r="AH1" s="1092"/>
      <c r="AI1" s="1092"/>
      <c r="AJ1" s="1092"/>
      <c r="AK1" s="1092"/>
      <c r="AL1" s="1092"/>
      <c r="AM1" s="1092"/>
      <c r="AN1" s="1092"/>
      <c r="AO1" s="150"/>
      <c r="AP1" s="1092"/>
      <c r="AQ1" s="150"/>
      <c r="AR1" s="150"/>
      <c r="AS1" s="150"/>
      <c r="AT1" s="150"/>
      <c r="AU1" s="1014"/>
      <c r="AV1" s="1014"/>
      <c r="AW1" s="1014"/>
      <c r="AX1" s="1014"/>
      <c r="AY1" s="1014"/>
      <c r="AZ1" s="1014"/>
      <c r="BA1" s="1014"/>
      <c r="BB1" s="1014"/>
      <c r="BC1" s="1014"/>
      <c r="BD1" s="150"/>
      <c r="BE1" s="150"/>
      <c r="BF1" s="1092"/>
      <c r="BG1" s="1092"/>
      <c r="BH1" s="1092"/>
      <c r="BI1" s="1092"/>
      <c r="BJ1" s="1092"/>
      <c r="BK1" s="1092"/>
      <c r="BL1" s="1092"/>
      <c r="BM1" s="1092"/>
      <c r="BN1" s="1092"/>
      <c r="BO1" s="1092"/>
      <c r="BP1" s="1092"/>
      <c r="BQ1" s="1092"/>
    </row>
    <row r="2" spans="1:69" ht="15" customHeight="1" thickTop="1" x14ac:dyDescent="0.25">
      <c r="A2" s="1096"/>
      <c r="B2" s="1097"/>
      <c r="C2" s="1098" t="s">
        <v>935</v>
      </c>
      <c r="D2" s="1099">
        <f>'Pork Breaking'!E28/'Pork Breaking'!D28</f>
        <v>10.086732851985559</v>
      </c>
      <c r="E2" s="1392" t="s">
        <v>1195</v>
      </c>
      <c r="F2" s="1393"/>
      <c r="G2" s="1120">
        <f>shoulders!F5</f>
        <v>1108</v>
      </c>
      <c r="H2" s="1120">
        <f>shoulders!G5</f>
        <v>11176.1</v>
      </c>
      <c r="I2" s="1121">
        <v>1</v>
      </c>
      <c r="J2" s="1100"/>
      <c r="K2" s="1100">
        <f>G3</f>
        <v>1108</v>
      </c>
      <c r="L2" s="1100">
        <f>H3</f>
        <v>11188.8</v>
      </c>
      <c r="M2" s="1100">
        <f>shoulders!G28</f>
        <v>4477.6000000000004</v>
      </c>
      <c r="N2" s="1100"/>
      <c r="O2" s="1100" t="s">
        <v>618</v>
      </c>
      <c r="P2" s="1100">
        <f>shoulders!G31</f>
        <v>13.6</v>
      </c>
      <c r="Q2" s="1100">
        <f>shoulders!G35</f>
        <v>721.8</v>
      </c>
      <c r="R2" s="1100">
        <f>shoulders!G41+shoulders!G49</f>
        <v>235.7</v>
      </c>
      <c r="S2" s="1100">
        <f>shoulders!G45</f>
        <v>1257.3</v>
      </c>
      <c r="T2" s="1100">
        <f>shoulders!G33</f>
        <v>915.69999999999993</v>
      </c>
      <c r="U2" s="1100">
        <f>shoulders!G43+shoulders!G47</f>
        <v>2355.0999999999995</v>
      </c>
      <c r="V2" s="1100">
        <f>shoulders!G37</f>
        <v>760</v>
      </c>
      <c r="W2" s="1100">
        <f>shoulders!G39</f>
        <v>452</v>
      </c>
      <c r="X2" s="1122"/>
      <c r="Y2" s="1100">
        <f>SUM(P2:X2)</f>
        <v>6711.1999999999989</v>
      </c>
      <c r="Z2" s="1123"/>
      <c r="AA2" s="1389" t="s">
        <v>599</v>
      </c>
      <c r="AB2" s="1389"/>
      <c r="AC2" s="1389"/>
      <c r="AD2" s="118"/>
      <c r="AE2" s="1124"/>
      <c r="AF2" s="1389" t="s">
        <v>1555</v>
      </c>
      <c r="AG2" s="1389"/>
      <c r="AH2" s="1389"/>
      <c r="AI2" s="1389"/>
      <c r="AJ2" s="1389"/>
      <c r="AK2" s="1389"/>
      <c r="AL2" s="1389"/>
      <c r="AM2" s="1389"/>
      <c r="AN2" s="1389"/>
      <c r="AO2" s="1388"/>
      <c r="AP2" s="1389"/>
      <c r="AQ2" s="118"/>
      <c r="AR2" s="1388" t="s">
        <v>632</v>
      </c>
      <c r="AS2" s="1388"/>
      <c r="AT2" s="117"/>
      <c r="AU2" s="1388" t="s">
        <v>1205</v>
      </c>
      <c r="AV2" s="1388"/>
      <c r="AW2" s="1388"/>
      <c r="AX2" s="1388"/>
      <c r="AY2" s="1388"/>
      <c r="AZ2" s="1388"/>
      <c r="BA2" s="1388"/>
      <c r="BB2" s="1388"/>
      <c r="BC2" s="1388"/>
      <c r="BD2" s="1388"/>
      <c r="BE2" s="1388"/>
      <c r="BF2" s="1125"/>
      <c r="BG2" s="1389" t="s">
        <v>1556</v>
      </c>
      <c r="BH2" s="1389"/>
      <c r="BI2" s="1389"/>
      <c r="BJ2" s="1389"/>
      <c r="BK2" s="1389"/>
      <c r="BL2" s="1389"/>
      <c r="BM2" s="1389"/>
      <c r="BN2" s="1389"/>
      <c r="BO2" s="1389"/>
      <c r="BP2" s="1389"/>
      <c r="BQ2" s="1389"/>
    </row>
    <row r="3" spans="1:69" ht="15" customHeight="1" x14ac:dyDescent="0.25">
      <c r="A3" s="1096"/>
      <c r="B3" s="1100"/>
      <c r="C3" s="1101" t="s">
        <v>936</v>
      </c>
      <c r="D3" s="1102">
        <f>IFERROR('Pork Breaking'!E29/'Pork Breaking'!D29,)</f>
        <v>0</v>
      </c>
      <c r="E3" s="1394" t="s">
        <v>1196</v>
      </c>
      <c r="F3" s="1395"/>
      <c r="G3" s="1120">
        <f>shoulders!F28</f>
        <v>1108</v>
      </c>
      <c r="H3" s="1120">
        <f>shoulders!G28+shoulders!G51</f>
        <v>11188.8</v>
      </c>
      <c r="I3" s="1121">
        <f>I2+I4</f>
        <v>1.0011363534685622</v>
      </c>
      <c r="J3" s="1100"/>
      <c r="K3" s="1126">
        <f>K35</f>
        <v>1108</v>
      </c>
      <c r="L3" s="1126">
        <f t="shared" ref="L3:M3" si="0">L35</f>
        <v>11188.8</v>
      </c>
      <c r="M3" s="1126">
        <f t="shared" si="0"/>
        <v>4477.6000000000004</v>
      </c>
      <c r="N3" s="1100"/>
      <c r="O3" s="1100" t="s">
        <v>619</v>
      </c>
      <c r="P3" s="1126">
        <f>'New Deboning Shoulder'!P34</f>
        <v>15.216901968470541</v>
      </c>
      <c r="Q3" s="1126">
        <f>'New Deboning Shoulder'!Q34</f>
        <v>721.62422974183937</v>
      </c>
      <c r="R3" s="1126">
        <f>'New Deboning Shoulder'!R34</f>
        <v>235.7</v>
      </c>
      <c r="S3" s="1126">
        <f>'New Deboning Shoulder'!S34</f>
        <v>1256.9203745218279</v>
      </c>
      <c r="T3" s="1126">
        <f>'New Deboning Shoulder'!T34</f>
        <v>915.32768421416688</v>
      </c>
      <c r="U3" s="1126">
        <f>'New Deboning Shoulder'!U34</f>
        <v>2354.6897452765343</v>
      </c>
      <c r="V3" s="1126">
        <f>'New Deboning Shoulder'!V34</f>
        <v>759.82731852920836</v>
      </c>
      <c r="W3" s="1126">
        <f>'New Deboning Shoulder'!W34</f>
        <v>451.89374574795346</v>
      </c>
      <c r="X3" s="1126">
        <f>'New Deboning Shoulder'!X34</f>
        <v>0</v>
      </c>
      <c r="Y3" s="1126">
        <f>SUM(P3:X3)</f>
        <v>6711.2</v>
      </c>
      <c r="Z3" s="1127"/>
      <c r="AA3" s="1375"/>
      <c r="AB3" s="1375"/>
      <c r="AC3" s="1375"/>
      <c r="AD3" s="120"/>
      <c r="AE3" s="1128"/>
      <c r="AF3" s="1375"/>
      <c r="AG3" s="1375"/>
      <c r="AH3" s="1375"/>
      <c r="AI3" s="1375"/>
      <c r="AJ3" s="1375"/>
      <c r="AK3" s="1375"/>
      <c r="AL3" s="1375"/>
      <c r="AM3" s="1375"/>
      <c r="AN3" s="1375"/>
      <c r="AO3" s="1373"/>
      <c r="AP3" s="1375"/>
      <c r="AQ3" s="120"/>
      <c r="AR3" s="1373"/>
      <c r="AS3" s="1373"/>
      <c r="AT3" s="119"/>
      <c r="AU3" s="1373"/>
      <c r="AV3" s="1373"/>
      <c r="AW3" s="1373"/>
      <c r="AX3" s="1373"/>
      <c r="AY3" s="1373"/>
      <c r="AZ3" s="1373"/>
      <c r="BA3" s="1373"/>
      <c r="BB3" s="1373"/>
      <c r="BC3" s="1373"/>
      <c r="BD3" s="1373"/>
      <c r="BE3" s="1373"/>
      <c r="BF3" s="1129"/>
      <c r="BG3" s="1375"/>
      <c r="BH3" s="1375"/>
      <c r="BI3" s="1375"/>
      <c r="BJ3" s="1375"/>
      <c r="BK3" s="1375"/>
      <c r="BL3" s="1375"/>
      <c r="BM3" s="1375"/>
      <c r="BN3" s="1375"/>
      <c r="BO3" s="1375"/>
      <c r="BP3" s="1375"/>
      <c r="BQ3" s="1375"/>
    </row>
    <row r="4" spans="1:69" ht="15" customHeight="1" thickBot="1" x14ac:dyDescent="0.3">
      <c r="A4" s="1096"/>
      <c r="B4" s="1100"/>
      <c r="C4" s="1101" t="s">
        <v>937</v>
      </c>
      <c r="D4" s="1103"/>
      <c r="E4" s="1379" t="s">
        <v>620</v>
      </c>
      <c r="F4" s="1380"/>
      <c r="G4" s="1130">
        <f>G3-G2</f>
        <v>0</v>
      </c>
      <c r="H4" s="1130">
        <f>H3-H2</f>
        <v>12.699999999998909</v>
      </c>
      <c r="I4" s="1131">
        <f>H4/H2</f>
        <v>1.1363534685622809E-3</v>
      </c>
      <c r="J4" s="1132"/>
      <c r="K4" s="1130">
        <f>K2-K3</f>
        <v>0</v>
      </c>
      <c r="L4" s="1130">
        <f t="shared" ref="L4:M4" si="1">L2-L3</f>
        <v>0</v>
      </c>
      <c r="M4" s="1131">
        <f t="shared" si="1"/>
        <v>0</v>
      </c>
      <c r="N4" s="1101"/>
      <c r="O4" s="1101"/>
      <c r="P4" s="1133">
        <f>P2-P3</f>
        <v>-1.6169019684705415</v>
      </c>
      <c r="Q4" s="1133">
        <f t="shared" ref="Q4" si="2">Q2-Q3</f>
        <v>0.17577025816058267</v>
      </c>
      <c r="R4" s="1133">
        <f t="shared" ref="R4:S4" si="3">R2-R3</f>
        <v>0</v>
      </c>
      <c r="S4" s="1133">
        <f t="shared" si="3"/>
        <v>0.37962547817210179</v>
      </c>
      <c r="T4" s="1133">
        <f t="shared" ref="T4" si="4">T2-T3</f>
        <v>0.37231578583305236</v>
      </c>
      <c r="U4" s="1133">
        <f t="shared" ref="U4:V4" si="5">U2-U3</f>
        <v>0.41025472346518654</v>
      </c>
      <c r="V4" s="1133">
        <f t="shared" si="5"/>
        <v>0.17268147079164464</v>
      </c>
      <c r="W4" s="1133">
        <f t="shared" ref="W4" si="6">W2-W3</f>
        <v>0.10625425204653993</v>
      </c>
      <c r="X4" s="1133">
        <f t="shared" ref="X4:Y4" si="7">X2-X3</f>
        <v>0</v>
      </c>
      <c r="Y4" s="1133">
        <f t="shared" si="7"/>
        <v>0</v>
      </c>
      <c r="Z4" s="1134"/>
      <c r="AA4" s="1375"/>
      <c r="AB4" s="1375"/>
      <c r="AC4" s="1375"/>
      <c r="AD4" s="120"/>
      <c r="AE4" s="1128"/>
      <c r="AF4" s="1375"/>
      <c r="AG4" s="1375"/>
      <c r="AH4" s="1375"/>
      <c r="AI4" s="1375"/>
      <c r="AJ4" s="1375"/>
      <c r="AK4" s="1375"/>
      <c r="AL4" s="1375"/>
      <c r="AM4" s="1375"/>
      <c r="AN4" s="1375"/>
      <c r="AO4" s="1373"/>
      <c r="AP4" s="1375"/>
      <c r="AQ4" s="120"/>
      <c r="AR4" s="1373"/>
      <c r="AS4" s="1373"/>
      <c r="AT4" s="119"/>
      <c r="AU4" s="1373"/>
      <c r="AV4" s="1373"/>
      <c r="AW4" s="1373"/>
      <c r="AX4" s="1373"/>
      <c r="AY4" s="1373"/>
      <c r="AZ4" s="1373"/>
      <c r="BA4" s="1373"/>
      <c r="BB4" s="1373"/>
      <c r="BC4" s="1373"/>
      <c r="BD4" s="1373"/>
      <c r="BE4" s="1373"/>
      <c r="BF4" s="1129"/>
      <c r="BG4" s="1375"/>
      <c r="BH4" s="1375"/>
      <c r="BI4" s="1375"/>
      <c r="BJ4" s="1375"/>
      <c r="BK4" s="1375"/>
      <c r="BL4" s="1375"/>
      <c r="BM4" s="1375"/>
      <c r="BN4" s="1375"/>
      <c r="BO4" s="1375"/>
      <c r="BP4" s="1375"/>
      <c r="BQ4" s="1375"/>
    </row>
    <row r="5" spans="1:69" ht="26.25" customHeight="1" thickTop="1" thickBot="1" x14ac:dyDescent="0.3">
      <c r="A5" s="1104"/>
      <c r="B5" s="1105"/>
      <c r="C5" s="1105"/>
      <c r="D5" s="1106"/>
      <c r="E5" s="1105"/>
      <c r="F5" s="52"/>
      <c r="G5" s="1105"/>
      <c r="H5" s="1105"/>
      <c r="I5" s="1105"/>
      <c r="J5" s="1105"/>
      <c r="K5" s="1105"/>
      <c r="L5" s="1105"/>
      <c r="M5" s="1105"/>
      <c r="N5" s="1105"/>
      <c r="O5" s="1135"/>
      <c r="P5" s="1135">
        <f>P4</f>
        <v>-1.6169019684705415</v>
      </c>
      <c r="Q5" s="1135">
        <f>Q4</f>
        <v>0.17577025816058267</v>
      </c>
      <c r="R5" s="1135">
        <f t="shared" ref="R5:Y5" si="8">R4</f>
        <v>0</v>
      </c>
      <c r="S5" s="1135">
        <f t="shared" si="8"/>
        <v>0.37962547817210179</v>
      </c>
      <c r="T5" s="1135">
        <f t="shared" si="8"/>
        <v>0.37231578583305236</v>
      </c>
      <c r="U5" s="1135">
        <f t="shared" si="8"/>
        <v>0.41025472346518654</v>
      </c>
      <c r="V5" s="1135">
        <f t="shared" si="8"/>
        <v>0.17268147079164464</v>
      </c>
      <c r="W5" s="1135">
        <f t="shared" si="8"/>
        <v>0.10625425204653993</v>
      </c>
      <c r="X5" s="1135">
        <f t="shared" si="8"/>
        <v>0</v>
      </c>
      <c r="Y5" s="1135">
        <f t="shared" si="8"/>
        <v>0</v>
      </c>
      <c r="Z5" s="1136"/>
      <c r="AA5" s="1376"/>
      <c r="AB5" s="1376"/>
      <c r="AC5" s="1376"/>
      <c r="AD5" s="114"/>
      <c r="AE5" s="1137"/>
      <c r="AF5" s="1376"/>
      <c r="AG5" s="1376"/>
      <c r="AH5" s="1376"/>
      <c r="AI5" s="1376"/>
      <c r="AJ5" s="1376"/>
      <c r="AK5" s="1376"/>
      <c r="AL5" s="1376"/>
      <c r="AM5" s="1376"/>
      <c r="AN5" s="1376"/>
      <c r="AO5" s="1374"/>
      <c r="AP5" s="1376"/>
      <c r="AQ5" s="114"/>
      <c r="AR5" s="1374"/>
      <c r="AS5" s="1374"/>
      <c r="AT5" s="114"/>
      <c r="AU5" s="1374"/>
      <c r="AV5" s="1374"/>
      <c r="AW5" s="1374"/>
      <c r="AX5" s="1374"/>
      <c r="AY5" s="1374"/>
      <c r="AZ5" s="1374"/>
      <c r="BA5" s="1374"/>
      <c r="BB5" s="1374"/>
      <c r="BC5" s="1374"/>
      <c r="BD5" s="1374"/>
      <c r="BE5" s="1374"/>
      <c r="BF5" s="1138"/>
      <c r="BG5" s="1376"/>
      <c r="BH5" s="1376"/>
      <c r="BI5" s="1376"/>
      <c r="BJ5" s="1376"/>
      <c r="BK5" s="1376"/>
      <c r="BL5" s="1376"/>
      <c r="BM5" s="1376"/>
      <c r="BN5" s="1376"/>
      <c r="BO5" s="1376"/>
      <c r="BP5" s="1376"/>
      <c r="BQ5" s="1376"/>
    </row>
    <row r="6" spans="1:69" ht="16.5" thickTop="1" thickBot="1" x14ac:dyDescent="0.3">
      <c r="A6" s="1107"/>
      <c r="B6" s="1108"/>
      <c r="C6" s="1108"/>
      <c r="D6" s="1109"/>
      <c r="E6" s="1108"/>
      <c r="F6" s="54"/>
      <c r="G6" s="1108"/>
      <c r="H6" s="1108"/>
      <c r="I6" s="1108"/>
      <c r="J6" s="1108"/>
      <c r="K6" s="1108"/>
      <c r="L6" s="1108"/>
      <c r="M6" s="1108"/>
      <c r="N6" s="1108"/>
      <c r="O6" s="1108"/>
      <c r="P6" s="1139" t="s">
        <v>2</v>
      </c>
      <c r="Q6" s="1139" t="s">
        <v>4</v>
      </c>
      <c r="R6" s="1139" t="s">
        <v>7</v>
      </c>
      <c r="S6" s="1139" t="s">
        <v>1</v>
      </c>
      <c r="T6" s="1139" t="s">
        <v>3</v>
      </c>
      <c r="U6" s="1139" t="s">
        <v>6</v>
      </c>
      <c r="V6" s="1139" t="s">
        <v>5</v>
      </c>
      <c r="W6" s="1139" t="s">
        <v>260</v>
      </c>
      <c r="X6" s="1140" t="s">
        <v>56</v>
      </c>
      <c r="Y6" s="1140"/>
      <c r="Z6" s="1140"/>
      <c r="AA6" s="1108"/>
      <c r="AB6" s="1141"/>
      <c r="AC6" s="1108"/>
      <c r="AD6" s="1108"/>
      <c r="AE6" s="1141"/>
      <c r="AF6" s="1139" t="s">
        <v>2</v>
      </c>
      <c r="AG6" s="1139" t="s">
        <v>4</v>
      </c>
      <c r="AH6" s="1139" t="s">
        <v>7</v>
      </c>
      <c r="AI6" s="1139" t="s">
        <v>1</v>
      </c>
      <c r="AJ6" s="1139" t="s">
        <v>3</v>
      </c>
      <c r="AK6" s="1139" t="s">
        <v>6</v>
      </c>
      <c r="AL6" s="1139" t="s">
        <v>5</v>
      </c>
      <c r="AM6" s="1139" t="s">
        <v>260</v>
      </c>
      <c r="AN6" s="1140" t="s">
        <v>56</v>
      </c>
      <c r="AO6" s="56"/>
      <c r="AP6" s="1140"/>
      <c r="AQ6" s="56"/>
      <c r="AR6" s="57"/>
      <c r="AS6" s="54"/>
      <c r="AT6" s="54"/>
      <c r="AU6" s="55" t="s">
        <v>2</v>
      </c>
      <c r="AV6" s="55" t="s">
        <v>4</v>
      </c>
      <c r="AW6" s="55" t="s">
        <v>7</v>
      </c>
      <c r="AX6" s="55" t="s">
        <v>1</v>
      </c>
      <c r="AY6" s="55" t="s">
        <v>3</v>
      </c>
      <c r="AZ6" s="55" t="s">
        <v>6</v>
      </c>
      <c r="BA6" s="55" t="s">
        <v>5</v>
      </c>
      <c r="BB6" s="55" t="s">
        <v>260</v>
      </c>
      <c r="BC6" s="56" t="s">
        <v>56</v>
      </c>
      <c r="BD6" s="56"/>
      <c r="BE6" s="56"/>
      <c r="BF6" s="1108"/>
      <c r="BG6" s="1140"/>
      <c r="BH6" s="1139" t="s">
        <v>2</v>
      </c>
      <c r="BI6" s="1139" t="s">
        <v>4</v>
      </c>
      <c r="BJ6" s="1139" t="s">
        <v>7</v>
      </c>
      <c r="BK6" s="1139" t="s">
        <v>1</v>
      </c>
      <c r="BL6" s="1139" t="s">
        <v>3</v>
      </c>
      <c r="BM6" s="1139" t="s">
        <v>6</v>
      </c>
      <c r="BN6" s="1139" t="s">
        <v>5</v>
      </c>
      <c r="BO6" s="1139" t="s">
        <v>260</v>
      </c>
      <c r="BP6" s="1140" t="s">
        <v>56</v>
      </c>
      <c r="BQ6" s="1140"/>
    </row>
    <row r="7" spans="1:69" ht="75.75" thickTop="1" x14ac:dyDescent="0.25">
      <c r="A7" s="1110"/>
      <c r="B7" s="1111" t="s">
        <v>8</v>
      </c>
      <c r="C7" s="1112" t="s">
        <v>9</v>
      </c>
      <c r="D7" s="1113" t="s">
        <v>57</v>
      </c>
      <c r="E7" s="1111" t="s">
        <v>586</v>
      </c>
      <c r="F7" s="131" t="s">
        <v>637</v>
      </c>
      <c r="G7" s="1111" t="s">
        <v>1210</v>
      </c>
      <c r="H7" s="1111" t="s">
        <v>258</v>
      </c>
      <c r="I7" s="1111" t="s">
        <v>587</v>
      </c>
      <c r="J7" s="1111" t="s">
        <v>588</v>
      </c>
      <c r="K7" s="1111" t="s">
        <v>593</v>
      </c>
      <c r="L7" s="1111" t="s">
        <v>596</v>
      </c>
      <c r="M7" s="1112" t="s">
        <v>594</v>
      </c>
      <c r="N7" s="1142"/>
      <c r="O7" s="1143" t="s">
        <v>588</v>
      </c>
      <c r="P7" s="1111" t="s">
        <v>182</v>
      </c>
      <c r="Q7" s="1111" t="s">
        <v>265</v>
      </c>
      <c r="R7" s="1111" t="s">
        <v>570</v>
      </c>
      <c r="S7" s="1111" t="s">
        <v>569</v>
      </c>
      <c r="T7" s="1111" t="s">
        <v>58</v>
      </c>
      <c r="U7" s="1111" t="s">
        <v>60</v>
      </c>
      <c r="V7" s="1111" t="s">
        <v>59</v>
      </c>
      <c r="W7" s="1111" t="s">
        <v>261</v>
      </c>
      <c r="X7" s="1144" t="s">
        <v>246</v>
      </c>
      <c r="Y7" s="1145" t="s">
        <v>597</v>
      </c>
      <c r="Z7" s="1146"/>
      <c r="AA7" s="1111" t="s">
        <v>598</v>
      </c>
      <c r="AB7" s="1111" t="s">
        <v>623</v>
      </c>
      <c r="AC7" s="1111" t="s">
        <v>622</v>
      </c>
      <c r="AD7" s="1146"/>
      <c r="AE7" s="1111" t="str">
        <f>BG7</f>
        <v>Main Products</v>
      </c>
      <c r="AF7" s="1111" t="s">
        <v>182</v>
      </c>
      <c r="AG7" s="1111" t="s">
        <v>265</v>
      </c>
      <c r="AH7" s="1111" t="s">
        <v>570</v>
      </c>
      <c r="AI7" s="1111" t="s">
        <v>569</v>
      </c>
      <c r="AJ7" s="1111" t="s">
        <v>58</v>
      </c>
      <c r="AK7" s="1111" t="s">
        <v>60</v>
      </c>
      <c r="AL7" s="1111" t="s">
        <v>59</v>
      </c>
      <c r="AM7" s="1111" t="s">
        <v>261</v>
      </c>
      <c r="AN7" s="1144" t="s">
        <v>246</v>
      </c>
      <c r="AO7" s="132" t="s">
        <v>641</v>
      </c>
      <c r="AP7" s="1148" t="s">
        <v>947</v>
      </c>
      <c r="AQ7" s="914"/>
      <c r="AR7" s="916" t="s">
        <v>600</v>
      </c>
      <c r="AS7" s="916" t="s">
        <v>1193</v>
      </c>
      <c r="AT7" s="915"/>
      <c r="AU7" s="131" t="s">
        <v>182</v>
      </c>
      <c r="AV7" s="131" t="s">
        <v>265</v>
      </c>
      <c r="AW7" s="131" t="s">
        <v>570</v>
      </c>
      <c r="AX7" s="131" t="s">
        <v>569</v>
      </c>
      <c r="AY7" s="131" t="s">
        <v>58</v>
      </c>
      <c r="AZ7" s="131" t="s">
        <v>60</v>
      </c>
      <c r="BA7" s="131" t="s">
        <v>59</v>
      </c>
      <c r="BB7" s="131" t="s">
        <v>261</v>
      </c>
      <c r="BC7" s="132" t="s">
        <v>246</v>
      </c>
      <c r="BD7" s="132" t="s">
        <v>621</v>
      </c>
      <c r="BE7" s="131" t="s">
        <v>595</v>
      </c>
      <c r="BF7" s="1147"/>
      <c r="BG7" s="1111" t="s">
        <v>614</v>
      </c>
      <c r="BH7" s="1111" t="s">
        <v>182</v>
      </c>
      <c r="BI7" s="1111" t="s">
        <v>265</v>
      </c>
      <c r="BJ7" s="1111" t="s">
        <v>570</v>
      </c>
      <c r="BK7" s="1111" t="s">
        <v>569</v>
      </c>
      <c r="BL7" s="1111" t="s">
        <v>58</v>
      </c>
      <c r="BM7" s="1111" t="s">
        <v>60</v>
      </c>
      <c r="BN7" s="1111" t="s">
        <v>59</v>
      </c>
      <c r="BO7" s="1111" t="s">
        <v>261</v>
      </c>
      <c r="BP7" s="1144" t="s">
        <v>246</v>
      </c>
      <c r="BQ7" s="1150" t="s">
        <v>595</v>
      </c>
    </row>
    <row r="8" spans="1:69" customFormat="1" ht="14.1" hidden="1" customHeight="1" x14ac:dyDescent="0.25">
      <c r="A8" s="70"/>
      <c r="B8" s="66" t="s">
        <v>1444</v>
      </c>
      <c r="C8" s="138" t="s">
        <v>1445</v>
      </c>
      <c r="D8" s="936" t="s">
        <v>1442</v>
      </c>
      <c r="E8" s="66" t="s">
        <v>1516</v>
      </c>
      <c r="F8" s="66"/>
      <c r="G8" s="66">
        <f>_xlfn.IFNA(INDEX(NewRecipeTable[Percentage Yield],MATCH('New Deboning Shoulder'!$E8,NewRecipeTable[ShortCode],0)),0)</f>
        <v>89.2</v>
      </c>
      <c r="H8" s="140">
        <v>1570</v>
      </c>
      <c r="I8" s="66" t="str">
        <f t="array" ref="I8:I32">IF(E8:E32=_xlfn.IFNA(INDEX(shoulders!$D$8:$D$27,MATCH($E$8:$E$32,shoulders!$D$8:$D$27,0)),0),"Yes","No")</f>
        <v>No</v>
      </c>
      <c r="J8" s="66" t="s">
        <v>244</v>
      </c>
      <c r="K8" s="133">
        <f>SUMIFS(shoulders!$F$8:$F$27,shoulders!$D$8:$D$27,'New Deboning Shoulder'!$E8,shoulders!$G$8:$G$27,"&lt;&gt;0")</f>
        <v>0</v>
      </c>
      <c r="L8" s="66">
        <f>$D$2*K8</f>
        <v>0</v>
      </c>
      <c r="M8" s="133">
        <f>SUMIFS(shoulders!$G$8:$G$27,shoulders!$D$8:$D$27,'New Deboning Shoulder'!$E8,shoulders!$G$8:$G$27,"&lt;&gt;0")</f>
        <v>0</v>
      </c>
      <c r="N8" s="69"/>
      <c r="O8" s="92" t="s">
        <v>639</v>
      </c>
      <c r="P8" s="71">
        <f t="array" ref="P8:X32">IF(P2:X2=0,0,ABS(IF(P42:X66=0,0,P42:X66/P68:X68*P2:X2)--AU8:BC32))</f>
        <v>0</v>
      </c>
      <c r="Q8" s="71">
        <v>0</v>
      </c>
      <c r="R8" s="71">
        <v>0</v>
      </c>
      <c r="S8" s="71">
        <v>0</v>
      </c>
      <c r="T8" s="71">
        <v>0</v>
      </c>
      <c r="U8" s="71">
        <v>0</v>
      </c>
      <c r="V8" s="71">
        <v>0</v>
      </c>
      <c r="W8" s="71">
        <v>0</v>
      </c>
      <c r="X8" s="71">
        <v>0</v>
      </c>
      <c r="Y8" s="142">
        <f>SUM(P8:X8)</f>
        <v>0</v>
      </c>
      <c r="Z8" s="84"/>
      <c r="AA8" s="71">
        <f t="shared" ref="AA8:AA32" si="9">IF($M8=0,0,($M8/$L8*100))</f>
        <v>0</v>
      </c>
      <c r="AB8" s="133">
        <f t="shared" ref="AB8:AB32" si="10">IF($M8&lt;&gt;0,$G8,0)</f>
        <v>0</v>
      </c>
      <c r="AC8" s="133">
        <f t="shared" ref="AC8:AC23" si="11">AB8-AA8</f>
        <v>0</v>
      </c>
      <c r="AD8" s="69"/>
      <c r="AE8" s="133">
        <f t="shared" ref="AE8:AE32" si="12">IF($M8&lt;&gt;0,$G8,0)</f>
        <v>0</v>
      </c>
      <c r="AF8" s="66">
        <f t="array" ref="AF8:AN32">IF($K8:$K32=0,0,(SUMIFS(NewRecipeList!$G$2:$G$1148,NewRecipeList!$A$2:$A$1148,$D8:$D32,NewRecipeList!$C$2:$C$1148,$AF$6:$AN$6)))</f>
        <v>0</v>
      </c>
      <c r="AG8" s="66">
        <v>0</v>
      </c>
      <c r="AH8" s="66">
        <v>0</v>
      </c>
      <c r="AI8" s="66">
        <v>0</v>
      </c>
      <c r="AJ8" s="66">
        <v>0</v>
      </c>
      <c r="AK8" s="66">
        <v>0</v>
      </c>
      <c r="AL8" s="66">
        <v>0</v>
      </c>
      <c r="AM8" s="66">
        <v>0</v>
      </c>
      <c r="AN8" s="66">
        <v>0</v>
      </c>
      <c r="AO8" s="143">
        <f>SUM(AF8:AN8)</f>
        <v>0</v>
      </c>
      <c r="AP8" s="136">
        <f>SUM(AB8,AF8:AN8)</f>
        <v>0</v>
      </c>
      <c r="AQ8" s="84"/>
      <c r="AR8" s="71"/>
      <c r="AS8" s="71"/>
      <c r="AT8" s="69"/>
      <c r="AU8" s="66">
        <f t="array" ref="AU8:BC32">$AU$42:$BC$66</f>
        <v>0</v>
      </c>
      <c r="AV8" s="66">
        <v>0</v>
      </c>
      <c r="AW8" s="66">
        <v>0</v>
      </c>
      <c r="AX8" s="66">
        <v>0</v>
      </c>
      <c r="AY8" s="66">
        <v>0</v>
      </c>
      <c r="AZ8" s="66">
        <v>0</v>
      </c>
      <c r="BA8" s="66">
        <v>0</v>
      </c>
      <c r="BB8" s="66">
        <v>0</v>
      </c>
      <c r="BC8" s="66">
        <v>0</v>
      </c>
      <c r="BD8" s="67">
        <f>SUM(AU8:BC8)</f>
        <v>0</v>
      </c>
      <c r="BE8" s="68">
        <f>SUM(AU8:BC8)</f>
        <v>0</v>
      </c>
      <c r="BF8" s="69"/>
      <c r="BG8" s="133">
        <f>IF($L8=0,0,$M8/$L8*100)</f>
        <v>0</v>
      </c>
      <c r="BH8" s="133">
        <f>IF($L8=0,0,($P8/$L8*100))</f>
        <v>0</v>
      </c>
      <c r="BI8" s="133">
        <f t="shared" ref="BI8:BI32" si="13">IF($L8=0,0,($Q8/$L8*100))</f>
        <v>0</v>
      </c>
      <c r="BJ8" s="133">
        <f>IF($L8=0,0,($R8/$L8*100))</f>
        <v>0</v>
      </c>
      <c r="BK8" s="133">
        <f>IF($L8=0,0,($S8/$L8*100))</f>
        <v>0</v>
      </c>
      <c r="BL8" s="133">
        <f>IF($L8=0,0,($T8/$L8*100))</f>
        <v>0</v>
      </c>
      <c r="BM8" s="133">
        <f>IF($L8=0,0,($U8/$L8*100))</f>
        <v>0</v>
      </c>
      <c r="BN8" s="144">
        <f>IF($L8=0,0,($V8/$L8*100))</f>
        <v>0</v>
      </c>
      <c r="BO8" s="133">
        <f>IF($L8=0,0,($W8/$L8*100))</f>
        <v>0</v>
      </c>
      <c r="BP8" s="133">
        <f t="shared" ref="BP8:BP32" si="14">IF($L8=0,0,($X8/$L8*100))</f>
        <v>0</v>
      </c>
      <c r="BQ8" s="145">
        <f>SUM(BG8:BP8)</f>
        <v>0</v>
      </c>
    </row>
    <row r="9" spans="1:69" customFormat="1" ht="14.1" hidden="1" customHeight="1" x14ac:dyDescent="0.25">
      <c r="A9" s="70"/>
      <c r="B9" s="133" t="s">
        <v>19</v>
      </c>
      <c r="C9" s="141" t="s">
        <v>568</v>
      </c>
      <c r="D9" s="937" t="s">
        <v>1446</v>
      </c>
      <c r="E9" s="133" t="s">
        <v>1517</v>
      </c>
      <c r="F9" s="66"/>
      <c r="G9" s="66">
        <f>_xlfn.IFNA(INDEX(NewRecipeTable[Percentage Yield],MATCH('New Deboning Shoulder'!$E9,NewRecipeTable[ShortCode],0)),0)</f>
        <v>14.91</v>
      </c>
      <c r="H9" s="146">
        <v>1570</v>
      </c>
      <c r="I9" s="66" t="str">
        <v>No</v>
      </c>
      <c r="J9" s="133" t="s">
        <v>244</v>
      </c>
      <c r="K9" s="133">
        <f>SUMIFS(shoulders!$F$8:$F$27,shoulders!$D$8:$D$27,'New Deboning Shoulder'!$E9,shoulders!$G$8:$G$27,"&lt;&gt;0")</f>
        <v>0</v>
      </c>
      <c r="L9" s="66">
        <f t="shared" ref="L9:L32" si="15">$D$2*K9</f>
        <v>0</v>
      </c>
      <c r="M9" s="133">
        <f>SUMIFS(shoulders!$G$8:$G$27,shoulders!$D$8:$D$27,'New Deboning Shoulder'!$E9,shoulders!$G$8:$G$27,"&lt;&gt;0")</f>
        <v>0</v>
      </c>
      <c r="N9" s="69"/>
      <c r="O9" s="92" t="s">
        <v>639</v>
      </c>
      <c r="P9" s="1017">
        <v>0</v>
      </c>
      <c r="Q9" s="1017">
        <v>0</v>
      </c>
      <c r="R9" s="1017">
        <v>0</v>
      </c>
      <c r="S9" s="1017">
        <v>0</v>
      </c>
      <c r="T9" s="1017">
        <v>0</v>
      </c>
      <c r="U9" s="1017">
        <v>0</v>
      </c>
      <c r="V9" s="1017">
        <v>0</v>
      </c>
      <c r="W9" s="1017">
        <v>0</v>
      </c>
      <c r="X9" s="1017">
        <v>0</v>
      </c>
      <c r="Y9" s="142">
        <f t="shared" ref="Y9:Y16" si="16">SUM(P9:X9)</f>
        <v>0</v>
      </c>
      <c r="Z9" s="84"/>
      <c r="AA9" s="71">
        <f t="shared" si="9"/>
        <v>0</v>
      </c>
      <c r="AB9" s="133">
        <f t="shared" si="10"/>
        <v>0</v>
      </c>
      <c r="AC9" s="133">
        <f t="shared" si="11"/>
        <v>0</v>
      </c>
      <c r="AD9" s="69"/>
      <c r="AE9" s="133">
        <f t="shared" si="12"/>
        <v>0</v>
      </c>
      <c r="AF9" s="66">
        <v>0</v>
      </c>
      <c r="AG9" s="66">
        <v>0</v>
      </c>
      <c r="AH9" s="66">
        <v>0</v>
      </c>
      <c r="AI9" s="66">
        <v>0</v>
      </c>
      <c r="AJ9" s="66">
        <v>0</v>
      </c>
      <c r="AK9" s="66">
        <v>0</v>
      </c>
      <c r="AL9" s="66">
        <v>0</v>
      </c>
      <c r="AM9" s="66">
        <v>0</v>
      </c>
      <c r="AN9" s="66">
        <v>0</v>
      </c>
      <c r="AO9" s="143">
        <f t="shared" ref="AO9:AO23" si="17">SUM(AF9:AN9)</f>
        <v>0</v>
      </c>
      <c r="AP9" s="136">
        <f t="shared" ref="AP9:AP32" si="18">SUM(AB9,AF9:AN9)</f>
        <v>0</v>
      </c>
      <c r="AQ9" s="84"/>
      <c r="AR9" s="71"/>
      <c r="AS9" s="71"/>
      <c r="AT9" s="69"/>
      <c r="AU9" s="66">
        <v>0</v>
      </c>
      <c r="AV9" s="66">
        <v>0</v>
      </c>
      <c r="AW9" s="66">
        <v>0</v>
      </c>
      <c r="AX9" s="66">
        <v>0</v>
      </c>
      <c r="AY9" s="66">
        <v>0</v>
      </c>
      <c r="AZ9" s="66">
        <v>0</v>
      </c>
      <c r="BA9" s="66">
        <v>0</v>
      </c>
      <c r="BB9" s="66">
        <v>0</v>
      </c>
      <c r="BC9" s="66">
        <v>0</v>
      </c>
      <c r="BD9" s="67">
        <f t="shared" ref="BD9:BD23" si="19">SUM(AU9:BC9)</f>
        <v>0</v>
      </c>
      <c r="BE9" s="68">
        <f t="shared" ref="BE9:BE23" si="20">SUM(AU9:BC9)</f>
        <v>0</v>
      </c>
      <c r="BF9" s="69"/>
      <c r="BG9" s="133">
        <f t="shared" ref="BG9:BG32" si="21">IF($L9=0,0,$M9/$L9*100)</f>
        <v>0</v>
      </c>
      <c r="BH9" s="133">
        <f t="shared" ref="BH9:BH32" si="22">IF($L9=0,0,($P9/$L9*100))</f>
        <v>0</v>
      </c>
      <c r="BI9" s="133">
        <f t="shared" si="13"/>
        <v>0</v>
      </c>
      <c r="BJ9" s="133">
        <f t="shared" ref="BJ9:BJ32" si="23">IF($L9=0,0,($R9/$L9*100))</f>
        <v>0</v>
      </c>
      <c r="BK9" s="133">
        <f t="shared" ref="BK9:BK32" si="24">IF($L9=0,0,($S9/$L9*100))</f>
        <v>0</v>
      </c>
      <c r="BL9" s="133">
        <f t="shared" ref="BL9:BL32" si="25">IF($L9=0,0,($T9/$L9*100))</f>
        <v>0</v>
      </c>
      <c r="BM9" s="133">
        <f t="shared" ref="BM9:BM32" si="26">IF($L9=0,0,($U9/$L9*100))</f>
        <v>0</v>
      </c>
      <c r="BN9" s="144">
        <f t="shared" ref="BN9:BN32" si="27">IF($L9=0,0,($V9/$L9*100))</f>
        <v>0</v>
      </c>
      <c r="BO9" s="133">
        <f t="shared" ref="BO9:BO32" si="28">IF($L9=0,0,($W9/$L9*100))</f>
        <v>0</v>
      </c>
      <c r="BP9" s="133">
        <f t="shared" si="14"/>
        <v>0</v>
      </c>
      <c r="BQ9" s="145">
        <f t="shared" ref="BQ9:BQ23" si="29">SUM(BG9:BP9)</f>
        <v>0</v>
      </c>
    </row>
    <row r="10" spans="1:69" ht="14.1" customHeight="1" x14ac:dyDescent="0.25">
      <c r="A10" s="1119"/>
      <c r="B10" s="1151" t="s">
        <v>19</v>
      </c>
      <c r="C10" s="1152" t="s">
        <v>568</v>
      </c>
      <c r="D10" s="1153" t="s">
        <v>22</v>
      </c>
      <c r="E10" s="1151" t="s">
        <v>48</v>
      </c>
      <c r="F10" s="66"/>
      <c r="G10" s="1154">
        <f>_xlfn.IFNA(INDEX(NewRecipeTable[Percentage Yield],MATCH('New Deboning Shoulder'!$E10,NewRecipeTable[ShortCode],0)),0)</f>
        <v>16.670000000000002</v>
      </c>
      <c r="H10" s="1151">
        <v>1570</v>
      </c>
      <c r="I10" s="1154" t="str">
        <v>Yes</v>
      </c>
      <c r="J10" s="1151" t="s">
        <v>244</v>
      </c>
      <c r="K10" s="1151">
        <f>SUMIFS(shoulders!$F$8:$F$27,shoulders!$D$8:$D$27,'New Deboning Shoulder'!$E10,shoulders!$G$8:$G$27,"&lt;&gt;0")</f>
        <v>216</v>
      </c>
      <c r="L10" s="1154">
        <f t="shared" si="15"/>
        <v>2178.7342960288806</v>
      </c>
      <c r="M10" s="1151">
        <f>SUMIFS(shoulders!$G$8:$G$27,shoulders!$D$8:$D$27,'New Deboning Shoulder'!$E10,shoulders!$G$8:$G$27,"&lt;&gt;0")</f>
        <v>339.7</v>
      </c>
      <c r="N10" s="1142"/>
      <c r="O10" s="1155" t="s">
        <v>639</v>
      </c>
      <c r="P10" s="1156">
        <v>11.897872528441512</v>
      </c>
      <c r="Q10" s="1156">
        <v>122.95016054231579</v>
      </c>
      <c r="R10" s="1156">
        <v>97.970578624140629</v>
      </c>
      <c r="S10" s="1156">
        <v>297.8154854448544</v>
      </c>
      <c r="T10" s="1156">
        <v>480.70807180155833</v>
      </c>
      <c r="U10" s="1156">
        <v>602.03656708508765</v>
      </c>
      <c r="V10" s="1156">
        <v>126.805283073868</v>
      </c>
      <c r="W10" s="1156">
        <v>98.850276928614107</v>
      </c>
      <c r="X10" s="1156">
        <v>0</v>
      </c>
      <c r="Y10" s="1157">
        <f t="shared" si="16"/>
        <v>1839.0342960288804</v>
      </c>
      <c r="Z10" s="1158"/>
      <c r="AA10" s="1156">
        <f t="shared" si="9"/>
        <v>15.591621273836001</v>
      </c>
      <c r="AB10" s="1151">
        <f t="shared" si="10"/>
        <v>16.670000000000002</v>
      </c>
      <c r="AC10" s="1151">
        <f t="shared" si="11"/>
        <v>1.0783787261640008</v>
      </c>
      <c r="AD10" s="1142"/>
      <c r="AE10" s="1151">
        <f t="shared" si="12"/>
        <v>16.670000000000002</v>
      </c>
      <c r="AF10" s="1154">
        <v>2.92</v>
      </c>
      <c r="AG10" s="1154">
        <v>3.98</v>
      </c>
      <c r="AH10" s="1154">
        <v>11.45</v>
      </c>
      <c r="AI10" s="1154">
        <v>12.31</v>
      </c>
      <c r="AJ10" s="1154">
        <v>29.26</v>
      </c>
      <c r="AK10" s="1154">
        <v>15.95</v>
      </c>
      <c r="AL10" s="1154">
        <v>3.88</v>
      </c>
      <c r="AM10" s="1154">
        <v>3.3</v>
      </c>
      <c r="AN10" s="1154">
        <v>0.28999999999999998</v>
      </c>
      <c r="AO10" s="143">
        <f t="shared" si="17"/>
        <v>83.34</v>
      </c>
      <c r="AP10" s="1159">
        <f t="shared" si="18"/>
        <v>100.01</v>
      </c>
      <c r="AQ10" s="84"/>
      <c r="AR10" s="71"/>
      <c r="AS10" s="71">
        <v>251.43059695771035</v>
      </c>
      <c r="AT10" s="70"/>
      <c r="AU10" s="66">
        <v>5.8370829922102585</v>
      </c>
      <c r="AV10" s="66">
        <v>26.546708063782742</v>
      </c>
      <c r="AW10" s="66">
        <v>0</v>
      </c>
      <c r="AX10" s="66">
        <v>57.335108044288859</v>
      </c>
      <c r="AY10" s="66">
        <v>56.231119971456835</v>
      </c>
      <c r="AZ10" s="66">
        <v>61.961064912735175</v>
      </c>
      <c r="BA10" s="66">
        <v>26.080206293709264</v>
      </c>
      <c r="BB10" s="66">
        <v>16.047655838546312</v>
      </c>
      <c r="BC10" s="66">
        <v>1.3916508409809079</v>
      </c>
      <c r="BD10" s="67">
        <f t="shared" si="19"/>
        <v>251.43059695771035</v>
      </c>
      <c r="BE10" s="68">
        <f t="shared" si="20"/>
        <v>251.43059695771035</v>
      </c>
      <c r="BF10" s="1119"/>
      <c r="BG10" s="1151">
        <f t="shared" si="21"/>
        <v>15.591621273836001</v>
      </c>
      <c r="BH10" s="1151">
        <f t="shared" si="22"/>
        <v>0.54609102863655468</v>
      </c>
      <c r="BI10" s="1151">
        <f t="shared" si="13"/>
        <v>5.64319204808102</v>
      </c>
      <c r="BJ10" s="1151">
        <f t="shared" si="23"/>
        <v>4.4966740002536758</v>
      </c>
      <c r="BK10" s="1151">
        <f t="shared" si="24"/>
        <v>13.669197110803028</v>
      </c>
      <c r="BL10" s="1151">
        <f t="shared" si="25"/>
        <v>22.063639089802358</v>
      </c>
      <c r="BM10" s="1151">
        <f t="shared" si="26"/>
        <v>27.632399608451713</v>
      </c>
      <c r="BN10" s="1160">
        <f t="shared" si="27"/>
        <v>5.8201352640839463</v>
      </c>
      <c r="BO10" s="1151">
        <f t="shared" si="28"/>
        <v>4.5370505760516915</v>
      </c>
      <c r="BP10" s="1151">
        <f t="shared" si="14"/>
        <v>0</v>
      </c>
      <c r="BQ10" s="1161">
        <f t="shared" si="29"/>
        <v>99.999999999999986</v>
      </c>
    </row>
    <row r="11" spans="1:69" customFormat="1" ht="14.1" hidden="1" customHeight="1" x14ac:dyDescent="0.25">
      <c r="A11" s="70"/>
      <c r="B11" s="133" t="s">
        <v>15</v>
      </c>
      <c r="C11" s="141" t="s">
        <v>572</v>
      </c>
      <c r="D11" s="937" t="s">
        <v>1448</v>
      </c>
      <c r="E11" s="133" t="s">
        <v>1518</v>
      </c>
      <c r="F11" s="66"/>
      <c r="G11" s="66">
        <f>_xlfn.IFNA(INDEX(NewRecipeTable[Percentage Yield],MATCH('New Deboning Shoulder'!$E11,NewRecipeTable[ShortCode],0)),0)</f>
        <v>24.3</v>
      </c>
      <c r="H11" s="146">
        <v>1570</v>
      </c>
      <c r="I11" s="66" t="str">
        <v>No</v>
      </c>
      <c r="J11" s="133" t="s">
        <v>244</v>
      </c>
      <c r="K11" s="133">
        <f>SUMIFS(shoulders!$F$8:$F$27,shoulders!$D$8:$D$27,'New Deboning Shoulder'!$E11,shoulders!$G$8:$G$27,"&lt;&gt;0")</f>
        <v>0</v>
      </c>
      <c r="L11" s="66">
        <f t="shared" si="15"/>
        <v>0</v>
      </c>
      <c r="M11" s="133">
        <f>SUMIFS(shoulders!$G$8:$G$27,shoulders!$D$8:$D$27,'New Deboning Shoulder'!$E11,shoulders!$G$8:$G$27,"&lt;&gt;0")</f>
        <v>0</v>
      </c>
      <c r="N11" s="69"/>
      <c r="O11" s="92" t="s">
        <v>639</v>
      </c>
      <c r="P11" s="1017">
        <v>0</v>
      </c>
      <c r="Q11" s="1017">
        <v>0</v>
      </c>
      <c r="R11" s="1017">
        <v>0</v>
      </c>
      <c r="S11" s="1017">
        <v>0</v>
      </c>
      <c r="T11" s="1017">
        <v>0</v>
      </c>
      <c r="U11" s="1017">
        <v>0</v>
      </c>
      <c r="V11" s="1017">
        <v>0</v>
      </c>
      <c r="W11" s="1017">
        <v>0</v>
      </c>
      <c r="X11" s="1017">
        <v>0</v>
      </c>
      <c r="Y11" s="142">
        <f t="shared" si="16"/>
        <v>0</v>
      </c>
      <c r="Z11" s="84"/>
      <c r="AA11" s="71">
        <f t="shared" si="9"/>
        <v>0</v>
      </c>
      <c r="AB11" s="133">
        <f t="shared" si="10"/>
        <v>0</v>
      </c>
      <c r="AC11" s="133">
        <f t="shared" si="11"/>
        <v>0</v>
      </c>
      <c r="AD11" s="69"/>
      <c r="AE11" s="133">
        <f t="shared" si="12"/>
        <v>0</v>
      </c>
      <c r="AF11" s="66">
        <v>0</v>
      </c>
      <c r="AG11" s="66">
        <v>0</v>
      </c>
      <c r="AH11" s="66">
        <v>0</v>
      </c>
      <c r="AI11" s="66">
        <v>0</v>
      </c>
      <c r="AJ11" s="66">
        <v>0</v>
      </c>
      <c r="AK11" s="66">
        <v>0</v>
      </c>
      <c r="AL11" s="66">
        <v>0</v>
      </c>
      <c r="AM11" s="66">
        <v>0</v>
      </c>
      <c r="AN11" s="66">
        <v>0</v>
      </c>
      <c r="AO11" s="143">
        <f t="shared" si="17"/>
        <v>0</v>
      </c>
      <c r="AP11" s="136">
        <f t="shared" si="18"/>
        <v>0</v>
      </c>
      <c r="AQ11" s="84"/>
      <c r="AR11" s="71"/>
      <c r="AS11" s="71"/>
      <c r="AT11" s="70"/>
      <c r="AU11" s="66">
        <v>0</v>
      </c>
      <c r="AV11" s="66">
        <v>0</v>
      </c>
      <c r="AW11" s="66">
        <v>0</v>
      </c>
      <c r="AX11" s="66">
        <v>0</v>
      </c>
      <c r="AY11" s="66">
        <v>0</v>
      </c>
      <c r="AZ11" s="66">
        <v>0</v>
      </c>
      <c r="BA11" s="66">
        <v>0</v>
      </c>
      <c r="BB11" s="66">
        <v>0</v>
      </c>
      <c r="BC11" s="66">
        <v>0</v>
      </c>
      <c r="BD11" s="67">
        <f t="shared" si="19"/>
        <v>0</v>
      </c>
      <c r="BE11" s="68">
        <f t="shared" si="20"/>
        <v>0</v>
      </c>
      <c r="BF11" s="70"/>
      <c r="BG11" s="133">
        <f t="shared" si="21"/>
        <v>0</v>
      </c>
      <c r="BH11" s="133">
        <f t="shared" si="22"/>
        <v>0</v>
      </c>
      <c r="BI11" s="133">
        <f t="shared" si="13"/>
        <v>0</v>
      </c>
      <c r="BJ11" s="133">
        <f t="shared" si="23"/>
        <v>0</v>
      </c>
      <c r="BK11" s="133">
        <f t="shared" si="24"/>
        <v>0</v>
      </c>
      <c r="BL11" s="133">
        <f t="shared" si="25"/>
        <v>0</v>
      </c>
      <c r="BM11" s="133">
        <f t="shared" si="26"/>
        <v>0</v>
      </c>
      <c r="BN11" s="144">
        <f t="shared" si="27"/>
        <v>0</v>
      </c>
      <c r="BO11" s="133">
        <f t="shared" si="28"/>
        <v>0</v>
      </c>
      <c r="BP11" s="133">
        <f t="shared" si="14"/>
        <v>0</v>
      </c>
      <c r="BQ11" s="145">
        <f t="shared" si="29"/>
        <v>0</v>
      </c>
    </row>
    <row r="12" spans="1:69" customFormat="1" ht="14.1" hidden="1" customHeight="1" x14ac:dyDescent="0.25">
      <c r="A12" s="70"/>
      <c r="B12" s="133" t="s">
        <v>32</v>
      </c>
      <c r="C12" s="141" t="s">
        <v>33</v>
      </c>
      <c r="D12" s="937" t="s">
        <v>34</v>
      </c>
      <c r="E12" s="133" t="s">
        <v>52</v>
      </c>
      <c r="F12" s="66"/>
      <c r="G12" s="66">
        <f>_xlfn.IFNA(INDEX(NewRecipeTable[Percentage Yield],MATCH('New Deboning Shoulder'!$E12,NewRecipeTable[ShortCode],0)),0)</f>
        <v>48.21</v>
      </c>
      <c r="H12" s="146">
        <v>1570</v>
      </c>
      <c r="I12" s="66" t="str">
        <v>No</v>
      </c>
      <c r="J12" s="133" t="s">
        <v>244</v>
      </c>
      <c r="K12" s="133">
        <f>SUMIFS(shoulders!$F$8:$F$27,shoulders!$D$8:$D$27,'New Deboning Shoulder'!$E12,shoulders!$G$8:$G$27,"&lt;&gt;0")</f>
        <v>0</v>
      </c>
      <c r="L12" s="66">
        <f t="shared" si="15"/>
        <v>0</v>
      </c>
      <c r="M12" s="133">
        <f>SUMIFS(shoulders!$G$8:$G$27,shoulders!$D$8:$D$27,'New Deboning Shoulder'!$E12,shoulders!$G$8:$G$27,"&lt;&gt;0")</f>
        <v>0</v>
      </c>
      <c r="N12" s="69"/>
      <c r="O12" s="92" t="s">
        <v>639</v>
      </c>
      <c r="P12" s="1017">
        <v>0</v>
      </c>
      <c r="Q12" s="1017">
        <v>0</v>
      </c>
      <c r="R12" s="1017">
        <v>0</v>
      </c>
      <c r="S12" s="1017">
        <v>0</v>
      </c>
      <c r="T12" s="1017">
        <v>0</v>
      </c>
      <c r="U12" s="1017">
        <v>0</v>
      </c>
      <c r="V12" s="1017">
        <v>0</v>
      </c>
      <c r="W12" s="1017">
        <v>0</v>
      </c>
      <c r="X12" s="1017">
        <v>0</v>
      </c>
      <c r="Y12" s="142">
        <f t="shared" si="16"/>
        <v>0</v>
      </c>
      <c r="Z12" s="84"/>
      <c r="AA12" s="71">
        <f t="shared" si="9"/>
        <v>0</v>
      </c>
      <c r="AB12" s="133">
        <f t="shared" si="10"/>
        <v>0</v>
      </c>
      <c r="AC12" s="133">
        <f t="shared" si="11"/>
        <v>0</v>
      </c>
      <c r="AD12" s="69"/>
      <c r="AE12" s="133">
        <f t="shared" si="12"/>
        <v>0</v>
      </c>
      <c r="AF12" s="66">
        <v>0</v>
      </c>
      <c r="AG12" s="66">
        <v>0</v>
      </c>
      <c r="AH12" s="66">
        <v>0</v>
      </c>
      <c r="AI12" s="66">
        <v>0</v>
      </c>
      <c r="AJ12" s="66">
        <v>0</v>
      </c>
      <c r="AK12" s="66">
        <v>0</v>
      </c>
      <c r="AL12" s="66">
        <v>0</v>
      </c>
      <c r="AM12" s="66">
        <v>0</v>
      </c>
      <c r="AN12" s="66">
        <v>0</v>
      </c>
      <c r="AO12" s="143">
        <f t="shared" si="17"/>
        <v>0</v>
      </c>
      <c r="AP12" s="136">
        <f t="shared" si="18"/>
        <v>0</v>
      </c>
      <c r="AQ12" s="84"/>
      <c r="AR12" s="71"/>
      <c r="AS12" s="71"/>
      <c r="AT12" s="70"/>
      <c r="AU12" s="66">
        <v>0</v>
      </c>
      <c r="AV12" s="66">
        <v>0</v>
      </c>
      <c r="AW12" s="66">
        <v>0</v>
      </c>
      <c r="AX12" s="66">
        <v>0</v>
      </c>
      <c r="AY12" s="66">
        <v>0</v>
      </c>
      <c r="AZ12" s="66">
        <v>0</v>
      </c>
      <c r="BA12" s="66">
        <v>0</v>
      </c>
      <c r="BB12" s="66">
        <v>0</v>
      </c>
      <c r="BC12" s="66">
        <v>0</v>
      </c>
      <c r="BD12" s="67">
        <f t="shared" si="19"/>
        <v>0</v>
      </c>
      <c r="BE12" s="68">
        <f t="shared" si="20"/>
        <v>0</v>
      </c>
      <c r="BF12" s="70"/>
      <c r="BG12" s="133">
        <f t="shared" si="21"/>
        <v>0</v>
      </c>
      <c r="BH12" s="133">
        <f t="shared" si="22"/>
        <v>0</v>
      </c>
      <c r="BI12" s="133">
        <f t="shared" si="13"/>
        <v>0</v>
      </c>
      <c r="BJ12" s="133">
        <f t="shared" si="23"/>
        <v>0</v>
      </c>
      <c r="BK12" s="133">
        <f t="shared" si="24"/>
        <v>0</v>
      </c>
      <c r="BL12" s="133">
        <f t="shared" si="25"/>
        <v>0</v>
      </c>
      <c r="BM12" s="133">
        <f t="shared" si="26"/>
        <v>0</v>
      </c>
      <c r="BN12" s="144">
        <f t="shared" si="27"/>
        <v>0</v>
      </c>
      <c r="BO12" s="133">
        <f t="shared" si="28"/>
        <v>0</v>
      </c>
      <c r="BP12" s="133">
        <f t="shared" si="14"/>
        <v>0</v>
      </c>
      <c r="BQ12" s="145">
        <f t="shared" si="29"/>
        <v>0</v>
      </c>
    </row>
    <row r="13" spans="1:69" ht="14.1" customHeight="1" x14ac:dyDescent="0.25">
      <c r="A13" s="1119"/>
      <c r="B13" s="1154" t="s">
        <v>23</v>
      </c>
      <c r="C13" s="1162" t="s">
        <v>27</v>
      </c>
      <c r="D13" s="1163" t="s">
        <v>24</v>
      </c>
      <c r="E13" s="1154" t="s">
        <v>49</v>
      </c>
      <c r="F13" s="66"/>
      <c r="G13" s="1154">
        <f>_xlfn.IFNA(INDEX(NewRecipeTable[Percentage Yield],MATCH('New Deboning Shoulder'!$E13,NewRecipeTable[ShortCode],0)),0)</f>
        <v>51.47</v>
      </c>
      <c r="H13" s="1154">
        <v>1570</v>
      </c>
      <c r="I13" s="1154" t="str">
        <v>Yes</v>
      </c>
      <c r="J13" s="1154" t="s">
        <v>244</v>
      </c>
      <c r="K13" s="1151">
        <f>SUMIFS(shoulders!$F$8:$F$27,shoulders!$D$8:$D$27,'New Deboning Shoulder'!$E13,shoulders!$G$8:$G$27,"&lt;&gt;0")</f>
        <v>478</v>
      </c>
      <c r="L13" s="1154">
        <f t="shared" si="15"/>
        <v>4821.4583032490973</v>
      </c>
      <c r="M13" s="1151">
        <f>SUMIFS(shoulders!$G$8:$G$27,shoulders!$D$8:$D$27,'New Deboning Shoulder'!$E13,shoulders!$G$8:$G$27,"&lt;&gt;0")</f>
        <v>2307.6</v>
      </c>
      <c r="N13" s="1142"/>
      <c r="O13" s="1155" t="s">
        <v>639</v>
      </c>
      <c r="P13" s="1156">
        <v>0.74878812572574827</v>
      </c>
      <c r="Q13" s="1156">
        <v>363.83400401242818</v>
      </c>
      <c r="R13" s="1156">
        <v>0</v>
      </c>
      <c r="S13" s="1156">
        <v>561.4972148066721</v>
      </c>
      <c r="T13" s="1156">
        <v>162.59421165756356</v>
      </c>
      <c r="U13" s="1156">
        <v>820.67836860334194</v>
      </c>
      <c r="V13" s="1156">
        <v>415.33199343464457</v>
      </c>
      <c r="W13" s="1156">
        <v>189.17372260872156</v>
      </c>
      <c r="X13" s="1156">
        <v>0</v>
      </c>
      <c r="Y13" s="1157">
        <f t="shared" si="16"/>
        <v>2513.8583032490978</v>
      </c>
      <c r="Z13" s="1158"/>
      <c r="AA13" s="1156">
        <f t="shared" si="9"/>
        <v>47.861038193464168</v>
      </c>
      <c r="AB13" s="1151">
        <f t="shared" si="10"/>
        <v>51.47</v>
      </c>
      <c r="AC13" s="1151">
        <f t="shared" si="11"/>
        <v>3.6089618065358309</v>
      </c>
      <c r="AD13" s="1142"/>
      <c r="AE13" s="1151">
        <f t="shared" si="12"/>
        <v>51.47</v>
      </c>
      <c r="AF13" s="1154">
        <v>0.53</v>
      </c>
      <c r="AG13" s="1154">
        <v>6.93</v>
      </c>
      <c r="AH13" s="1154">
        <v>0</v>
      </c>
      <c r="AI13" s="1154">
        <v>13.37</v>
      </c>
      <c r="AJ13" s="1154">
        <v>5.57</v>
      </c>
      <c r="AK13" s="1154">
        <v>11.19</v>
      </c>
      <c r="AL13" s="1154">
        <v>7.36</v>
      </c>
      <c r="AM13" s="1154">
        <v>3.49</v>
      </c>
      <c r="AN13" s="1154">
        <v>0.09</v>
      </c>
      <c r="AO13" s="143">
        <f t="shared" si="17"/>
        <v>48.53</v>
      </c>
      <c r="AP13" s="1159">
        <f t="shared" si="18"/>
        <v>100</v>
      </c>
      <c r="AQ13" s="84"/>
      <c r="AR13" s="71"/>
      <c r="AS13" s="71">
        <v>-72.618780511878867</v>
      </c>
      <c r="AT13" s="70"/>
      <c r="AU13" s="66">
        <v>-1.6858801345972747</v>
      </c>
      <c r="AV13" s="66">
        <v>-7.667283097295476</v>
      </c>
      <c r="AW13" s="66">
        <v>0</v>
      </c>
      <c r="AX13" s="66">
        <v>-16.559661700176353</v>
      </c>
      <c r="AY13" s="66">
        <v>-16.240805250250311</v>
      </c>
      <c r="AZ13" s="66">
        <v>-17.895741519227268</v>
      </c>
      <c r="BA13" s="66">
        <v>-7.5325469511809011</v>
      </c>
      <c r="BB13" s="66">
        <v>-4.634921967216167</v>
      </c>
      <c r="BC13" s="66">
        <v>-0.40193989193511753</v>
      </c>
      <c r="BD13" s="67">
        <f t="shared" si="19"/>
        <v>-72.618780511878882</v>
      </c>
      <c r="BE13" s="68">
        <f t="shared" si="20"/>
        <v>-72.618780511878882</v>
      </c>
      <c r="BF13" s="1119"/>
      <c r="BG13" s="1151">
        <f t="shared" si="21"/>
        <v>47.861038193464168</v>
      </c>
      <c r="BH13" s="1151">
        <f t="shared" si="22"/>
        <v>1.5530324616126056E-2</v>
      </c>
      <c r="BI13" s="1151">
        <f t="shared" si="13"/>
        <v>7.5461402158605573</v>
      </c>
      <c r="BJ13" s="1151">
        <f t="shared" si="23"/>
        <v>0</v>
      </c>
      <c r="BK13" s="1151">
        <f t="shared" si="24"/>
        <v>11.645796343987644</v>
      </c>
      <c r="BL13" s="1151">
        <f t="shared" si="25"/>
        <v>3.3723035942879385</v>
      </c>
      <c r="BM13" s="1151">
        <f t="shared" si="26"/>
        <v>17.021372310744674</v>
      </c>
      <c r="BN13" s="1160">
        <f t="shared" si="27"/>
        <v>8.6142400765917539</v>
      </c>
      <c r="BO13" s="1151">
        <f t="shared" si="28"/>
        <v>3.9235789404471393</v>
      </c>
      <c r="BP13" s="1151">
        <f t="shared" si="14"/>
        <v>0</v>
      </c>
      <c r="BQ13" s="1161">
        <f t="shared" si="29"/>
        <v>100.00000000000001</v>
      </c>
    </row>
    <row r="14" spans="1:69" customFormat="1" ht="14.1" hidden="1" customHeight="1" x14ac:dyDescent="0.25">
      <c r="A14" s="70"/>
      <c r="B14" s="133" t="s">
        <v>12</v>
      </c>
      <c r="C14" s="141" t="s">
        <v>13</v>
      </c>
      <c r="D14" s="937" t="s">
        <v>1450</v>
      </c>
      <c r="E14" s="133" t="s">
        <v>1519</v>
      </c>
      <c r="F14" s="66"/>
      <c r="G14" s="66">
        <f>_xlfn.IFNA(INDEX(NewRecipeTable[Percentage Yield],MATCH('New Deboning Shoulder'!$E14,NewRecipeTable[ShortCode],0)),0)</f>
        <v>45.5</v>
      </c>
      <c r="H14" s="146">
        <v>1570</v>
      </c>
      <c r="I14" s="66" t="str">
        <v>No</v>
      </c>
      <c r="J14" s="133" t="s">
        <v>244</v>
      </c>
      <c r="K14" s="133">
        <f>SUMIFS(shoulders!$F$8:$F$27,shoulders!$D$8:$D$27,'New Deboning Shoulder'!$E14,shoulders!$G$8:$G$27,"&lt;&gt;0")</f>
        <v>0</v>
      </c>
      <c r="L14" s="66">
        <f t="shared" si="15"/>
        <v>0</v>
      </c>
      <c r="M14" s="133">
        <f>SUMIFS(shoulders!$G$8:$G$27,shoulders!$D$8:$D$27,'New Deboning Shoulder'!$E14,shoulders!$G$8:$G$27,"&lt;&gt;0")</f>
        <v>0</v>
      </c>
      <c r="N14" s="69"/>
      <c r="O14" s="92" t="s">
        <v>639</v>
      </c>
      <c r="P14" s="71">
        <v>0</v>
      </c>
      <c r="Q14" s="71">
        <v>0</v>
      </c>
      <c r="R14" s="71">
        <v>0</v>
      </c>
      <c r="S14" s="71">
        <v>0</v>
      </c>
      <c r="T14" s="71">
        <v>0</v>
      </c>
      <c r="U14" s="71">
        <v>0</v>
      </c>
      <c r="V14" s="71">
        <v>0</v>
      </c>
      <c r="W14" s="71">
        <v>0</v>
      </c>
      <c r="X14" s="71">
        <v>0</v>
      </c>
      <c r="Y14" s="142">
        <f t="shared" si="16"/>
        <v>0</v>
      </c>
      <c r="Z14" s="84"/>
      <c r="AA14" s="71">
        <f t="shared" si="9"/>
        <v>0</v>
      </c>
      <c r="AB14" s="133">
        <f t="shared" si="10"/>
        <v>0</v>
      </c>
      <c r="AC14" s="133">
        <f t="shared" si="11"/>
        <v>0</v>
      </c>
      <c r="AD14" s="69"/>
      <c r="AE14" s="133">
        <f t="shared" si="12"/>
        <v>0</v>
      </c>
      <c r="AF14" s="66">
        <v>0</v>
      </c>
      <c r="AG14" s="66">
        <v>0</v>
      </c>
      <c r="AH14" s="66">
        <v>0</v>
      </c>
      <c r="AI14" s="66">
        <v>0</v>
      </c>
      <c r="AJ14" s="66">
        <v>0</v>
      </c>
      <c r="AK14" s="66">
        <v>0</v>
      </c>
      <c r="AL14" s="66">
        <v>0</v>
      </c>
      <c r="AM14" s="66">
        <v>0</v>
      </c>
      <c r="AN14" s="66">
        <v>0</v>
      </c>
      <c r="AO14" s="143">
        <f t="shared" si="17"/>
        <v>0</v>
      </c>
      <c r="AP14" s="136">
        <f t="shared" si="18"/>
        <v>0</v>
      </c>
      <c r="AQ14" s="84"/>
      <c r="AR14" s="71"/>
      <c r="AS14" s="71"/>
      <c r="AT14" s="70"/>
      <c r="AU14" s="66">
        <v>0</v>
      </c>
      <c r="AV14" s="66">
        <v>0</v>
      </c>
      <c r="AW14" s="66">
        <v>0</v>
      </c>
      <c r="AX14" s="66">
        <v>0</v>
      </c>
      <c r="AY14" s="66">
        <v>0</v>
      </c>
      <c r="AZ14" s="66">
        <v>0</v>
      </c>
      <c r="BA14" s="66">
        <v>0</v>
      </c>
      <c r="BB14" s="66">
        <v>0</v>
      </c>
      <c r="BC14" s="66">
        <v>0</v>
      </c>
      <c r="BD14" s="67">
        <f t="shared" si="19"/>
        <v>0</v>
      </c>
      <c r="BE14" s="68">
        <f t="shared" si="20"/>
        <v>0</v>
      </c>
      <c r="BF14" s="70"/>
      <c r="BG14" s="133">
        <f t="shared" si="21"/>
        <v>0</v>
      </c>
      <c r="BH14" s="133">
        <f t="shared" si="22"/>
        <v>0</v>
      </c>
      <c r="BI14" s="133">
        <f t="shared" si="13"/>
        <v>0</v>
      </c>
      <c r="BJ14" s="133">
        <f t="shared" si="23"/>
        <v>0</v>
      </c>
      <c r="BK14" s="133">
        <f t="shared" si="24"/>
        <v>0</v>
      </c>
      <c r="BL14" s="133">
        <f t="shared" si="25"/>
        <v>0</v>
      </c>
      <c r="BM14" s="133">
        <f t="shared" si="26"/>
        <v>0</v>
      </c>
      <c r="BN14" s="144">
        <f t="shared" si="27"/>
        <v>0</v>
      </c>
      <c r="BO14" s="133">
        <f t="shared" si="28"/>
        <v>0</v>
      </c>
      <c r="BP14" s="133">
        <f t="shared" si="14"/>
        <v>0</v>
      </c>
      <c r="BQ14" s="145">
        <f t="shared" si="29"/>
        <v>0</v>
      </c>
    </row>
    <row r="15" spans="1:69" ht="14.1" customHeight="1" x14ac:dyDescent="0.25">
      <c r="A15" s="1119"/>
      <c r="B15" s="1151" t="s">
        <v>25</v>
      </c>
      <c r="C15" s="1152" t="s">
        <v>26</v>
      </c>
      <c r="D15" s="1153" t="s">
        <v>28</v>
      </c>
      <c r="E15" s="1151" t="s">
        <v>50</v>
      </c>
      <c r="F15" s="66"/>
      <c r="G15" s="1154">
        <f>_xlfn.IFNA(INDEX(NewRecipeTable[Percentage Yield],MATCH('New Deboning Shoulder'!$E15,NewRecipeTable[ShortCode],0)),0)</f>
        <v>42.48</v>
      </c>
      <c r="H15" s="1151">
        <v>1570</v>
      </c>
      <c r="I15" s="1154" t="str">
        <v>Yes</v>
      </c>
      <c r="J15" s="1151" t="s">
        <v>244</v>
      </c>
      <c r="K15" s="1151">
        <f>SUMIFS(shoulders!$F$8:$F$27,shoulders!$D$8:$D$27,'New Deboning Shoulder'!$E15,shoulders!$G$8:$G$27,"&lt;&gt;0")</f>
        <v>243</v>
      </c>
      <c r="L15" s="1154">
        <f>$D$2*K15+L37</f>
        <v>2463.7760830324914</v>
      </c>
      <c r="M15" s="1151">
        <f>SUMIFS(shoulders!$G$8:$G$27,shoulders!$D$8:$D$27,'New Deboning Shoulder'!$E15,shoulders!$G$8:$G$27,"&lt;&gt;0")</f>
        <v>1300.5999999999999</v>
      </c>
      <c r="N15" s="1142"/>
      <c r="O15" s="1155" t="s">
        <v>639</v>
      </c>
      <c r="P15" s="1156">
        <v>0.82777514265786412</v>
      </c>
      <c r="Q15" s="1156">
        <v>149.89252733391339</v>
      </c>
      <c r="R15" s="1156">
        <v>121.49138722665838</v>
      </c>
      <c r="S15" s="1156">
        <v>217.80383825296605</v>
      </c>
      <c r="T15" s="1156">
        <v>38.121663292551688</v>
      </c>
      <c r="U15" s="1156">
        <v>483.63614763296897</v>
      </c>
      <c r="V15" s="1156">
        <v>61.535844608990928</v>
      </c>
      <c r="W15" s="1156">
        <v>89.866899541784591</v>
      </c>
      <c r="X15" s="1156">
        <v>0</v>
      </c>
      <c r="Y15" s="1157">
        <f t="shared" si="16"/>
        <v>1163.1760830324918</v>
      </c>
      <c r="Z15" s="1158"/>
      <c r="AA15" s="1156">
        <f t="shared" si="9"/>
        <v>52.788888120026776</v>
      </c>
      <c r="AB15" s="1151">
        <f t="shared" si="10"/>
        <v>42.48</v>
      </c>
      <c r="AC15" s="1151">
        <f t="shared" si="11"/>
        <v>-10.308888120026779</v>
      </c>
      <c r="AD15" s="1142"/>
      <c r="AE15" s="1151">
        <f t="shared" si="12"/>
        <v>42.48</v>
      </c>
      <c r="AF15" s="1154">
        <v>1.39</v>
      </c>
      <c r="AG15" s="1154">
        <v>6.18</v>
      </c>
      <c r="AH15" s="1154">
        <v>12.62</v>
      </c>
      <c r="AI15" s="1154">
        <v>11.73</v>
      </c>
      <c r="AJ15" s="1154">
        <v>4.74</v>
      </c>
      <c r="AK15" s="1154">
        <v>13.83</v>
      </c>
      <c r="AL15" s="1154">
        <v>2.73</v>
      </c>
      <c r="AM15" s="1154">
        <v>3.58</v>
      </c>
      <c r="AN15" s="1154">
        <v>0.72</v>
      </c>
      <c r="AO15" s="143">
        <f t="shared" si="17"/>
        <v>57.519999999999989</v>
      </c>
      <c r="AP15" s="1159">
        <f t="shared" si="18"/>
        <v>99.999999999999986</v>
      </c>
      <c r="AQ15" s="84"/>
      <c r="AR15" s="71"/>
      <c r="AS15" s="71">
        <v>-175.4794052283969</v>
      </c>
      <c r="AT15" s="70"/>
      <c r="AU15" s="66">
        <v>-4.0738393184268205</v>
      </c>
      <c r="AV15" s="66">
        <v>-18.527580167930033</v>
      </c>
      <c r="AW15" s="66">
        <v>0</v>
      </c>
      <c r="AX15" s="66">
        <v>-40.015538204405274</v>
      </c>
      <c r="AY15" s="66">
        <v>-39.245038620250085</v>
      </c>
      <c r="AZ15" s="66">
        <v>-43.244103739823039</v>
      </c>
      <c r="BA15" s="66">
        <v>-18.201997465820565</v>
      </c>
      <c r="BB15" s="66">
        <v>-11.200041426667587</v>
      </c>
      <c r="BC15" s="66">
        <v>-0.9712662850735011</v>
      </c>
      <c r="BD15" s="67">
        <f t="shared" si="19"/>
        <v>-175.4794052283969</v>
      </c>
      <c r="BE15" s="68">
        <f t="shared" si="20"/>
        <v>-175.4794052283969</v>
      </c>
      <c r="BF15" s="1119"/>
      <c r="BG15" s="1151">
        <f t="shared" si="21"/>
        <v>52.788888120026776</v>
      </c>
      <c r="BH15" s="1151">
        <f t="shared" si="22"/>
        <v>3.3597823615489159E-2</v>
      </c>
      <c r="BI15" s="1151">
        <f t="shared" si="13"/>
        <v>6.083853494893134</v>
      </c>
      <c r="BJ15" s="1151">
        <f t="shared" si="23"/>
        <v>4.9311050652429032</v>
      </c>
      <c r="BK15" s="1151">
        <f t="shared" si="24"/>
        <v>8.8402448482609817</v>
      </c>
      <c r="BL15" s="1151">
        <f t="shared" si="25"/>
        <v>1.547286036060159</v>
      </c>
      <c r="BM15" s="1151">
        <f t="shared" si="26"/>
        <v>19.629874279715175</v>
      </c>
      <c r="BN15" s="1160">
        <f t="shared" si="27"/>
        <v>2.4976232634440838</v>
      </c>
      <c r="BO15" s="1151">
        <f t="shared" si="28"/>
        <v>3.6475270687413137</v>
      </c>
      <c r="BP15" s="1151">
        <f t="shared" si="14"/>
        <v>0</v>
      </c>
      <c r="BQ15" s="1161">
        <f t="shared" si="29"/>
        <v>100.00000000000001</v>
      </c>
    </row>
    <row r="16" spans="1:69" ht="14.1" customHeight="1" x14ac:dyDescent="0.25">
      <c r="A16" s="1119"/>
      <c r="B16" s="1151" t="s">
        <v>15</v>
      </c>
      <c r="C16" s="1152" t="s">
        <v>572</v>
      </c>
      <c r="D16" s="1153" t="s">
        <v>17</v>
      </c>
      <c r="E16" s="1151" t="s">
        <v>47</v>
      </c>
      <c r="F16" s="66"/>
      <c r="G16" s="1154">
        <f>_xlfn.IFNA(INDEX(NewRecipeTable[Percentage Yield],MATCH('New Deboning Shoulder'!$E16,NewRecipeTable[ShortCode],0)),0)</f>
        <v>25.27</v>
      </c>
      <c r="H16" s="1151">
        <v>1570</v>
      </c>
      <c r="I16" s="1154" t="str">
        <v>Yes</v>
      </c>
      <c r="J16" s="1151" t="s">
        <v>244</v>
      </c>
      <c r="K16" s="1151">
        <f>SUMIFS(shoulders!$F$8:$F$27,shoulders!$D$8:$D$27,'New Deboning Shoulder'!$E16,shoulders!$G$8:$G$27,"&lt;&gt;0")</f>
        <v>40</v>
      </c>
      <c r="L16" s="1154">
        <f t="shared" si="15"/>
        <v>403.46931407942236</v>
      </c>
      <c r="M16" s="1151">
        <f>SUMIFS(shoulders!$G$8:$G$27,shoulders!$D$8:$D$27,'New Deboning Shoulder'!$E16,shoulders!$G$8:$G$27,"&lt;&gt;0")</f>
        <v>103.4</v>
      </c>
      <c r="N16" s="1142"/>
      <c r="O16" s="1155" t="s">
        <v>639</v>
      </c>
      <c r="P16" s="1156">
        <v>0.77215421971728637</v>
      </c>
      <c r="Q16" s="1156">
        <v>20.438263823651585</v>
      </c>
      <c r="R16" s="1156">
        <v>16.238034149200992</v>
      </c>
      <c r="S16" s="1156">
        <v>22.394639316393462</v>
      </c>
      <c r="T16" s="1156">
        <v>79.21686795819943</v>
      </c>
      <c r="U16" s="1156">
        <v>114.97963894871219</v>
      </c>
      <c r="V16" s="1156">
        <v>28.73504667536379</v>
      </c>
      <c r="W16" s="1156">
        <v>17.294668988183602</v>
      </c>
      <c r="X16" s="1156">
        <v>0</v>
      </c>
      <c r="Y16" s="1157">
        <f t="shared" si="16"/>
        <v>300.06931407942233</v>
      </c>
      <c r="Z16" s="1158"/>
      <c r="AA16" s="1156">
        <f t="shared" si="9"/>
        <v>25.627723445566879</v>
      </c>
      <c r="AB16" s="1151">
        <f t="shared" si="10"/>
        <v>25.27</v>
      </c>
      <c r="AC16" s="1151">
        <f t="shared" si="11"/>
        <v>-0.35772344556687941</v>
      </c>
      <c r="AD16" s="1142"/>
      <c r="AE16" s="1151">
        <f t="shared" si="12"/>
        <v>25.27</v>
      </c>
      <c r="AF16" s="1154">
        <v>0.81</v>
      </c>
      <c r="AG16" s="1154">
        <v>4.09</v>
      </c>
      <c r="AH16" s="1154">
        <v>10.25</v>
      </c>
      <c r="AI16" s="1154">
        <v>4.9400000000000004</v>
      </c>
      <c r="AJ16" s="1154">
        <v>27.84</v>
      </c>
      <c r="AK16" s="1154">
        <v>17.559999999999999</v>
      </c>
      <c r="AL16" s="1154">
        <v>5.55</v>
      </c>
      <c r="AM16" s="1154">
        <v>3.45</v>
      </c>
      <c r="AN16" s="1154">
        <v>0.27</v>
      </c>
      <c r="AO16" s="143">
        <f t="shared" si="17"/>
        <v>74.759999999999991</v>
      </c>
      <c r="AP16" s="1159">
        <f t="shared" si="18"/>
        <v>100.03</v>
      </c>
      <c r="AQ16" s="84"/>
      <c r="AR16" s="71"/>
      <c r="AS16" s="71">
        <v>19.852032457034653</v>
      </c>
      <c r="AT16" s="70"/>
      <c r="AU16" s="66">
        <v>0.46087454119696186</v>
      </c>
      <c r="AV16" s="66">
        <v>2.0960301430548602</v>
      </c>
      <c r="AW16" s="66">
        <v>0</v>
      </c>
      <c r="AX16" s="66">
        <v>4.5269686330747367</v>
      </c>
      <c r="AY16" s="66">
        <v>4.4398018072419729</v>
      </c>
      <c r="AZ16" s="66">
        <v>4.8922171231488587</v>
      </c>
      <c r="BA16" s="66">
        <v>2.0591968841244825</v>
      </c>
      <c r="BB16" s="66">
        <v>1.2670637083191856</v>
      </c>
      <c r="BC16" s="66">
        <v>0.10987961687359524</v>
      </c>
      <c r="BD16" s="67">
        <f t="shared" si="19"/>
        <v>19.85203245703465</v>
      </c>
      <c r="BE16" s="68">
        <f t="shared" si="20"/>
        <v>19.85203245703465</v>
      </c>
      <c r="BF16" s="1119"/>
      <c r="BG16" s="1151">
        <f t="shared" si="21"/>
        <v>25.627723445566879</v>
      </c>
      <c r="BH16" s="1151">
        <f t="shared" si="22"/>
        <v>0.19137867311646131</v>
      </c>
      <c r="BI16" s="1151">
        <f t="shared" si="13"/>
        <v>5.0656302996138987</v>
      </c>
      <c r="BJ16" s="1151">
        <f t="shared" si="23"/>
        <v>4.024602016203036</v>
      </c>
      <c r="BK16" s="1151">
        <f t="shared" si="24"/>
        <v>5.5505185982954606</v>
      </c>
      <c r="BL16" s="1151">
        <f t="shared" si="25"/>
        <v>19.633926346776821</v>
      </c>
      <c r="BM16" s="1151">
        <f t="shared" si="26"/>
        <v>28.497740704533136</v>
      </c>
      <c r="BN16" s="1160">
        <f t="shared" si="27"/>
        <v>7.1219906130723336</v>
      </c>
      <c r="BO16" s="1151">
        <f t="shared" si="28"/>
        <v>4.2864893028219662</v>
      </c>
      <c r="BP16" s="1151">
        <f t="shared" si="14"/>
        <v>0</v>
      </c>
      <c r="BQ16" s="1161">
        <f t="shared" si="29"/>
        <v>99.999999999999986</v>
      </c>
    </row>
    <row r="17" spans="1:69" ht="14.1" customHeight="1" x14ac:dyDescent="0.25">
      <c r="A17" s="1119"/>
      <c r="B17" s="1151" t="s">
        <v>29</v>
      </c>
      <c r="C17" s="1152" t="s">
        <v>30</v>
      </c>
      <c r="D17" s="1153" t="s">
        <v>31</v>
      </c>
      <c r="E17" s="1151" t="s">
        <v>51</v>
      </c>
      <c r="F17" s="66"/>
      <c r="G17" s="1154">
        <f>_xlfn.IFNA(INDEX(NewRecipeTable[Percentage Yield],MATCH('New Deboning Shoulder'!$E17,NewRecipeTable[ShortCode],0)),0)</f>
        <v>55.07</v>
      </c>
      <c r="H17" s="1151">
        <v>1570</v>
      </c>
      <c r="I17" s="1154" t="str">
        <v>Yes</v>
      </c>
      <c r="J17" s="1151" t="s">
        <v>244</v>
      </c>
      <c r="K17" s="1151">
        <f>SUMIFS(shoulders!$F$8:$F$27,shoulders!$D$8:$D$27,'New Deboning Shoulder'!$E17,shoulders!$G$8:$G$27,"&lt;&gt;0")</f>
        <v>20</v>
      </c>
      <c r="L17" s="1154">
        <f>$D$2*K17</f>
        <v>201.73465703971118</v>
      </c>
      <c r="M17" s="1151">
        <f>SUMIFS(shoulders!$G$8:$G$27,shoulders!$D$8:$D$27,'New Deboning Shoulder'!$E17,shoulders!$G$8:$G$27,"&lt;&gt;0")</f>
        <v>93.2</v>
      </c>
      <c r="N17" s="1142"/>
      <c r="O17" s="1155" t="s">
        <v>639</v>
      </c>
      <c r="P17" s="1156">
        <v>0.6516074687136113</v>
      </c>
      <c r="Q17" s="1156">
        <v>16.307910983490835</v>
      </c>
      <c r="R17" s="1156">
        <v>0</v>
      </c>
      <c r="S17" s="1156">
        <v>24.925955366806111</v>
      </c>
      <c r="T17" s="1156">
        <v>7.9472094343219917</v>
      </c>
      <c r="U17" s="1156">
        <v>32.179985419405469</v>
      </c>
      <c r="V17" s="1156">
        <v>18.3068881928099</v>
      </c>
      <c r="W17" s="1156">
        <v>8.2151001741632523</v>
      </c>
      <c r="X17" s="1156">
        <v>0</v>
      </c>
      <c r="Y17" s="1157">
        <f>SUM(P17:X17)</f>
        <v>108.53465703971118</v>
      </c>
      <c r="Z17" s="1158"/>
      <c r="AA17" s="1156">
        <f t="shared" si="9"/>
        <v>46.199300292588653</v>
      </c>
      <c r="AB17" s="1151">
        <f t="shared" si="10"/>
        <v>55.07</v>
      </c>
      <c r="AC17" s="1151">
        <f t="shared" si="11"/>
        <v>8.8706997074113474</v>
      </c>
      <c r="AD17" s="1142"/>
      <c r="AE17" s="1151">
        <f t="shared" si="12"/>
        <v>55.07</v>
      </c>
      <c r="AF17" s="1154">
        <v>2</v>
      </c>
      <c r="AG17" s="1154">
        <v>6.73</v>
      </c>
      <c r="AH17" s="1154">
        <v>0</v>
      </c>
      <c r="AI17" s="1154">
        <v>12.33</v>
      </c>
      <c r="AJ17" s="1154">
        <v>4</v>
      </c>
      <c r="AK17" s="1154">
        <v>9.36</v>
      </c>
      <c r="AL17" s="1154">
        <v>7.12</v>
      </c>
      <c r="AM17" s="1154">
        <v>3.22</v>
      </c>
      <c r="AN17" s="1154">
        <v>0.19</v>
      </c>
      <c r="AO17" s="143">
        <f t="shared" si="17"/>
        <v>44.949999999999996</v>
      </c>
      <c r="AP17" s="1159">
        <f t="shared" si="18"/>
        <v>100.02</v>
      </c>
      <c r="AQ17" s="84"/>
      <c r="AR17" s="71"/>
      <c r="AS17" s="71">
        <v>11.512710559587788</v>
      </c>
      <c r="AT17" s="70"/>
      <c r="AU17" s="66">
        <v>0.26727314740024344</v>
      </c>
      <c r="AV17" s="66">
        <v>1.2155424596140572</v>
      </c>
      <c r="AW17" s="66">
        <v>0</v>
      </c>
      <c r="AX17" s="66">
        <v>2.6253069904917514</v>
      </c>
      <c r="AY17" s="66">
        <v>2.5747566784074589</v>
      </c>
      <c r="AZ17" s="66">
        <v>2.8371241007876682</v>
      </c>
      <c r="BA17" s="66">
        <v>1.1941818936392856</v>
      </c>
      <c r="BB17" s="66">
        <v>0.7348032382078673</v>
      </c>
      <c r="BC17" s="66">
        <v>6.3722051039456051E-2</v>
      </c>
      <c r="BD17" s="67">
        <f t="shared" si="19"/>
        <v>11.512710559587788</v>
      </c>
      <c r="BE17" s="68">
        <f t="shared" si="20"/>
        <v>11.512710559587788</v>
      </c>
      <c r="BF17" s="1119"/>
      <c r="BG17" s="1151">
        <f t="shared" si="21"/>
        <v>46.199300292588653</v>
      </c>
      <c r="BH17" s="1151">
        <f t="shared" si="22"/>
        <v>0.32300224377675635</v>
      </c>
      <c r="BI17" s="1151">
        <f t="shared" si="13"/>
        <v>8.0838420243680034</v>
      </c>
      <c r="BJ17" s="1151">
        <f t="shared" si="23"/>
        <v>0</v>
      </c>
      <c r="BK17" s="1151">
        <f t="shared" si="24"/>
        <v>12.355812200329797</v>
      </c>
      <c r="BL17" s="1151">
        <f t="shared" si="25"/>
        <v>3.9394368577718377</v>
      </c>
      <c r="BM17" s="1151">
        <f t="shared" si="26"/>
        <v>15.951639590152764</v>
      </c>
      <c r="BN17" s="1160">
        <f t="shared" si="27"/>
        <v>9.074736320198177</v>
      </c>
      <c r="BO17" s="1151">
        <f t="shared" si="28"/>
        <v>4.0722304708140067</v>
      </c>
      <c r="BP17" s="1151">
        <f t="shared" si="14"/>
        <v>0</v>
      </c>
      <c r="BQ17" s="1161">
        <f t="shared" si="29"/>
        <v>99.999999999999986</v>
      </c>
    </row>
    <row r="18" spans="1:69" customFormat="1" ht="14.1" hidden="1" customHeight="1" x14ac:dyDescent="0.25">
      <c r="A18" s="70"/>
      <c r="B18" s="66" t="s">
        <v>12</v>
      </c>
      <c r="C18" s="138" t="s">
        <v>13</v>
      </c>
      <c r="D18" s="936" t="s">
        <v>14</v>
      </c>
      <c r="E18" s="66" t="s">
        <v>46</v>
      </c>
      <c r="F18" s="66"/>
      <c r="G18" s="66">
        <f>_xlfn.IFNA(INDEX(NewRecipeTable[Percentage Yield],MATCH('New Deboning Shoulder'!$E18,NewRecipeTable[ShortCode],0)),0)</f>
        <v>48.62</v>
      </c>
      <c r="H18" s="140">
        <v>1570</v>
      </c>
      <c r="I18" s="66" t="str">
        <v>No</v>
      </c>
      <c r="J18" s="66" t="s">
        <v>244</v>
      </c>
      <c r="K18" s="133">
        <f>SUMIFS(shoulders!$F$8:$F$27,shoulders!$D$8:$D$27,'New Deboning Shoulder'!$E18,shoulders!$G$8:$G$27,"&lt;&gt;0")</f>
        <v>0</v>
      </c>
      <c r="L18" s="66">
        <f t="shared" si="15"/>
        <v>0</v>
      </c>
      <c r="M18" s="133">
        <f>SUMIFS(shoulders!$G$8:$G$27,shoulders!$D$8:$D$27,'New Deboning Shoulder'!$E18,shoulders!$G$8:$G$27,"&lt;&gt;0")</f>
        <v>0</v>
      </c>
      <c r="N18" s="69"/>
      <c r="O18" s="92" t="s">
        <v>639</v>
      </c>
      <c r="P18" s="71">
        <v>0</v>
      </c>
      <c r="Q18" s="71">
        <v>0</v>
      </c>
      <c r="R18" s="71">
        <v>0</v>
      </c>
      <c r="S18" s="71">
        <v>0</v>
      </c>
      <c r="T18" s="71">
        <v>0</v>
      </c>
      <c r="U18" s="71">
        <v>0</v>
      </c>
      <c r="V18" s="71">
        <v>0</v>
      </c>
      <c r="W18" s="71">
        <v>0</v>
      </c>
      <c r="X18" s="71">
        <v>0</v>
      </c>
      <c r="Y18" s="142">
        <f>SUM(P18:X18)</f>
        <v>0</v>
      </c>
      <c r="Z18" s="84"/>
      <c r="AA18" s="71">
        <f t="shared" si="9"/>
        <v>0</v>
      </c>
      <c r="AB18" s="133">
        <f t="shared" si="10"/>
        <v>0</v>
      </c>
      <c r="AC18" s="133">
        <f t="shared" si="11"/>
        <v>0</v>
      </c>
      <c r="AD18" s="69"/>
      <c r="AE18" s="133">
        <f t="shared" si="12"/>
        <v>0</v>
      </c>
      <c r="AF18" s="66">
        <v>0</v>
      </c>
      <c r="AG18" s="66">
        <v>0</v>
      </c>
      <c r="AH18" s="66">
        <v>0</v>
      </c>
      <c r="AI18" s="66">
        <v>0</v>
      </c>
      <c r="AJ18" s="66">
        <v>0</v>
      </c>
      <c r="AK18" s="66">
        <v>0</v>
      </c>
      <c r="AL18" s="66">
        <v>0</v>
      </c>
      <c r="AM18" s="66">
        <v>0</v>
      </c>
      <c r="AN18" s="66">
        <v>0</v>
      </c>
      <c r="AO18" s="143">
        <f t="shared" si="17"/>
        <v>0</v>
      </c>
      <c r="AP18" s="136">
        <f t="shared" si="18"/>
        <v>0</v>
      </c>
      <c r="AQ18" s="84"/>
      <c r="AR18" s="71"/>
      <c r="AS18" s="71"/>
      <c r="AT18" s="70"/>
      <c r="AU18" s="66">
        <v>0</v>
      </c>
      <c r="AV18" s="66">
        <v>0</v>
      </c>
      <c r="AW18" s="66">
        <v>0</v>
      </c>
      <c r="AX18" s="66">
        <v>0</v>
      </c>
      <c r="AY18" s="66">
        <v>0</v>
      </c>
      <c r="AZ18" s="66">
        <v>0</v>
      </c>
      <c r="BA18" s="66">
        <v>0</v>
      </c>
      <c r="BB18" s="66">
        <v>0</v>
      </c>
      <c r="BC18" s="66">
        <v>0</v>
      </c>
      <c r="BD18" s="67">
        <f t="shared" si="19"/>
        <v>0</v>
      </c>
      <c r="BE18" s="68">
        <f t="shared" si="20"/>
        <v>0</v>
      </c>
      <c r="BF18" s="70"/>
      <c r="BG18" s="133">
        <f t="shared" si="21"/>
        <v>0</v>
      </c>
      <c r="BH18" s="133">
        <f t="shared" si="22"/>
        <v>0</v>
      </c>
      <c r="BI18" s="133">
        <f t="shared" si="13"/>
        <v>0</v>
      </c>
      <c r="BJ18" s="133">
        <f t="shared" si="23"/>
        <v>0</v>
      </c>
      <c r="BK18" s="133">
        <f t="shared" si="24"/>
        <v>0</v>
      </c>
      <c r="BL18" s="133">
        <f t="shared" si="25"/>
        <v>0</v>
      </c>
      <c r="BM18" s="133">
        <f t="shared" si="26"/>
        <v>0</v>
      </c>
      <c r="BN18" s="144">
        <f t="shared" si="27"/>
        <v>0</v>
      </c>
      <c r="BO18" s="133">
        <f t="shared" si="28"/>
        <v>0</v>
      </c>
      <c r="BP18" s="133">
        <f t="shared" si="14"/>
        <v>0</v>
      </c>
      <c r="BQ18" s="145">
        <f t="shared" si="29"/>
        <v>0</v>
      </c>
    </row>
    <row r="19" spans="1:69" ht="14.1" customHeight="1" x14ac:dyDescent="0.25">
      <c r="A19" s="1119"/>
      <c r="B19" s="1151" t="s">
        <v>35</v>
      </c>
      <c r="C19" s="1152" t="s">
        <v>36</v>
      </c>
      <c r="D19" s="1153" t="s">
        <v>37</v>
      </c>
      <c r="E19" s="1151" t="s">
        <v>53</v>
      </c>
      <c r="F19" s="66"/>
      <c r="G19" s="1154">
        <f>_xlfn.IFNA(INDEX(NewRecipeTable[Percentage Yield],MATCH('New Deboning Shoulder'!$E19,NewRecipeTable[ShortCode],0)),0)</f>
        <v>29.33</v>
      </c>
      <c r="H19" s="1151">
        <v>1570</v>
      </c>
      <c r="I19" s="1154" t="str">
        <v>Yes</v>
      </c>
      <c r="J19" s="1151" t="s">
        <v>244</v>
      </c>
      <c r="K19" s="1151">
        <f>SUMIFS(shoulders!$F$8:$F$27,shoulders!$D$8:$D$27,'New Deboning Shoulder'!$E19,shoulders!$G$8:$G$27,"&lt;&gt;0")</f>
        <v>111</v>
      </c>
      <c r="L19" s="1154">
        <f t="shared" si="15"/>
        <v>1119.6273465703971</v>
      </c>
      <c r="M19" s="1151">
        <f>SUMIFS(shoulders!$G$8:$G$27,shoulders!$D$8:$D$27,'New Deboning Shoulder'!$E19,shoulders!$G$8:$G$27,"&lt;&gt;0")</f>
        <v>333.1</v>
      </c>
      <c r="N19" s="1142"/>
      <c r="O19" s="1155" t="s">
        <v>639</v>
      </c>
      <c r="P19" s="1156">
        <v>0.3187044832145205</v>
      </c>
      <c r="Q19" s="1156">
        <v>48.201363046039582</v>
      </c>
      <c r="R19" s="1156">
        <v>0</v>
      </c>
      <c r="S19" s="1156">
        <v>132.4832413341355</v>
      </c>
      <c r="T19" s="1156">
        <v>146.73966006997193</v>
      </c>
      <c r="U19" s="1156">
        <v>301.17903758701806</v>
      </c>
      <c r="V19" s="1156">
        <v>109.11226254353119</v>
      </c>
      <c r="W19" s="1156">
        <v>48.493077506486358</v>
      </c>
      <c r="X19" s="1156">
        <v>0</v>
      </c>
      <c r="Y19" s="1157">
        <f t="shared" ref="Y19" si="30">SUM(P19:X19)</f>
        <v>786.52734657039719</v>
      </c>
      <c r="Z19" s="1158"/>
      <c r="AA19" s="1156">
        <f t="shared" si="9"/>
        <v>29.750970358158913</v>
      </c>
      <c r="AB19" s="1151">
        <f t="shared" si="10"/>
        <v>29.33</v>
      </c>
      <c r="AC19" s="1151">
        <f t="shared" si="11"/>
        <v>-0.42097035815891459</v>
      </c>
      <c r="AD19" s="1142"/>
      <c r="AE19" s="1151">
        <f t="shared" si="12"/>
        <v>29.33</v>
      </c>
      <c r="AF19" s="1154">
        <v>1.0900000000000001</v>
      </c>
      <c r="AG19" s="1154">
        <v>4.18</v>
      </c>
      <c r="AH19" s="1154">
        <v>0</v>
      </c>
      <c r="AI19" s="1154">
        <v>14.02</v>
      </c>
      <c r="AJ19" s="1154">
        <v>20.77</v>
      </c>
      <c r="AK19" s="1154">
        <v>17.82</v>
      </c>
      <c r="AL19" s="1154">
        <v>8.4600000000000009</v>
      </c>
      <c r="AM19" s="1154">
        <v>3.94</v>
      </c>
      <c r="AN19" s="1154">
        <v>0.38</v>
      </c>
      <c r="AO19" s="143">
        <f t="shared" si="17"/>
        <v>70.66</v>
      </c>
      <c r="AP19" s="1159">
        <f t="shared" si="18"/>
        <v>99.989999999999981</v>
      </c>
      <c r="AQ19" s="84"/>
      <c r="AR19" s="71"/>
      <c r="AS19" s="71">
        <v>-36.361918875704816</v>
      </c>
      <c r="AT19" s="70"/>
      <c r="AU19" s="66">
        <v>-0.84415954462855192</v>
      </c>
      <c r="AV19" s="66">
        <v>-3.8391876593867571</v>
      </c>
      <c r="AW19" s="66">
        <v>0</v>
      </c>
      <c r="AX19" s="66">
        <v>-8.2918092414459004</v>
      </c>
      <c r="AY19" s="66">
        <v>-8.132150372438737</v>
      </c>
      <c r="AZ19" s="66">
        <v>-8.9608156010865549</v>
      </c>
      <c r="BA19" s="66">
        <v>-3.7717221252630893</v>
      </c>
      <c r="BB19" s="66">
        <v>-2.320813643236102</v>
      </c>
      <c r="BC19" s="66">
        <v>-0.20126068821912474</v>
      </c>
      <c r="BD19" s="67">
        <f t="shared" si="19"/>
        <v>-36.361918875704809</v>
      </c>
      <c r="BE19" s="68">
        <f t="shared" si="20"/>
        <v>-36.361918875704809</v>
      </c>
      <c r="BF19" s="1119"/>
      <c r="BG19" s="1151">
        <f t="shared" si="21"/>
        <v>29.750970358158913</v>
      </c>
      <c r="BH19" s="1151">
        <f t="shared" si="22"/>
        <v>2.8465228559374223E-2</v>
      </c>
      <c r="BI19" s="1151">
        <f t="shared" si="13"/>
        <v>4.3051255575069947</v>
      </c>
      <c r="BJ19" s="1151">
        <f t="shared" si="23"/>
        <v>0</v>
      </c>
      <c r="BK19" s="1151">
        <f t="shared" si="24"/>
        <v>11.832797916195373</v>
      </c>
      <c r="BL19" s="1151">
        <f t="shared" si="25"/>
        <v>13.106116112602972</v>
      </c>
      <c r="BM19" s="1151">
        <f t="shared" si="26"/>
        <v>26.899935814320635</v>
      </c>
      <c r="BN19" s="1160">
        <f t="shared" si="27"/>
        <v>9.7454088521292395</v>
      </c>
      <c r="BO19" s="1151">
        <f t="shared" si="28"/>
        <v>4.3311801605265039</v>
      </c>
      <c r="BP19" s="1151">
        <f t="shared" si="14"/>
        <v>0</v>
      </c>
      <c r="BQ19" s="1161">
        <f t="shared" si="29"/>
        <v>100</v>
      </c>
    </row>
    <row r="20" spans="1:69" customFormat="1" ht="14.1" hidden="1" customHeight="1" x14ac:dyDescent="0.25">
      <c r="A20" s="70"/>
      <c r="B20" s="133" t="s">
        <v>38</v>
      </c>
      <c r="C20" s="141" t="s">
        <v>39</v>
      </c>
      <c r="D20" s="937" t="s">
        <v>1452</v>
      </c>
      <c r="E20" s="133" t="s">
        <v>1520</v>
      </c>
      <c r="F20" s="66"/>
      <c r="G20" s="66">
        <f>_xlfn.IFNA(INDEX(NewRecipeTable[Percentage Yield],MATCH('New Deboning Shoulder'!$E20,NewRecipeTable[ShortCode],0)),0)</f>
        <v>49.24</v>
      </c>
      <c r="H20" s="146">
        <v>1570</v>
      </c>
      <c r="I20" s="66" t="str">
        <v>No</v>
      </c>
      <c r="J20" s="133" t="s">
        <v>244</v>
      </c>
      <c r="K20" s="133">
        <f>SUMIFS(shoulders!$F$8:$F$27,shoulders!$D$8:$D$27,'New Deboning Shoulder'!$E20,shoulders!$G$8:$G$27,"&lt;&gt;0")</f>
        <v>0</v>
      </c>
      <c r="L20" s="66">
        <f t="shared" si="15"/>
        <v>0</v>
      </c>
      <c r="M20" s="133">
        <f>SUMIFS(shoulders!$G$8:$G$27,shoulders!$D$8:$D$27,'New Deboning Shoulder'!$E20,shoulders!$G$8:$G$27,"&lt;&gt;0")</f>
        <v>0</v>
      </c>
      <c r="N20" s="69"/>
      <c r="O20" s="92" t="s">
        <v>639</v>
      </c>
      <c r="P20" s="71">
        <v>0</v>
      </c>
      <c r="Q20" s="71">
        <v>0</v>
      </c>
      <c r="R20" s="71">
        <v>0</v>
      </c>
      <c r="S20" s="71">
        <v>0</v>
      </c>
      <c r="T20" s="71">
        <v>0</v>
      </c>
      <c r="U20" s="71">
        <v>0</v>
      </c>
      <c r="V20" s="71">
        <v>0</v>
      </c>
      <c r="W20" s="71">
        <v>0</v>
      </c>
      <c r="X20" s="71">
        <v>0</v>
      </c>
      <c r="Y20" s="142">
        <f>SUM(P20:X20)</f>
        <v>0</v>
      </c>
      <c r="Z20" s="84"/>
      <c r="AA20" s="71">
        <f t="shared" si="9"/>
        <v>0</v>
      </c>
      <c r="AB20" s="133">
        <f t="shared" si="10"/>
        <v>0</v>
      </c>
      <c r="AC20" s="133">
        <f t="shared" si="11"/>
        <v>0</v>
      </c>
      <c r="AD20" s="69"/>
      <c r="AE20" s="133">
        <f t="shared" si="12"/>
        <v>0</v>
      </c>
      <c r="AF20" s="66">
        <v>0</v>
      </c>
      <c r="AG20" s="66">
        <v>0</v>
      </c>
      <c r="AH20" s="66">
        <v>0</v>
      </c>
      <c r="AI20" s="66">
        <v>0</v>
      </c>
      <c r="AJ20" s="66">
        <v>0</v>
      </c>
      <c r="AK20" s="66">
        <v>0</v>
      </c>
      <c r="AL20" s="66">
        <v>0</v>
      </c>
      <c r="AM20" s="66">
        <v>0</v>
      </c>
      <c r="AN20" s="66">
        <v>0</v>
      </c>
      <c r="AO20" s="143">
        <f t="shared" si="17"/>
        <v>0</v>
      </c>
      <c r="AP20" s="136">
        <f t="shared" si="18"/>
        <v>0</v>
      </c>
      <c r="AQ20" s="84"/>
      <c r="AR20" s="71"/>
      <c r="AS20" s="71"/>
      <c r="AT20" s="70"/>
      <c r="AU20" s="66">
        <v>0</v>
      </c>
      <c r="AV20" s="66">
        <v>0</v>
      </c>
      <c r="AW20" s="66">
        <v>0</v>
      </c>
      <c r="AX20" s="66">
        <v>0</v>
      </c>
      <c r="AY20" s="66">
        <v>0</v>
      </c>
      <c r="AZ20" s="66">
        <v>0</v>
      </c>
      <c r="BA20" s="66">
        <v>0</v>
      </c>
      <c r="BB20" s="66">
        <v>0</v>
      </c>
      <c r="BC20" s="66">
        <v>0</v>
      </c>
      <c r="BD20" s="67">
        <f t="shared" si="19"/>
        <v>0</v>
      </c>
      <c r="BE20" s="68">
        <f t="shared" si="20"/>
        <v>0</v>
      </c>
      <c r="BF20" s="70"/>
      <c r="BG20" s="133">
        <f t="shared" si="21"/>
        <v>0</v>
      </c>
      <c r="BH20" s="133">
        <f t="shared" si="22"/>
        <v>0</v>
      </c>
      <c r="BI20" s="133">
        <f t="shared" si="13"/>
        <v>0</v>
      </c>
      <c r="BJ20" s="133">
        <f t="shared" si="23"/>
        <v>0</v>
      </c>
      <c r="BK20" s="133">
        <f t="shared" si="24"/>
        <v>0</v>
      </c>
      <c r="BL20" s="133">
        <f t="shared" si="25"/>
        <v>0</v>
      </c>
      <c r="BM20" s="133">
        <f t="shared" si="26"/>
        <v>0</v>
      </c>
      <c r="BN20" s="144">
        <f t="shared" si="27"/>
        <v>0</v>
      </c>
      <c r="BO20" s="133">
        <f t="shared" si="28"/>
        <v>0</v>
      </c>
      <c r="BP20" s="133">
        <f t="shared" si="14"/>
        <v>0</v>
      </c>
      <c r="BQ20" s="145">
        <f t="shared" si="29"/>
        <v>0</v>
      </c>
    </row>
    <row r="21" spans="1:69" customFormat="1" ht="14.1" hidden="1" customHeight="1" x14ac:dyDescent="0.25">
      <c r="A21" s="70"/>
      <c r="B21" s="133" t="s">
        <v>1456</v>
      </c>
      <c r="C21" s="141" t="s">
        <v>1457</v>
      </c>
      <c r="D21" s="937" t="s">
        <v>1454</v>
      </c>
      <c r="E21" s="133" t="s">
        <v>1521</v>
      </c>
      <c r="F21" s="66"/>
      <c r="G21" s="66">
        <f>_xlfn.IFNA(INDEX(NewRecipeTable[Percentage Yield],MATCH('New Deboning Shoulder'!$E21,NewRecipeTable[ShortCode],0)),0)</f>
        <v>33.799999999999997</v>
      </c>
      <c r="H21" s="146">
        <v>1570</v>
      </c>
      <c r="I21" s="66" t="str">
        <v>No</v>
      </c>
      <c r="J21" s="133" t="s">
        <v>244</v>
      </c>
      <c r="K21" s="133">
        <f>SUMIFS(shoulders!$F$8:$F$27,shoulders!$D$8:$D$27,'New Deboning Shoulder'!$E21,shoulders!$G$8:$G$27,"&lt;&gt;0")</f>
        <v>0</v>
      </c>
      <c r="L21" s="66">
        <f t="shared" si="15"/>
        <v>0</v>
      </c>
      <c r="M21" s="133">
        <f>SUMIFS(shoulders!$G$8:$G$27,shoulders!$D$8:$D$27,'New Deboning Shoulder'!$E21,shoulders!$G$8:$G$27,"&lt;&gt;0")</f>
        <v>0</v>
      </c>
      <c r="N21" s="69"/>
      <c r="O21" s="92" t="s">
        <v>639</v>
      </c>
      <c r="P21" s="71">
        <v>0</v>
      </c>
      <c r="Q21" s="71">
        <v>0</v>
      </c>
      <c r="R21" s="71">
        <v>0</v>
      </c>
      <c r="S21" s="71">
        <v>0</v>
      </c>
      <c r="T21" s="71">
        <v>0</v>
      </c>
      <c r="U21" s="71">
        <v>0</v>
      </c>
      <c r="V21" s="71">
        <v>0</v>
      </c>
      <c r="W21" s="71">
        <v>0</v>
      </c>
      <c r="X21" s="71">
        <v>0</v>
      </c>
      <c r="Y21" s="142">
        <f t="shared" ref="Y21:Y23" si="31">SUM(P21:X21)</f>
        <v>0</v>
      </c>
      <c r="Z21" s="84"/>
      <c r="AA21" s="71">
        <f t="shared" si="9"/>
        <v>0</v>
      </c>
      <c r="AB21" s="133">
        <f t="shared" si="10"/>
        <v>0</v>
      </c>
      <c r="AC21" s="133">
        <f t="shared" si="11"/>
        <v>0</v>
      </c>
      <c r="AD21" s="69"/>
      <c r="AE21" s="133">
        <f t="shared" si="12"/>
        <v>0</v>
      </c>
      <c r="AF21" s="66">
        <v>0</v>
      </c>
      <c r="AG21" s="66">
        <v>0</v>
      </c>
      <c r="AH21" s="66">
        <v>0</v>
      </c>
      <c r="AI21" s="66">
        <v>0</v>
      </c>
      <c r="AJ21" s="66">
        <v>0</v>
      </c>
      <c r="AK21" s="66">
        <v>0</v>
      </c>
      <c r="AL21" s="66">
        <v>0</v>
      </c>
      <c r="AM21" s="66">
        <v>0</v>
      </c>
      <c r="AN21" s="66">
        <v>0</v>
      </c>
      <c r="AO21" s="143">
        <f t="shared" si="17"/>
        <v>0</v>
      </c>
      <c r="AP21" s="136">
        <f t="shared" si="18"/>
        <v>0</v>
      </c>
      <c r="AQ21" s="84"/>
      <c r="AR21" s="71"/>
      <c r="AS21" s="71"/>
      <c r="AT21" s="70"/>
      <c r="AU21" s="66">
        <v>0</v>
      </c>
      <c r="AV21" s="66">
        <v>0</v>
      </c>
      <c r="AW21" s="66">
        <v>0</v>
      </c>
      <c r="AX21" s="66">
        <v>0</v>
      </c>
      <c r="AY21" s="66">
        <v>0</v>
      </c>
      <c r="AZ21" s="66">
        <v>0</v>
      </c>
      <c r="BA21" s="66">
        <v>0</v>
      </c>
      <c r="BB21" s="66">
        <v>0</v>
      </c>
      <c r="BC21" s="66">
        <v>0</v>
      </c>
      <c r="BD21" s="67">
        <f t="shared" si="19"/>
        <v>0</v>
      </c>
      <c r="BE21" s="68">
        <f t="shared" si="20"/>
        <v>0</v>
      </c>
      <c r="BF21" s="70"/>
      <c r="BG21" s="133">
        <f t="shared" si="21"/>
        <v>0</v>
      </c>
      <c r="BH21" s="133">
        <f t="shared" si="22"/>
        <v>0</v>
      </c>
      <c r="BI21" s="133">
        <f t="shared" si="13"/>
        <v>0</v>
      </c>
      <c r="BJ21" s="133">
        <f t="shared" si="23"/>
        <v>0</v>
      </c>
      <c r="BK21" s="133">
        <f t="shared" si="24"/>
        <v>0</v>
      </c>
      <c r="BL21" s="133">
        <f t="shared" si="25"/>
        <v>0</v>
      </c>
      <c r="BM21" s="133">
        <f t="shared" si="26"/>
        <v>0</v>
      </c>
      <c r="BN21" s="144">
        <f t="shared" si="27"/>
        <v>0</v>
      </c>
      <c r="BO21" s="133">
        <f t="shared" si="28"/>
        <v>0</v>
      </c>
      <c r="BP21" s="133">
        <f t="shared" si="14"/>
        <v>0</v>
      </c>
      <c r="BQ21" s="145">
        <f t="shared" si="29"/>
        <v>0</v>
      </c>
    </row>
    <row r="22" spans="1:69" customFormat="1" ht="14.1" hidden="1" customHeight="1" x14ac:dyDescent="0.25">
      <c r="A22" s="70"/>
      <c r="B22" s="133" t="s">
        <v>23</v>
      </c>
      <c r="C22" s="141" t="s">
        <v>27</v>
      </c>
      <c r="D22" s="937" t="s">
        <v>1458</v>
      </c>
      <c r="E22" s="133" t="s">
        <v>1522</v>
      </c>
      <c r="F22" s="66"/>
      <c r="G22" s="66">
        <f>_xlfn.IFNA(INDEX(NewRecipeTable[Percentage Yield],MATCH('New Deboning Shoulder'!$E22,NewRecipeTable[ShortCode],0)),0)</f>
        <v>38.9</v>
      </c>
      <c r="H22" s="146">
        <v>1570</v>
      </c>
      <c r="I22" s="66" t="str">
        <v>No</v>
      </c>
      <c r="J22" s="133" t="s">
        <v>244</v>
      </c>
      <c r="K22" s="133">
        <f>SUMIFS(shoulders!$F$8:$F$27,shoulders!$D$8:$D$27,'New Deboning Shoulder'!$E22,shoulders!$G$8:$G$27,"&lt;&gt;0")</f>
        <v>0</v>
      </c>
      <c r="L22" s="66">
        <f t="shared" si="15"/>
        <v>0</v>
      </c>
      <c r="M22" s="133">
        <f>SUMIFS(shoulders!$G$8:$G$27,shoulders!$D$8:$D$27,'New Deboning Shoulder'!$E22,shoulders!$G$8:$G$27,"&lt;&gt;0")</f>
        <v>0</v>
      </c>
      <c r="N22" s="69"/>
      <c r="O22" s="92" t="s">
        <v>639</v>
      </c>
      <c r="P22" s="71">
        <v>0</v>
      </c>
      <c r="Q22" s="71">
        <v>0</v>
      </c>
      <c r="R22" s="71">
        <v>0</v>
      </c>
      <c r="S22" s="71">
        <v>0</v>
      </c>
      <c r="T22" s="71">
        <v>0</v>
      </c>
      <c r="U22" s="71">
        <v>0</v>
      </c>
      <c r="V22" s="71">
        <v>0</v>
      </c>
      <c r="W22" s="71">
        <v>0</v>
      </c>
      <c r="X22" s="71">
        <v>0</v>
      </c>
      <c r="Y22" s="142">
        <f t="shared" si="31"/>
        <v>0</v>
      </c>
      <c r="Z22" s="84"/>
      <c r="AA22" s="71">
        <f t="shared" si="9"/>
        <v>0</v>
      </c>
      <c r="AB22" s="133">
        <f t="shared" si="10"/>
        <v>0</v>
      </c>
      <c r="AC22" s="133">
        <f t="shared" si="11"/>
        <v>0</v>
      </c>
      <c r="AD22" s="69"/>
      <c r="AE22" s="133">
        <f t="shared" si="12"/>
        <v>0</v>
      </c>
      <c r="AF22" s="66">
        <v>0</v>
      </c>
      <c r="AG22" s="66">
        <v>0</v>
      </c>
      <c r="AH22" s="66">
        <v>0</v>
      </c>
      <c r="AI22" s="66">
        <v>0</v>
      </c>
      <c r="AJ22" s="66">
        <v>0</v>
      </c>
      <c r="AK22" s="66">
        <v>0</v>
      </c>
      <c r="AL22" s="66">
        <v>0</v>
      </c>
      <c r="AM22" s="66">
        <v>0</v>
      </c>
      <c r="AN22" s="66">
        <v>0</v>
      </c>
      <c r="AO22" s="143">
        <f t="shared" si="17"/>
        <v>0</v>
      </c>
      <c r="AP22" s="136">
        <f t="shared" si="18"/>
        <v>0</v>
      </c>
      <c r="AQ22" s="84"/>
      <c r="AR22" s="71"/>
      <c r="AS22" s="71"/>
      <c r="AT22" s="70"/>
      <c r="AU22" s="66">
        <v>0</v>
      </c>
      <c r="AV22" s="66">
        <v>0</v>
      </c>
      <c r="AW22" s="66">
        <v>0</v>
      </c>
      <c r="AX22" s="66">
        <v>0</v>
      </c>
      <c r="AY22" s="66">
        <v>0</v>
      </c>
      <c r="AZ22" s="66">
        <v>0</v>
      </c>
      <c r="BA22" s="66">
        <v>0</v>
      </c>
      <c r="BB22" s="66">
        <v>0</v>
      </c>
      <c r="BC22" s="66">
        <v>0</v>
      </c>
      <c r="BD22" s="67">
        <f t="shared" si="19"/>
        <v>0</v>
      </c>
      <c r="BE22" s="68">
        <f t="shared" si="20"/>
        <v>0</v>
      </c>
      <c r="BF22" s="70"/>
      <c r="BG22" s="133">
        <f t="shared" si="21"/>
        <v>0</v>
      </c>
      <c r="BH22" s="133">
        <f t="shared" si="22"/>
        <v>0</v>
      </c>
      <c r="BI22" s="133">
        <f t="shared" si="13"/>
        <v>0</v>
      </c>
      <c r="BJ22" s="133">
        <f t="shared" si="23"/>
        <v>0</v>
      </c>
      <c r="BK22" s="133">
        <f t="shared" si="24"/>
        <v>0</v>
      </c>
      <c r="BL22" s="133">
        <f t="shared" si="25"/>
        <v>0</v>
      </c>
      <c r="BM22" s="133">
        <f t="shared" si="26"/>
        <v>0</v>
      </c>
      <c r="BN22" s="144">
        <f t="shared" si="27"/>
        <v>0</v>
      </c>
      <c r="BO22" s="133">
        <f t="shared" si="28"/>
        <v>0</v>
      </c>
      <c r="BP22" s="133">
        <f t="shared" si="14"/>
        <v>0</v>
      </c>
      <c r="BQ22" s="145">
        <f t="shared" si="29"/>
        <v>0</v>
      </c>
    </row>
    <row r="23" spans="1:69" customFormat="1" ht="14.1" hidden="1" customHeight="1" x14ac:dyDescent="0.25">
      <c r="A23" s="70"/>
      <c r="B23" s="66" t="s">
        <v>1464</v>
      </c>
      <c r="C23" s="138" t="s">
        <v>1465</v>
      </c>
      <c r="D23" s="936" t="s">
        <v>1462</v>
      </c>
      <c r="E23" s="66" t="s">
        <v>1523</v>
      </c>
      <c r="F23" s="66"/>
      <c r="G23" s="66">
        <f>_xlfn.IFNA(INDEX(NewRecipeTable[Percentage Yield],MATCH('New Deboning Shoulder'!$E23,NewRecipeTable[ShortCode],0)),0)</f>
        <v>59.7</v>
      </c>
      <c r="H23" s="140">
        <v>1570</v>
      </c>
      <c r="I23" s="66" t="str">
        <v>No</v>
      </c>
      <c r="J23" s="66" t="s">
        <v>244</v>
      </c>
      <c r="K23" s="133">
        <f>SUMIFS(shoulders!$F$8:$F$27,shoulders!$D$8:$D$27,'New Deboning Shoulder'!$E23,shoulders!$G$8:$G$27,"&lt;&gt;0")</f>
        <v>0</v>
      </c>
      <c r="L23" s="66">
        <f t="shared" si="15"/>
        <v>0</v>
      </c>
      <c r="M23" s="133">
        <f>SUMIFS(shoulders!$G$8:$G$27,shoulders!$D$8:$D$27,'New Deboning Shoulder'!$E23,shoulders!$G$8:$G$27,"&lt;&gt;0")</f>
        <v>0</v>
      </c>
      <c r="N23" s="69"/>
      <c r="O23" s="92" t="s">
        <v>639</v>
      </c>
      <c r="P23" s="71">
        <v>0</v>
      </c>
      <c r="Q23" s="71">
        <v>0</v>
      </c>
      <c r="R23" s="71">
        <v>0</v>
      </c>
      <c r="S23" s="71">
        <v>0</v>
      </c>
      <c r="T23" s="71">
        <v>0</v>
      </c>
      <c r="U23" s="71">
        <v>0</v>
      </c>
      <c r="V23" s="71">
        <v>0</v>
      </c>
      <c r="W23" s="71">
        <v>0</v>
      </c>
      <c r="X23" s="71">
        <v>0</v>
      </c>
      <c r="Y23" s="142">
        <f t="shared" si="31"/>
        <v>0</v>
      </c>
      <c r="Z23" s="84"/>
      <c r="AA23" s="71">
        <f t="shared" si="9"/>
        <v>0</v>
      </c>
      <c r="AB23" s="133">
        <f t="shared" si="10"/>
        <v>0</v>
      </c>
      <c r="AC23" s="133">
        <f t="shared" si="11"/>
        <v>0</v>
      </c>
      <c r="AD23" s="69"/>
      <c r="AE23" s="133">
        <f t="shared" si="12"/>
        <v>0</v>
      </c>
      <c r="AF23" s="66">
        <v>0</v>
      </c>
      <c r="AG23" s="66">
        <v>0</v>
      </c>
      <c r="AH23" s="66">
        <v>0</v>
      </c>
      <c r="AI23" s="66">
        <v>0</v>
      </c>
      <c r="AJ23" s="66">
        <v>0</v>
      </c>
      <c r="AK23" s="66">
        <v>0</v>
      </c>
      <c r="AL23" s="66">
        <v>0</v>
      </c>
      <c r="AM23" s="66">
        <v>0</v>
      </c>
      <c r="AN23" s="66">
        <v>0</v>
      </c>
      <c r="AO23" s="143">
        <f t="shared" si="17"/>
        <v>0</v>
      </c>
      <c r="AP23" s="136">
        <f t="shared" si="18"/>
        <v>0</v>
      </c>
      <c r="AQ23" s="84"/>
      <c r="AR23" s="71"/>
      <c r="AS23" s="71"/>
      <c r="AT23" s="70"/>
      <c r="AU23" s="66">
        <v>0</v>
      </c>
      <c r="AV23" s="66">
        <v>0</v>
      </c>
      <c r="AW23" s="66">
        <v>0</v>
      </c>
      <c r="AX23" s="66">
        <v>0</v>
      </c>
      <c r="AY23" s="66">
        <v>0</v>
      </c>
      <c r="AZ23" s="66">
        <v>0</v>
      </c>
      <c r="BA23" s="66">
        <v>0</v>
      </c>
      <c r="BB23" s="66">
        <v>0</v>
      </c>
      <c r="BC23" s="66">
        <v>0</v>
      </c>
      <c r="BD23" s="67">
        <f t="shared" si="19"/>
        <v>0</v>
      </c>
      <c r="BE23" s="68">
        <f t="shared" si="20"/>
        <v>0</v>
      </c>
      <c r="BF23" s="70"/>
      <c r="BG23" s="133">
        <f t="shared" si="21"/>
        <v>0</v>
      </c>
      <c r="BH23" s="133">
        <f t="shared" si="22"/>
        <v>0</v>
      </c>
      <c r="BI23" s="133">
        <f t="shared" si="13"/>
        <v>0</v>
      </c>
      <c r="BJ23" s="133">
        <f t="shared" si="23"/>
        <v>0</v>
      </c>
      <c r="BK23" s="133">
        <f t="shared" si="24"/>
        <v>0</v>
      </c>
      <c r="BL23" s="133">
        <f t="shared" si="25"/>
        <v>0</v>
      </c>
      <c r="BM23" s="133">
        <f t="shared" si="26"/>
        <v>0</v>
      </c>
      <c r="BN23" s="144">
        <f t="shared" si="27"/>
        <v>0</v>
      </c>
      <c r="BO23" s="133">
        <f t="shared" si="28"/>
        <v>0</v>
      </c>
      <c r="BP23" s="133">
        <f t="shared" si="14"/>
        <v>0</v>
      </c>
      <c r="BQ23" s="145">
        <f t="shared" si="29"/>
        <v>0</v>
      </c>
    </row>
    <row r="24" spans="1:69" customFormat="1" ht="14.1" hidden="1" customHeight="1" x14ac:dyDescent="0.25">
      <c r="A24" s="44"/>
      <c r="B24" s="133" t="s">
        <v>1468</v>
      </c>
      <c r="C24" s="141" t="s">
        <v>1469</v>
      </c>
      <c r="D24" s="937" t="s">
        <v>1466</v>
      </c>
      <c r="E24" s="133" t="s">
        <v>1524</v>
      </c>
      <c r="F24" s="66"/>
      <c r="G24" s="66">
        <f>_xlfn.IFNA(INDEX(NewRecipeTable[Percentage Yield],MATCH('New Deboning Shoulder'!$E24,NewRecipeTable[ShortCode],0)),0)</f>
        <v>71.650000000000006</v>
      </c>
      <c r="H24" s="146">
        <v>1570</v>
      </c>
      <c r="I24" s="66" t="str">
        <v>No</v>
      </c>
      <c r="J24" s="133" t="s">
        <v>244</v>
      </c>
      <c r="K24" s="133">
        <f>SUMIFS(shoulders!$F$8:$F$27,shoulders!$D$8:$D$27,'New Deboning Shoulder'!$E24,shoulders!$G$8:$G$27,"&lt;&gt;0")</f>
        <v>0</v>
      </c>
      <c r="L24" s="66">
        <f t="shared" si="15"/>
        <v>0</v>
      </c>
      <c r="M24" s="133">
        <f>SUMIFS(shoulders!$G$8:$G$27,shoulders!$D$8:$D$27,'New Deboning Shoulder'!$E24,shoulders!$G$8:$G$27,"&lt;&gt;0")</f>
        <v>0</v>
      </c>
      <c r="N24" s="47"/>
      <c r="O24" s="92" t="s">
        <v>639</v>
      </c>
      <c r="P24" s="71">
        <v>0</v>
      </c>
      <c r="Q24" s="71">
        <v>0</v>
      </c>
      <c r="R24" s="71">
        <v>0</v>
      </c>
      <c r="S24" s="71">
        <v>0</v>
      </c>
      <c r="T24" s="71">
        <v>0</v>
      </c>
      <c r="U24" s="71">
        <v>0</v>
      </c>
      <c r="V24" s="71">
        <v>0</v>
      </c>
      <c r="W24" s="71">
        <v>0</v>
      </c>
      <c r="X24" s="71">
        <v>0</v>
      </c>
      <c r="Y24" s="142">
        <f t="shared" ref="Y24:Y32" si="32">SUM(P24:X24)</f>
        <v>0</v>
      </c>
      <c r="Z24" s="43"/>
      <c r="AA24" s="71">
        <f t="shared" si="9"/>
        <v>0</v>
      </c>
      <c r="AB24" s="133">
        <f t="shared" si="10"/>
        <v>0</v>
      </c>
      <c r="AC24" s="133">
        <f t="shared" ref="AC24:AC32" si="33">AB24-AA24</f>
        <v>0</v>
      </c>
      <c r="AD24" s="69"/>
      <c r="AE24" s="133">
        <f t="shared" si="12"/>
        <v>0</v>
      </c>
      <c r="AF24" s="66">
        <v>0</v>
      </c>
      <c r="AG24" s="66">
        <v>0</v>
      </c>
      <c r="AH24" s="66">
        <v>0</v>
      </c>
      <c r="AI24" s="66">
        <v>0</v>
      </c>
      <c r="AJ24" s="66">
        <v>0</v>
      </c>
      <c r="AK24" s="66">
        <v>0</v>
      </c>
      <c r="AL24" s="66">
        <v>0</v>
      </c>
      <c r="AM24" s="66">
        <v>0</v>
      </c>
      <c r="AN24" s="66">
        <v>0</v>
      </c>
      <c r="AO24" s="143">
        <f t="shared" ref="AO24:AO32" si="34">SUM(AF24:AN24)</f>
        <v>0</v>
      </c>
      <c r="AP24" s="136">
        <f t="shared" si="18"/>
        <v>0</v>
      </c>
      <c r="AQ24" s="43"/>
      <c r="AR24" s="71"/>
      <c r="AS24" s="71"/>
      <c r="AT24" s="44"/>
      <c r="AU24" s="66">
        <v>0</v>
      </c>
      <c r="AV24" s="66">
        <v>0</v>
      </c>
      <c r="AW24" s="66">
        <v>0</v>
      </c>
      <c r="AX24" s="66">
        <v>0</v>
      </c>
      <c r="AY24" s="66">
        <v>0</v>
      </c>
      <c r="AZ24" s="66">
        <v>0</v>
      </c>
      <c r="BA24" s="66">
        <v>0</v>
      </c>
      <c r="BB24" s="66">
        <v>0</v>
      </c>
      <c r="BC24" s="66">
        <v>0</v>
      </c>
      <c r="BD24" s="67">
        <f t="shared" ref="BD24:BD32" si="35">SUM(AU24:BC24)</f>
        <v>0</v>
      </c>
      <c r="BE24" s="68">
        <f t="shared" ref="BE24:BE32" si="36">SUM(AU24:BC24)</f>
        <v>0</v>
      </c>
      <c r="BF24" s="44"/>
      <c r="BG24" s="133">
        <f t="shared" si="21"/>
        <v>0</v>
      </c>
      <c r="BH24" s="133">
        <f t="shared" si="22"/>
        <v>0</v>
      </c>
      <c r="BI24" s="133">
        <f t="shared" si="13"/>
        <v>0</v>
      </c>
      <c r="BJ24" s="133">
        <f t="shared" si="23"/>
        <v>0</v>
      </c>
      <c r="BK24" s="133">
        <f t="shared" si="24"/>
        <v>0</v>
      </c>
      <c r="BL24" s="133">
        <f t="shared" si="25"/>
        <v>0</v>
      </c>
      <c r="BM24" s="133">
        <f t="shared" si="26"/>
        <v>0</v>
      </c>
      <c r="BN24" s="144">
        <f t="shared" si="27"/>
        <v>0</v>
      </c>
      <c r="BO24" s="133">
        <f t="shared" si="28"/>
        <v>0</v>
      </c>
      <c r="BP24" s="133">
        <f t="shared" si="14"/>
        <v>0</v>
      </c>
      <c r="BQ24" s="145">
        <f t="shared" ref="BQ24:BQ32" si="37">SUM(BG24:BP24)</f>
        <v>0</v>
      </c>
    </row>
    <row r="25" spans="1:69" customFormat="1" ht="14.1" hidden="1" customHeight="1" x14ac:dyDescent="0.25">
      <c r="A25" s="43"/>
      <c r="B25" s="133" t="s">
        <v>1478</v>
      </c>
      <c r="C25" s="141" t="s">
        <v>1479</v>
      </c>
      <c r="D25" s="937" t="s">
        <v>1476</v>
      </c>
      <c r="E25" s="133" t="s">
        <v>1525</v>
      </c>
      <c r="F25" s="66"/>
      <c r="G25" s="66">
        <f>_xlfn.IFNA(INDEX(NewRecipeTable[Percentage Yield],MATCH('New Deboning Shoulder'!$E25,NewRecipeTable[ShortCode],0)),0)</f>
        <v>45.24</v>
      </c>
      <c r="H25" s="146">
        <v>1570</v>
      </c>
      <c r="I25" s="66" t="str">
        <v>No</v>
      </c>
      <c r="J25" s="133" t="s">
        <v>244</v>
      </c>
      <c r="K25" s="133">
        <f>SUMIFS(shoulders!$F$8:$F$27,shoulders!$D$8:$D$27,'New Deboning Shoulder'!$E25,shoulders!$G$8:$G$27,"&lt;&gt;0")</f>
        <v>0</v>
      </c>
      <c r="L25" s="66">
        <f t="shared" si="15"/>
        <v>0</v>
      </c>
      <c r="M25" s="133">
        <f>SUMIFS(shoulders!$G$8:$G$27,shoulders!$D$8:$D$27,'New Deboning Shoulder'!$E25,shoulders!$G$8:$G$27,"&lt;&gt;0")</f>
        <v>0</v>
      </c>
      <c r="N25" s="49"/>
      <c r="O25" s="92" t="s">
        <v>639</v>
      </c>
      <c r="P25" s="71">
        <v>0</v>
      </c>
      <c r="Q25" s="71">
        <v>0</v>
      </c>
      <c r="R25" s="71">
        <v>0</v>
      </c>
      <c r="S25" s="71">
        <v>0</v>
      </c>
      <c r="T25" s="71">
        <v>0</v>
      </c>
      <c r="U25" s="71">
        <v>0</v>
      </c>
      <c r="V25" s="71">
        <v>0</v>
      </c>
      <c r="W25" s="71">
        <v>0</v>
      </c>
      <c r="X25" s="71">
        <v>0</v>
      </c>
      <c r="Y25" s="142">
        <f t="shared" si="32"/>
        <v>0</v>
      </c>
      <c r="Z25" s="49"/>
      <c r="AA25" s="71">
        <f t="shared" si="9"/>
        <v>0</v>
      </c>
      <c r="AB25" s="133">
        <f t="shared" si="10"/>
        <v>0</v>
      </c>
      <c r="AC25" s="133">
        <f t="shared" si="33"/>
        <v>0</v>
      </c>
      <c r="AD25" s="69"/>
      <c r="AE25" s="133">
        <f t="shared" si="12"/>
        <v>0</v>
      </c>
      <c r="AF25" s="66">
        <v>0</v>
      </c>
      <c r="AG25" s="66">
        <v>0</v>
      </c>
      <c r="AH25" s="66">
        <v>0</v>
      </c>
      <c r="AI25" s="66">
        <v>0</v>
      </c>
      <c r="AJ25" s="66">
        <v>0</v>
      </c>
      <c r="AK25" s="66">
        <v>0</v>
      </c>
      <c r="AL25" s="66">
        <v>0</v>
      </c>
      <c r="AM25" s="66">
        <v>0</v>
      </c>
      <c r="AN25" s="66">
        <v>0</v>
      </c>
      <c r="AO25" s="143">
        <f t="shared" si="34"/>
        <v>0</v>
      </c>
      <c r="AP25" s="136">
        <f t="shared" si="18"/>
        <v>0</v>
      </c>
      <c r="AQ25" s="49"/>
      <c r="AR25" s="71"/>
      <c r="AS25" s="71"/>
      <c r="AT25" s="43"/>
      <c r="AU25" s="66">
        <v>0</v>
      </c>
      <c r="AV25" s="66">
        <v>0</v>
      </c>
      <c r="AW25" s="66">
        <v>0</v>
      </c>
      <c r="AX25" s="66">
        <v>0</v>
      </c>
      <c r="AY25" s="66">
        <v>0</v>
      </c>
      <c r="AZ25" s="66">
        <v>0</v>
      </c>
      <c r="BA25" s="66">
        <v>0</v>
      </c>
      <c r="BB25" s="66">
        <v>0</v>
      </c>
      <c r="BC25" s="66">
        <v>0</v>
      </c>
      <c r="BD25" s="67">
        <f t="shared" si="35"/>
        <v>0</v>
      </c>
      <c r="BE25" s="68">
        <f t="shared" si="36"/>
        <v>0</v>
      </c>
      <c r="BF25" s="43"/>
      <c r="BG25" s="133">
        <f t="shared" si="21"/>
        <v>0</v>
      </c>
      <c r="BH25" s="133">
        <f t="shared" si="22"/>
        <v>0</v>
      </c>
      <c r="BI25" s="133">
        <f t="shared" si="13"/>
        <v>0</v>
      </c>
      <c r="BJ25" s="133">
        <f t="shared" si="23"/>
        <v>0</v>
      </c>
      <c r="BK25" s="133">
        <f t="shared" si="24"/>
        <v>0</v>
      </c>
      <c r="BL25" s="133">
        <f t="shared" si="25"/>
        <v>0</v>
      </c>
      <c r="BM25" s="133">
        <f t="shared" si="26"/>
        <v>0</v>
      </c>
      <c r="BN25" s="144">
        <f t="shared" si="27"/>
        <v>0</v>
      </c>
      <c r="BO25" s="133">
        <f t="shared" si="28"/>
        <v>0</v>
      </c>
      <c r="BP25" s="133">
        <f t="shared" si="14"/>
        <v>0</v>
      </c>
      <c r="BQ25" s="145">
        <f t="shared" si="37"/>
        <v>0</v>
      </c>
    </row>
    <row r="26" spans="1:69" customFormat="1" ht="14.1" hidden="1" customHeight="1" x14ac:dyDescent="0.25">
      <c r="B26" s="133" t="s">
        <v>19</v>
      </c>
      <c r="C26" s="141" t="s">
        <v>568</v>
      </c>
      <c r="D26" s="937" t="s">
        <v>1480</v>
      </c>
      <c r="E26" s="133" t="s">
        <v>1526</v>
      </c>
      <c r="F26" s="66"/>
      <c r="G26" s="66">
        <f>_xlfn.IFNA(INDEX(NewRecipeTable[Percentage Yield],MATCH('New Deboning Shoulder'!$E26,NewRecipeTable[ShortCode],0)),0)</f>
        <v>15.01</v>
      </c>
      <c r="H26" s="146">
        <v>1570</v>
      </c>
      <c r="I26" s="66" t="str">
        <v>No</v>
      </c>
      <c r="J26" s="133" t="s">
        <v>244</v>
      </c>
      <c r="K26" s="133">
        <f>SUMIFS(shoulders!$F$8:$F$27,shoulders!$D$8:$D$27,'New Deboning Shoulder'!$E26,shoulders!$G$8:$G$27,"&lt;&gt;0")</f>
        <v>0</v>
      </c>
      <c r="L26" s="66">
        <f t="shared" si="15"/>
        <v>0</v>
      </c>
      <c r="M26" s="133">
        <f>SUMIFS(shoulders!$G$8:$G$27,shoulders!$D$8:$D$27,'New Deboning Shoulder'!$E26,shoulders!$G$8:$G$27,"&lt;&gt;0")</f>
        <v>0</v>
      </c>
      <c r="O26" s="92" t="s">
        <v>639</v>
      </c>
      <c r="P26" s="71">
        <v>0</v>
      </c>
      <c r="Q26" s="71">
        <v>0</v>
      </c>
      <c r="R26" s="71">
        <v>0</v>
      </c>
      <c r="S26" s="71">
        <v>0</v>
      </c>
      <c r="T26" s="71">
        <v>0</v>
      </c>
      <c r="U26" s="71">
        <v>0</v>
      </c>
      <c r="V26" s="71">
        <v>0</v>
      </c>
      <c r="W26" s="71">
        <v>0</v>
      </c>
      <c r="X26" s="71">
        <v>0</v>
      </c>
      <c r="Y26" s="142">
        <f t="shared" si="32"/>
        <v>0</v>
      </c>
      <c r="AA26" s="71">
        <f t="shared" si="9"/>
        <v>0</v>
      </c>
      <c r="AB26" s="133">
        <f t="shared" si="10"/>
        <v>0</v>
      </c>
      <c r="AC26" s="133">
        <f t="shared" si="33"/>
        <v>0</v>
      </c>
      <c r="AD26" s="69"/>
      <c r="AE26" s="133">
        <f t="shared" si="12"/>
        <v>0</v>
      </c>
      <c r="AF26" s="66">
        <v>0</v>
      </c>
      <c r="AG26" s="66">
        <v>0</v>
      </c>
      <c r="AH26" s="66">
        <v>0</v>
      </c>
      <c r="AI26" s="66">
        <v>0</v>
      </c>
      <c r="AJ26" s="66">
        <v>0</v>
      </c>
      <c r="AK26" s="66">
        <v>0</v>
      </c>
      <c r="AL26" s="66">
        <v>0</v>
      </c>
      <c r="AM26" s="66">
        <v>0</v>
      </c>
      <c r="AN26" s="66">
        <v>0</v>
      </c>
      <c r="AO26" s="143">
        <f t="shared" si="34"/>
        <v>0</v>
      </c>
      <c r="AP26" s="136">
        <f t="shared" si="18"/>
        <v>0</v>
      </c>
      <c r="AR26" s="71"/>
      <c r="AS26" s="71"/>
      <c r="AU26" s="66">
        <v>0</v>
      </c>
      <c r="AV26" s="66">
        <v>0</v>
      </c>
      <c r="AW26" s="66">
        <v>0</v>
      </c>
      <c r="AX26" s="66">
        <v>0</v>
      </c>
      <c r="AY26" s="66">
        <v>0</v>
      </c>
      <c r="AZ26" s="66">
        <v>0</v>
      </c>
      <c r="BA26" s="66">
        <v>0</v>
      </c>
      <c r="BB26" s="66">
        <v>0</v>
      </c>
      <c r="BC26" s="66">
        <v>0</v>
      </c>
      <c r="BD26" s="67">
        <f t="shared" si="35"/>
        <v>0</v>
      </c>
      <c r="BE26" s="68">
        <f t="shared" si="36"/>
        <v>0</v>
      </c>
      <c r="BG26" s="133">
        <f t="shared" si="21"/>
        <v>0</v>
      </c>
      <c r="BH26" s="133">
        <f t="shared" si="22"/>
        <v>0</v>
      </c>
      <c r="BI26" s="133">
        <f t="shared" si="13"/>
        <v>0</v>
      </c>
      <c r="BJ26" s="133">
        <f t="shared" si="23"/>
        <v>0</v>
      </c>
      <c r="BK26" s="133">
        <f t="shared" si="24"/>
        <v>0</v>
      </c>
      <c r="BL26" s="133">
        <f t="shared" si="25"/>
        <v>0</v>
      </c>
      <c r="BM26" s="133">
        <f t="shared" si="26"/>
        <v>0</v>
      </c>
      <c r="BN26" s="144">
        <f t="shared" si="27"/>
        <v>0</v>
      </c>
      <c r="BO26" s="133">
        <f t="shared" si="28"/>
        <v>0</v>
      </c>
      <c r="BP26" s="133">
        <f t="shared" si="14"/>
        <v>0</v>
      </c>
      <c r="BQ26" s="145">
        <f t="shared" si="37"/>
        <v>0</v>
      </c>
    </row>
    <row r="27" spans="1:69" customFormat="1" ht="14.1" hidden="1" customHeight="1" x14ac:dyDescent="0.25">
      <c r="B27" s="133" t="s">
        <v>19</v>
      </c>
      <c r="C27" s="141" t="s">
        <v>568</v>
      </c>
      <c r="D27" s="937" t="s">
        <v>580</v>
      </c>
      <c r="E27" s="133" t="s">
        <v>601</v>
      </c>
      <c r="F27" s="66"/>
      <c r="G27" s="66">
        <f>_xlfn.IFNA(INDEX(NewRecipeTable[Percentage Yield],MATCH('New Deboning Shoulder'!$E27,NewRecipeTable[ShortCode],0)),0)</f>
        <v>14.33</v>
      </c>
      <c r="H27" s="146">
        <v>1570</v>
      </c>
      <c r="I27" s="66" t="str">
        <v>No</v>
      </c>
      <c r="J27" s="133" t="s">
        <v>244</v>
      </c>
      <c r="K27" s="133">
        <f>SUMIFS(shoulders!$F$8:$F$27,shoulders!$D$8:$D$27,'New Deboning Shoulder'!$E27,shoulders!$G$8:$G$27,"&lt;&gt;0")</f>
        <v>0</v>
      </c>
      <c r="L27" s="66">
        <f t="shared" si="15"/>
        <v>0</v>
      </c>
      <c r="M27" s="133">
        <f>SUMIFS(shoulders!$G$8:$G$27,shoulders!$D$8:$D$27,'New Deboning Shoulder'!$E27,shoulders!$G$8:$G$27,"&lt;&gt;0")</f>
        <v>0</v>
      </c>
      <c r="O27" s="92" t="s">
        <v>639</v>
      </c>
      <c r="P27" s="71">
        <v>0</v>
      </c>
      <c r="Q27" s="71">
        <v>0</v>
      </c>
      <c r="R27" s="71">
        <v>0</v>
      </c>
      <c r="S27" s="71">
        <v>0</v>
      </c>
      <c r="T27" s="71">
        <v>0</v>
      </c>
      <c r="U27" s="71">
        <v>0</v>
      </c>
      <c r="V27" s="71">
        <v>0</v>
      </c>
      <c r="W27" s="71">
        <v>0</v>
      </c>
      <c r="X27" s="71">
        <v>0</v>
      </c>
      <c r="Y27" s="142">
        <f t="shared" si="32"/>
        <v>0</v>
      </c>
      <c r="AA27" s="71">
        <f t="shared" si="9"/>
        <v>0</v>
      </c>
      <c r="AB27" s="133">
        <f t="shared" si="10"/>
        <v>0</v>
      </c>
      <c r="AC27" s="133">
        <f t="shared" si="33"/>
        <v>0</v>
      </c>
      <c r="AD27" s="69"/>
      <c r="AE27" s="133">
        <f t="shared" si="12"/>
        <v>0</v>
      </c>
      <c r="AF27" s="66">
        <v>0</v>
      </c>
      <c r="AG27" s="66">
        <v>0</v>
      </c>
      <c r="AH27" s="66">
        <v>0</v>
      </c>
      <c r="AI27" s="66">
        <v>0</v>
      </c>
      <c r="AJ27" s="66">
        <v>0</v>
      </c>
      <c r="AK27" s="66">
        <v>0</v>
      </c>
      <c r="AL27" s="66">
        <v>0</v>
      </c>
      <c r="AM27" s="66">
        <v>0</v>
      </c>
      <c r="AN27" s="66">
        <v>0</v>
      </c>
      <c r="AO27" s="143">
        <f t="shared" si="34"/>
        <v>0</v>
      </c>
      <c r="AP27" s="136">
        <f t="shared" si="18"/>
        <v>0</v>
      </c>
      <c r="AR27" s="71"/>
      <c r="AS27" s="71"/>
      <c r="AU27" s="66">
        <v>0</v>
      </c>
      <c r="AV27" s="66">
        <v>0</v>
      </c>
      <c r="AW27" s="66">
        <v>0</v>
      </c>
      <c r="AX27" s="66">
        <v>0</v>
      </c>
      <c r="AY27" s="66">
        <v>0</v>
      </c>
      <c r="AZ27" s="66">
        <v>0</v>
      </c>
      <c r="BA27" s="66">
        <v>0</v>
      </c>
      <c r="BB27" s="66">
        <v>0</v>
      </c>
      <c r="BC27" s="66">
        <v>0</v>
      </c>
      <c r="BD27" s="67">
        <f t="shared" si="35"/>
        <v>0</v>
      </c>
      <c r="BE27" s="68">
        <f t="shared" si="36"/>
        <v>0</v>
      </c>
      <c r="BG27" s="133">
        <f t="shared" si="21"/>
        <v>0</v>
      </c>
      <c r="BH27" s="133">
        <f t="shared" si="22"/>
        <v>0</v>
      </c>
      <c r="BI27" s="133">
        <f t="shared" si="13"/>
        <v>0</v>
      </c>
      <c r="BJ27" s="133">
        <f t="shared" si="23"/>
        <v>0</v>
      </c>
      <c r="BK27" s="133">
        <f t="shared" si="24"/>
        <v>0</v>
      </c>
      <c r="BL27" s="133">
        <f t="shared" si="25"/>
        <v>0</v>
      </c>
      <c r="BM27" s="133">
        <f t="shared" si="26"/>
        <v>0</v>
      </c>
      <c r="BN27" s="144">
        <f t="shared" si="27"/>
        <v>0</v>
      </c>
      <c r="BO27" s="133">
        <f t="shared" si="28"/>
        <v>0</v>
      </c>
      <c r="BP27" s="133">
        <f t="shared" si="14"/>
        <v>0</v>
      </c>
      <c r="BQ27" s="145">
        <f t="shared" si="37"/>
        <v>0</v>
      </c>
    </row>
    <row r="28" spans="1:69" customFormat="1" ht="14.1" hidden="1" customHeight="1" x14ac:dyDescent="0.25">
      <c r="B28" s="133" t="s">
        <v>15</v>
      </c>
      <c r="C28" s="141" t="s">
        <v>572</v>
      </c>
      <c r="D28" s="937" t="s">
        <v>1482</v>
      </c>
      <c r="E28" s="133" t="s">
        <v>1527</v>
      </c>
      <c r="F28" s="66"/>
      <c r="G28" s="66">
        <f>_xlfn.IFNA(INDEX(NewRecipeTable[Percentage Yield],MATCH('New Deboning Shoulder'!$E28,NewRecipeTable[ShortCode],0)),0)</f>
        <v>24.7</v>
      </c>
      <c r="H28" s="146">
        <v>1570</v>
      </c>
      <c r="I28" s="66" t="str">
        <v>No</v>
      </c>
      <c r="J28" s="133" t="s">
        <v>244</v>
      </c>
      <c r="K28" s="133">
        <f>SUMIFS(shoulders!$F$8:$F$27,shoulders!$D$8:$D$27,'New Deboning Shoulder'!$E28,shoulders!$G$8:$G$27,"&lt;&gt;0")</f>
        <v>0</v>
      </c>
      <c r="L28" s="66">
        <f t="shared" si="15"/>
        <v>0</v>
      </c>
      <c r="M28" s="133">
        <f>SUMIFS(shoulders!$G$8:$G$27,shoulders!$D$8:$D$27,'New Deboning Shoulder'!$E28,shoulders!$G$8:$G$27,"&lt;&gt;0")</f>
        <v>0</v>
      </c>
      <c r="O28" s="92" t="s">
        <v>639</v>
      </c>
      <c r="P28" s="71">
        <v>0</v>
      </c>
      <c r="Q28" s="71">
        <v>0</v>
      </c>
      <c r="R28" s="71">
        <v>0</v>
      </c>
      <c r="S28" s="71">
        <v>0</v>
      </c>
      <c r="T28" s="71">
        <v>0</v>
      </c>
      <c r="U28" s="71">
        <v>0</v>
      </c>
      <c r="V28" s="71">
        <v>0</v>
      </c>
      <c r="W28" s="71">
        <v>0</v>
      </c>
      <c r="X28" s="71">
        <v>0</v>
      </c>
      <c r="Y28" s="142">
        <f t="shared" si="32"/>
        <v>0</v>
      </c>
      <c r="AA28" s="71">
        <f t="shared" si="9"/>
        <v>0</v>
      </c>
      <c r="AB28" s="133">
        <f t="shared" si="10"/>
        <v>0</v>
      </c>
      <c r="AC28" s="133">
        <f t="shared" si="33"/>
        <v>0</v>
      </c>
      <c r="AD28" s="69"/>
      <c r="AE28" s="133">
        <f t="shared" si="12"/>
        <v>0</v>
      </c>
      <c r="AF28" s="66">
        <v>0</v>
      </c>
      <c r="AG28" s="66">
        <v>0</v>
      </c>
      <c r="AH28" s="66">
        <v>0</v>
      </c>
      <c r="AI28" s="66">
        <v>0</v>
      </c>
      <c r="AJ28" s="66">
        <v>0</v>
      </c>
      <c r="AK28" s="66">
        <v>0</v>
      </c>
      <c r="AL28" s="66">
        <v>0</v>
      </c>
      <c r="AM28" s="66">
        <v>0</v>
      </c>
      <c r="AN28" s="66">
        <v>0</v>
      </c>
      <c r="AO28" s="143">
        <f t="shared" si="34"/>
        <v>0</v>
      </c>
      <c r="AP28" s="136">
        <f t="shared" si="18"/>
        <v>0</v>
      </c>
      <c r="AR28" s="71"/>
      <c r="AS28" s="71"/>
      <c r="AU28" s="66">
        <v>0</v>
      </c>
      <c r="AV28" s="66">
        <v>0</v>
      </c>
      <c r="AW28" s="66">
        <v>0</v>
      </c>
      <c r="AX28" s="66">
        <v>0</v>
      </c>
      <c r="AY28" s="66">
        <v>0</v>
      </c>
      <c r="AZ28" s="66">
        <v>0</v>
      </c>
      <c r="BA28" s="66">
        <v>0</v>
      </c>
      <c r="BB28" s="66">
        <v>0</v>
      </c>
      <c r="BC28" s="66">
        <v>0</v>
      </c>
      <c r="BD28" s="67">
        <f t="shared" si="35"/>
        <v>0</v>
      </c>
      <c r="BE28" s="68">
        <f t="shared" si="36"/>
        <v>0</v>
      </c>
      <c r="BG28" s="133">
        <f t="shared" si="21"/>
        <v>0</v>
      </c>
      <c r="BH28" s="133">
        <f t="shared" si="22"/>
        <v>0</v>
      </c>
      <c r="BI28" s="133">
        <f t="shared" si="13"/>
        <v>0</v>
      </c>
      <c r="BJ28" s="133">
        <f t="shared" si="23"/>
        <v>0</v>
      </c>
      <c r="BK28" s="133">
        <f t="shared" si="24"/>
        <v>0</v>
      </c>
      <c r="BL28" s="133">
        <f t="shared" si="25"/>
        <v>0</v>
      </c>
      <c r="BM28" s="133">
        <f t="shared" si="26"/>
        <v>0</v>
      </c>
      <c r="BN28" s="144">
        <f t="shared" si="27"/>
        <v>0</v>
      </c>
      <c r="BO28" s="133">
        <f t="shared" si="28"/>
        <v>0</v>
      </c>
      <c r="BP28" s="133">
        <f t="shared" si="14"/>
        <v>0</v>
      </c>
      <c r="BQ28" s="145">
        <f t="shared" si="37"/>
        <v>0</v>
      </c>
    </row>
    <row r="29" spans="1:69" customFormat="1" ht="14.1" hidden="1" customHeight="1" x14ac:dyDescent="0.25">
      <c r="B29" s="133" t="s">
        <v>25</v>
      </c>
      <c r="C29" s="141" t="s">
        <v>26</v>
      </c>
      <c r="D29" s="937" t="s">
        <v>582</v>
      </c>
      <c r="E29" s="133" t="s">
        <v>602</v>
      </c>
      <c r="F29" s="66"/>
      <c r="G29" s="66">
        <f>_xlfn.IFNA(INDEX(NewRecipeTable[Percentage Yield],MATCH('New Deboning Shoulder'!$E29,NewRecipeTable[ShortCode],0)),0)</f>
        <v>42.68</v>
      </c>
      <c r="H29" s="146">
        <v>1570</v>
      </c>
      <c r="I29" s="66" t="str">
        <v>No</v>
      </c>
      <c r="J29" s="133" t="s">
        <v>244</v>
      </c>
      <c r="K29" s="133">
        <f>SUMIFS(shoulders!$F$8:$F$27,shoulders!$D$8:$D$27,'New Deboning Shoulder'!$E29,shoulders!$G$8:$G$27,"&lt;&gt;0")</f>
        <v>0</v>
      </c>
      <c r="L29" s="66">
        <f t="shared" si="15"/>
        <v>0</v>
      </c>
      <c r="M29" s="133">
        <f>SUMIFS(shoulders!$G$8:$G$27,shoulders!$D$8:$D$27,'New Deboning Shoulder'!$E29,shoulders!$G$8:$G$27,"&lt;&gt;0")</f>
        <v>0</v>
      </c>
      <c r="O29" s="92" t="s">
        <v>639</v>
      </c>
      <c r="P29" s="71">
        <v>0</v>
      </c>
      <c r="Q29" s="71">
        <v>0</v>
      </c>
      <c r="R29" s="71">
        <v>0</v>
      </c>
      <c r="S29" s="71">
        <v>0</v>
      </c>
      <c r="T29" s="71">
        <v>0</v>
      </c>
      <c r="U29" s="71">
        <v>0</v>
      </c>
      <c r="V29" s="71">
        <v>0</v>
      </c>
      <c r="W29" s="71">
        <v>0</v>
      </c>
      <c r="X29" s="71">
        <v>0</v>
      </c>
      <c r="Y29" s="142">
        <f t="shared" si="32"/>
        <v>0</v>
      </c>
      <c r="AA29" s="71">
        <f t="shared" si="9"/>
        <v>0</v>
      </c>
      <c r="AB29" s="133">
        <f t="shared" si="10"/>
        <v>0</v>
      </c>
      <c r="AC29" s="133">
        <f t="shared" si="33"/>
        <v>0</v>
      </c>
      <c r="AD29" s="69"/>
      <c r="AE29" s="133">
        <f t="shared" si="12"/>
        <v>0</v>
      </c>
      <c r="AF29" s="66">
        <v>0</v>
      </c>
      <c r="AG29" s="66">
        <v>0</v>
      </c>
      <c r="AH29" s="66">
        <v>0</v>
      </c>
      <c r="AI29" s="66">
        <v>0</v>
      </c>
      <c r="AJ29" s="66">
        <v>0</v>
      </c>
      <c r="AK29" s="66">
        <v>0</v>
      </c>
      <c r="AL29" s="66">
        <v>0</v>
      </c>
      <c r="AM29" s="66">
        <v>0</v>
      </c>
      <c r="AN29" s="66">
        <v>0</v>
      </c>
      <c r="AO29" s="143">
        <f t="shared" si="34"/>
        <v>0</v>
      </c>
      <c r="AP29" s="136">
        <f t="shared" si="18"/>
        <v>0</v>
      </c>
      <c r="AR29" s="71"/>
      <c r="AS29" s="71"/>
      <c r="AU29" s="66">
        <v>0</v>
      </c>
      <c r="AV29" s="66">
        <v>0</v>
      </c>
      <c r="AW29" s="66">
        <v>0</v>
      </c>
      <c r="AX29" s="66">
        <v>0</v>
      </c>
      <c r="AY29" s="66">
        <v>0</v>
      </c>
      <c r="AZ29" s="66">
        <v>0</v>
      </c>
      <c r="BA29" s="66">
        <v>0</v>
      </c>
      <c r="BB29" s="66">
        <v>0</v>
      </c>
      <c r="BC29" s="66">
        <v>0</v>
      </c>
      <c r="BD29" s="67">
        <f t="shared" si="35"/>
        <v>0</v>
      </c>
      <c r="BE29" s="68">
        <f t="shared" si="36"/>
        <v>0</v>
      </c>
      <c r="BG29" s="133">
        <f t="shared" si="21"/>
        <v>0</v>
      </c>
      <c r="BH29" s="133">
        <f t="shared" si="22"/>
        <v>0</v>
      </c>
      <c r="BI29" s="133">
        <f t="shared" si="13"/>
        <v>0</v>
      </c>
      <c r="BJ29" s="133">
        <f t="shared" si="23"/>
        <v>0</v>
      </c>
      <c r="BK29" s="133">
        <f t="shared" si="24"/>
        <v>0</v>
      </c>
      <c r="BL29" s="133">
        <f t="shared" si="25"/>
        <v>0</v>
      </c>
      <c r="BM29" s="133">
        <f t="shared" si="26"/>
        <v>0</v>
      </c>
      <c r="BN29" s="144">
        <f t="shared" si="27"/>
        <v>0</v>
      </c>
      <c r="BO29" s="133">
        <f t="shared" si="28"/>
        <v>0</v>
      </c>
      <c r="BP29" s="133">
        <f t="shared" si="14"/>
        <v>0</v>
      </c>
      <c r="BQ29" s="145">
        <f t="shared" si="37"/>
        <v>0</v>
      </c>
    </row>
    <row r="30" spans="1:69" customFormat="1" ht="14.1" hidden="1" customHeight="1" x14ac:dyDescent="0.25">
      <c r="B30" s="133" t="s">
        <v>15</v>
      </c>
      <c r="C30" s="141" t="s">
        <v>572</v>
      </c>
      <c r="D30" s="937" t="s">
        <v>584</v>
      </c>
      <c r="E30" s="133" t="s">
        <v>603</v>
      </c>
      <c r="F30" s="66"/>
      <c r="G30" s="66">
        <f>_xlfn.IFNA(INDEX(NewRecipeTable[Percentage Yield],MATCH('New Deboning Shoulder'!$E30,NewRecipeTable[ShortCode],0)),0)</f>
        <v>26.12</v>
      </c>
      <c r="H30" s="146">
        <v>1570</v>
      </c>
      <c r="I30" s="66" t="str">
        <v>No</v>
      </c>
      <c r="J30" s="133" t="s">
        <v>244</v>
      </c>
      <c r="K30" s="133">
        <f>SUMIFS(shoulders!$F$8:$F$27,shoulders!$D$8:$D$27,'New Deboning Shoulder'!$E30,shoulders!$G$8:$G$27,"&lt;&gt;0")</f>
        <v>0</v>
      </c>
      <c r="L30" s="66">
        <f t="shared" si="15"/>
        <v>0</v>
      </c>
      <c r="M30" s="133">
        <f>SUMIFS(shoulders!$G$8:$G$27,shoulders!$D$8:$D$27,'New Deboning Shoulder'!$E30,shoulders!$G$8:$G$27,"&lt;&gt;0")</f>
        <v>0</v>
      </c>
      <c r="O30" s="92" t="s">
        <v>639</v>
      </c>
      <c r="P30" s="71">
        <v>0</v>
      </c>
      <c r="Q30" s="71">
        <v>0</v>
      </c>
      <c r="R30" s="71">
        <v>0</v>
      </c>
      <c r="S30" s="71">
        <v>0</v>
      </c>
      <c r="T30" s="71">
        <v>0</v>
      </c>
      <c r="U30" s="71">
        <v>0</v>
      </c>
      <c r="V30" s="71">
        <v>0</v>
      </c>
      <c r="W30" s="71">
        <v>0</v>
      </c>
      <c r="X30" s="71">
        <v>0</v>
      </c>
      <c r="Y30" s="142">
        <f t="shared" si="32"/>
        <v>0</v>
      </c>
      <c r="AA30" s="71">
        <f t="shared" si="9"/>
        <v>0</v>
      </c>
      <c r="AB30" s="133">
        <f t="shared" si="10"/>
        <v>0</v>
      </c>
      <c r="AC30" s="133">
        <f t="shared" si="33"/>
        <v>0</v>
      </c>
      <c r="AD30" s="69"/>
      <c r="AE30" s="133">
        <f t="shared" si="12"/>
        <v>0</v>
      </c>
      <c r="AF30" s="66">
        <v>0</v>
      </c>
      <c r="AG30" s="66">
        <v>0</v>
      </c>
      <c r="AH30" s="66">
        <v>0</v>
      </c>
      <c r="AI30" s="66">
        <v>0</v>
      </c>
      <c r="AJ30" s="66">
        <v>0</v>
      </c>
      <c r="AK30" s="66">
        <v>0</v>
      </c>
      <c r="AL30" s="66">
        <v>0</v>
      </c>
      <c r="AM30" s="66">
        <v>0</v>
      </c>
      <c r="AN30" s="66">
        <v>0</v>
      </c>
      <c r="AO30" s="143">
        <f t="shared" si="34"/>
        <v>0</v>
      </c>
      <c r="AP30" s="136">
        <f t="shared" si="18"/>
        <v>0</v>
      </c>
      <c r="AR30" s="71"/>
      <c r="AS30" s="71"/>
      <c r="AU30" s="66">
        <v>0</v>
      </c>
      <c r="AV30" s="66">
        <v>0</v>
      </c>
      <c r="AW30" s="66">
        <v>0</v>
      </c>
      <c r="AX30" s="66">
        <v>0</v>
      </c>
      <c r="AY30" s="66">
        <v>0</v>
      </c>
      <c r="AZ30" s="66">
        <v>0</v>
      </c>
      <c r="BA30" s="66">
        <v>0</v>
      </c>
      <c r="BB30" s="66">
        <v>0</v>
      </c>
      <c r="BC30" s="66">
        <v>0</v>
      </c>
      <c r="BD30" s="67">
        <f t="shared" si="35"/>
        <v>0</v>
      </c>
      <c r="BE30" s="68">
        <f t="shared" si="36"/>
        <v>0</v>
      </c>
      <c r="BG30" s="133">
        <f t="shared" si="21"/>
        <v>0</v>
      </c>
      <c r="BH30" s="133">
        <f t="shared" si="22"/>
        <v>0</v>
      </c>
      <c r="BI30" s="133">
        <f t="shared" si="13"/>
        <v>0</v>
      </c>
      <c r="BJ30" s="133">
        <f t="shared" si="23"/>
        <v>0</v>
      </c>
      <c r="BK30" s="133">
        <f t="shared" si="24"/>
        <v>0</v>
      </c>
      <c r="BL30" s="133">
        <f t="shared" si="25"/>
        <v>0</v>
      </c>
      <c r="BM30" s="133">
        <f t="shared" si="26"/>
        <v>0</v>
      </c>
      <c r="BN30" s="144">
        <f t="shared" si="27"/>
        <v>0</v>
      </c>
      <c r="BO30" s="133">
        <f t="shared" si="28"/>
        <v>0</v>
      </c>
      <c r="BP30" s="133">
        <f t="shared" si="14"/>
        <v>0</v>
      </c>
      <c r="BQ30" s="145">
        <f t="shared" si="37"/>
        <v>0</v>
      </c>
    </row>
    <row r="31" spans="1:69" customFormat="1" ht="14.1" hidden="1" customHeight="1" x14ac:dyDescent="0.25">
      <c r="B31" s="133" t="s">
        <v>1464</v>
      </c>
      <c r="C31" s="141" t="s">
        <v>1465</v>
      </c>
      <c r="D31" s="937" t="s">
        <v>1484</v>
      </c>
      <c r="E31" s="133" t="s">
        <v>1528</v>
      </c>
      <c r="F31" s="66"/>
      <c r="G31" s="66">
        <f>_xlfn.IFNA(INDEX(NewRecipeTable[Percentage Yield],MATCH('New Deboning Shoulder'!$E31,NewRecipeTable[ShortCode],0)),0)</f>
        <v>59.7</v>
      </c>
      <c r="H31" s="146">
        <v>1570</v>
      </c>
      <c r="I31" s="66" t="str">
        <v>No</v>
      </c>
      <c r="J31" s="133" t="s">
        <v>244</v>
      </c>
      <c r="K31" s="133">
        <f>SUMIFS(shoulders!$F$8:$F$27,shoulders!$D$8:$D$27,'New Deboning Shoulder'!$E31,shoulders!$G$8:$G$27,"&lt;&gt;0")</f>
        <v>0</v>
      </c>
      <c r="L31" s="66">
        <f t="shared" si="15"/>
        <v>0</v>
      </c>
      <c r="M31" s="133">
        <f>SUMIFS(shoulders!$G$8:$G$27,shoulders!$D$8:$D$27,'New Deboning Shoulder'!$E31,shoulders!$G$8:$G$27,"&lt;&gt;0")</f>
        <v>0</v>
      </c>
      <c r="O31" s="92" t="s">
        <v>639</v>
      </c>
      <c r="P31" s="71">
        <v>0</v>
      </c>
      <c r="Q31" s="71">
        <v>0</v>
      </c>
      <c r="R31" s="71">
        <v>0</v>
      </c>
      <c r="S31" s="71">
        <v>0</v>
      </c>
      <c r="T31" s="71">
        <v>0</v>
      </c>
      <c r="U31" s="71">
        <v>0</v>
      </c>
      <c r="V31" s="71">
        <v>0</v>
      </c>
      <c r="W31" s="71">
        <v>0</v>
      </c>
      <c r="X31" s="71">
        <v>0</v>
      </c>
      <c r="Y31" s="142">
        <f t="shared" si="32"/>
        <v>0</v>
      </c>
      <c r="AA31" s="71">
        <f t="shared" si="9"/>
        <v>0</v>
      </c>
      <c r="AB31" s="133">
        <f t="shared" si="10"/>
        <v>0</v>
      </c>
      <c r="AC31" s="133">
        <f t="shared" si="33"/>
        <v>0</v>
      </c>
      <c r="AD31" s="69"/>
      <c r="AE31" s="133">
        <f t="shared" si="12"/>
        <v>0</v>
      </c>
      <c r="AF31" s="66">
        <v>0</v>
      </c>
      <c r="AG31" s="66">
        <v>0</v>
      </c>
      <c r="AH31" s="66">
        <v>0</v>
      </c>
      <c r="AI31" s="66">
        <v>0</v>
      </c>
      <c r="AJ31" s="66">
        <v>0</v>
      </c>
      <c r="AK31" s="66">
        <v>0</v>
      </c>
      <c r="AL31" s="66">
        <v>0</v>
      </c>
      <c r="AM31" s="66">
        <v>0</v>
      </c>
      <c r="AN31" s="66">
        <v>0</v>
      </c>
      <c r="AO31" s="143">
        <f t="shared" si="34"/>
        <v>0</v>
      </c>
      <c r="AP31" s="136">
        <f t="shared" si="18"/>
        <v>0</v>
      </c>
      <c r="AR31" s="71"/>
      <c r="AS31" s="71"/>
      <c r="AU31" s="66">
        <v>0</v>
      </c>
      <c r="AV31" s="66">
        <v>0</v>
      </c>
      <c r="AW31" s="66">
        <v>0</v>
      </c>
      <c r="AX31" s="66">
        <v>0</v>
      </c>
      <c r="AY31" s="66">
        <v>0</v>
      </c>
      <c r="AZ31" s="66">
        <v>0</v>
      </c>
      <c r="BA31" s="66">
        <v>0</v>
      </c>
      <c r="BB31" s="66">
        <v>0</v>
      </c>
      <c r="BC31" s="66">
        <v>0</v>
      </c>
      <c r="BD31" s="67">
        <f t="shared" si="35"/>
        <v>0</v>
      </c>
      <c r="BE31" s="68">
        <f t="shared" si="36"/>
        <v>0</v>
      </c>
      <c r="BG31" s="133">
        <f t="shared" si="21"/>
        <v>0</v>
      </c>
      <c r="BH31" s="133">
        <f t="shared" si="22"/>
        <v>0</v>
      </c>
      <c r="BI31" s="133">
        <f t="shared" si="13"/>
        <v>0</v>
      </c>
      <c r="BJ31" s="133">
        <f t="shared" si="23"/>
        <v>0</v>
      </c>
      <c r="BK31" s="133">
        <f t="shared" si="24"/>
        <v>0</v>
      </c>
      <c r="BL31" s="133">
        <f t="shared" si="25"/>
        <v>0</v>
      </c>
      <c r="BM31" s="133">
        <f t="shared" si="26"/>
        <v>0</v>
      </c>
      <c r="BN31" s="144">
        <f t="shared" si="27"/>
        <v>0</v>
      </c>
      <c r="BO31" s="133">
        <f t="shared" si="28"/>
        <v>0</v>
      </c>
      <c r="BP31" s="133">
        <f t="shared" si="14"/>
        <v>0</v>
      </c>
      <c r="BQ31" s="145">
        <f t="shared" si="37"/>
        <v>0</v>
      </c>
    </row>
    <row r="32" spans="1:69" customFormat="1" ht="14.1" hidden="1" customHeight="1" x14ac:dyDescent="0.25">
      <c r="B32" s="133" t="s">
        <v>1468</v>
      </c>
      <c r="C32" s="141" t="s">
        <v>1469</v>
      </c>
      <c r="D32" s="937" t="s">
        <v>1486</v>
      </c>
      <c r="E32" s="133" t="s">
        <v>1529</v>
      </c>
      <c r="F32" s="66"/>
      <c r="G32" s="66">
        <f>_xlfn.IFNA(INDEX(NewRecipeTable[Percentage Yield],MATCH('New Deboning Shoulder'!$E32,NewRecipeTable[ShortCode],0)),0)</f>
        <v>71.650000000000006</v>
      </c>
      <c r="H32" s="146">
        <v>1570</v>
      </c>
      <c r="I32" s="66" t="str">
        <v>No</v>
      </c>
      <c r="J32" s="133" t="s">
        <v>244</v>
      </c>
      <c r="K32" s="133">
        <f>SUMIFS(shoulders!$F$8:$F$27,shoulders!$D$8:$D$27,'New Deboning Shoulder'!$E32,shoulders!$G$8:$G$27,"&lt;&gt;0")</f>
        <v>0</v>
      </c>
      <c r="L32" s="66">
        <f t="shared" si="15"/>
        <v>0</v>
      </c>
      <c r="M32" s="133">
        <f>SUMIFS(shoulders!$G$8:$G$27,shoulders!$D$8:$D$27,'New Deboning Shoulder'!$E32,shoulders!$G$8:$G$27,"&lt;&gt;0")</f>
        <v>0</v>
      </c>
      <c r="O32" s="92" t="s">
        <v>639</v>
      </c>
      <c r="P32" s="71">
        <v>0</v>
      </c>
      <c r="Q32" s="71">
        <v>0</v>
      </c>
      <c r="R32" s="71">
        <v>0</v>
      </c>
      <c r="S32" s="71">
        <v>0</v>
      </c>
      <c r="T32" s="71">
        <v>0</v>
      </c>
      <c r="U32" s="71">
        <v>0</v>
      </c>
      <c r="V32" s="71">
        <v>0</v>
      </c>
      <c r="W32" s="71">
        <v>0</v>
      </c>
      <c r="X32" s="71">
        <v>0</v>
      </c>
      <c r="Y32" s="142">
        <f t="shared" si="32"/>
        <v>0</v>
      </c>
      <c r="AA32" s="71">
        <f t="shared" si="9"/>
        <v>0</v>
      </c>
      <c r="AB32" s="133">
        <f t="shared" si="10"/>
        <v>0</v>
      </c>
      <c r="AC32" s="133">
        <f t="shared" si="33"/>
        <v>0</v>
      </c>
      <c r="AD32" s="69"/>
      <c r="AE32" s="133">
        <f t="shared" si="12"/>
        <v>0</v>
      </c>
      <c r="AF32" s="66">
        <v>0</v>
      </c>
      <c r="AG32" s="66">
        <v>0</v>
      </c>
      <c r="AH32" s="66">
        <v>0</v>
      </c>
      <c r="AI32" s="66">
        <v>0</v>
      </c>
      <c r="AJ32" s="66">
        <v>0</v>
      </c>
      <c r="AK32" s="66">
        <v>0</v>
      </c>
      <c r="AL32" s="66">
        <v>0</v>
      </c>
      <c r="AM32" s="66">
        <v>0</v>
      </c>
      <c r="AN32" s="66">
        <v>0</v>
      </c>
      <c r="AO32" s="143">
        <f t="shared" si="34"/>
        <v>0</v>
      </c>
      <c r="AP32" s="136">
        <f t="shared" si="18"/>
        <v>0</v>
      </c>
      <c r="AR32" s="71"/>
      <c r="AS32" s="71"/>
      <c r="AU32" s="66">
        <v>0</v>
      </c>
      <c r="AV32" s="66">
        <v>0</v>
      </c>
      <c r="AW32" s="66">
        <v>0</v>
      </c>
      <c r="AX32" s="66">
        <v>0</v>
      </c>
      <c r="AY32" s="66">
        <v>0</v>
      </c>
      <c r="AZ32" s="66">
        <v>0</v>
      </c>
      <c r="BA32" s="66">
        <v>0</v>
      </c>
      <c r="BB32" s="66">
        <v>0</v>
      </c>
      <c r="BC32" s="66">
        <v>0</v>
      </c>
      <c r="BD32" s="67">
        <f t="shared" si="35"/>
        <v>0</v>
      </c>
      <c r="BE32" s="68">
        <f t="shared" si="36"/>
        <v>0</v>
      </c>
      <c r="BG32" s="133">
        <f t="shared" si="21"/>
        <v>0</v>
      </c>
      <c r="BH32" s="133">
        <f t="shared" si="22"/>
        <v>0</v>
      </c>
      <c r="BI32" s="133">
        <f t="shared" si="13"/>
        <v>0</v>
      </c>
      <c r="BJ32" s="133">
        <f t="shared" si="23"/>
        <v>0</v>
      </c>
      <c r="BK32" s="133">
        <f t="shared" si="24"/>
        <v>0</v>
      </c>
      <c r="BL32" s="133">
        <f t="shared" si="25"/>
        <v>0</v>
      </c>
      <c r="BM32" s="133">
        <f t="shared" si="26"/>
        <v>0</v>
      </c>
      <c r="BN32" s="144">
        <f t="shared" si="27"/>
        <v>0</v>
      </c>
      <c r="BO32" s="133">
        <f t="shared" si="28"/>
        <v>0</v>
      </c>
      <c r="BP32" s="133">
        <f t="shared" si="14"/>
        <v>0</v>
      </c>
      <c r="BQ32" s="145">
        <f t="shared" si="37"/>
        <v>0</v>
      </c>
    </row>
    <row r="33" spans="4:56" ht="14.1" customHeight="1" x14ac:dyDescent="0.25">
      <c r="D33" s="1164"/>
    </row>
    <row r="34" spans="4:56" ht="15.75" thickBot="1" x14ac:dyDescent="0.3">
      <c r="D34" s="1164"/>
      <c r="P34" s="1165">
        <f>SUM(P8:P32)</f>
        <v>15.216901968470541</v>
      </c>
      <c r="Q34" s="1165">
        <f t="shared" ref="Q34:Y34" si="38">SUM(Q8:Q32)</f>
        <v>721.62422974183937</v>
      </c>
      <c r="R34" s="1165">
        <f t="shared" si="38"/>
        <v>235.7</v>
      </c>
      <c r="S34" s="1165">
        <f t="shared" si="38"/>
        <v>1256.9203745218279</v>
      </c>
      <c r="T34" s="1165">
        <f t="shared" si="38"/>
        <v>915.32768421416688</v>
      </c>
      <c r="U34" s="1165">
        <f t="shared" si="38"/>
        <v>2354.6897452765343</v>
      </c>
      <c r="V34" s="1165">
        <f t="shared" si="38"/>
        <v>759.82731852920836</v>
      </c>
      <c r="W34" s="1165">
        <f t="shared" si="38"/>
        <v>451.89374574795346</v>
      </c>
      <c r="X34" s="1165">
        <f t="shared" si="38"/>
        <v>0</v>
      </c>
      <c r="Y34" s="1165">
        <f t="shared" si="38"/>
        <v>6711.2000000000007</v>
      </c>
    </row>
    <row r="35" spans="4:56" ht="16.5" thickTop="1" thickBot="1" x14ac:dyDescent="0.3">
      <c r="D35" s="1164"/>
      <c r="K35" s="1165">
        <f>SUM(K8:K32)</f>
        <v>1108</v>
      </c>
      <c r="L35" s="1165">
        <f>SUM(L8:L32)</f>
        <v>11188.8</v>
      </c>
      <c r="M35" s="1165">
        <f>SUM(M8:M33)</f>
        <v>4477.6000000000004</v>
      </c>
    </row>
    <row r="36" spans="4:56" ht="14.1" customHeight="1" thickTop="1" x14ac:dyDescent="0.25">
      <c r="D36" s="1164"/>
    </row>
    <row r="37" spans="4:56" ht="18.75" customHeight="1" thickBot="1" x14ac:dyDescent="0.3">
      <c r="D37" s="1164"/>
      <c r="K37" s="1165"/>
      <c r="L37" s="1165">
        <v>12.700000000000728</v>
      </c>
      <c r="M37" s="1165"/>
    </row>
    <row r="38" spans="4:56" ht="30.75" customHeight="1" thickTop="1" x14ac:dyDescent="0.25">
      <c r="D38" s="1164"/>
    </row>
    <row r="39" spans="4:56" customFormat="1" ht="14.1" hidden="1" customHeight="1" outlineLevel="1" thickBot="1" x14ac:dyDescent="0.3">
      <c r="D39" s="8"/>
      <c r="P39" s="1080">
        <f t="array" ref="P39:X39">$AU$39:$BC$39</f>
        <v>0</v>
      </c>
      <c r="Q39" s="1080">
        <v>0</v>
      </c>
      <c r="R39" s="1080" t="str">
        <v>*</v>
      </c>
      <c r="S39" s="1080">
        <v>0</v>
      </c>
      <c r="T39" s="1080">
        <v>0</v>
      </c>
      <c r="U39" s="1080">
        <v>0</v>
      </c>
      <c r="V39" s="1080">
        <v>0</v>
      </c>
      <c r="W39" s="1080">
        <v>0</v>
      </c>
      <c r="X39" s="1080">
        <v>0</v>
      </c>
      <c r="AW39" t="s">
        <v>1553</v>
      </c>
    </row>
    <row r="40" spans="4:56" customFormat="1" ht="25.5" hidden="1" customHeight="1" outlineLevel="1" thickTop="1" thickBot="1" x14ac:dyDescent="0.3">
      <c r="D40" s="8"/>
      <c r="N40" s="54"/>
      <c r="O40" s="54"/>
      <c r="P40" s="55" t="s">
        <v>2</v>
      </c>
      <c r="Q40" s="55" t="s">
        <v>4</v>
      </c>
      <c r="R40" s="55" t="s">
        <v>7</v>
      </c>
      <c r="S40" s="55" t="s">
        <v>1</v>
      </c>
      <c r="T40" s="55" t="s">
        <v>3</v>
      </c>
      <c r="U40" s="55" t="s">
        <v>6</v>
      </c>
      <c r="V40" s="55" t="s">
        <v>5</v>
      </c>
      <c r="W40" s="55" t="s">
        <v>260</v>
      </c>
      <c r="X40" s="56" t="s">
        <v>56</v>
      </c>
      <c r="Y40" s="56"/>
      <c r="Z40" s="56"/>
      <c r="AU40" s="55" t="s">
        <v>2</v>
      </c>
      <c r="AV40" s="55" t="s">
        <v>4</v>
      </c>
      <c r="AW40" s="55" t="s">
        <v>7</v>
      </c>
      <c r="AX40" s="55" t="s">
        <v>1</v>
      </c>
      <c r="AY40" s="55" t="s">
        <v>3</v>
      </c>
      <c r="AZ40" s="55" t="s">
        <v>6</v>
      </c>
      <c r="BA40" s="55" t="s">
        <v>5</v>
      </c>
      <c r="BB40" s="55" t="s">
        <v>260</v>
      </c>
      <c r="BC40" s="56" t="s">
        <v>56</v>
      </c>
      <c r="BD40" s="56"/>
    </row>
    <row r="41" spans="4:56" customFormat="1" ht="47.25" hidden="1" customHeight="1" outlineLevel="1" thickTop="1" x14ac:dyDescent="0.25">
      <c r="D41" s="8"/>
      <c r="N41" s="935" t="s">
        <v>57</v>
      </c>
      <c r="O41" s="912" t="s">
        <v>588</v>
      </c>
      <c r="P41" s="131" t="s">
        <v>182</v>
      </c>
      <c r="Q41" s="131" t="s">
        <v>265</v>
      </c>
      <c r="R41" s="131" t="s">
        <v>570</v>
      </c>
      <c r="S41" s="131" t="s">
        <v>569</v>
      </c>
      <c r="T41" s="131" t="s">
        <v>58</v>
      </c>
      <c r="U41" s="131" t="s">
        <v>60</v>
      </c>
      <c r="V41" s="131" t="s">
        <v>59</v>
      </c>
      <c r="W41" s="131" t="s">
        <v>261</v>
      </c>
      <c r="X41" s="132" t="s">
        <v>246</v>
      </c>
      <c r="Y41" s="913" t="s">
        <v>597</v>
      </c>
      <c r="Z41" s="913" t="s">
        <v>597</v>
      </c>
      <c r="AU41" s="131" t="s">
        <v>182</v>
      </c>
      <c r="AV41" s="131" t="s">
        <v>265</v>
      </c>
      <c r="AW41" s="131" t="s">
        <v>570</v>
      </c>
      <c r="AX41" s="131" t="s">
        <v>569</v>
      </c>
      <c r="AY41" s="131" t="s">
        <v>58</v>
      </c>
      <c r="AZ41" s="131" t="s">
        <v>60</v>
      </c>
      <c r="BA41" s="131" t="s">
        <v>59</v>
      </c>
      <c r="BB41" s="131" t="s">
        <v>261</v>
      </c>
      <c r="BC41" s="131" t="s">
        <v>246</v>
      </c>
      <c r="BD41" s="913" t="s">
        <v>597</v>
      </c>
    </row>
    <row r="42" spans="4:56" customFormat="1" ht="14.1" hidden="1" customHeight="1" outlineLevel="1" x14ac:dyDescent="0.25">
      <c r="D42" s="8"/>
      <c r="N42" s="936" t="s">
        <v>1442</v>
      </c>
      <c r="O42" s="92" t="s">
        <v>639</v>
      </c>
      <c r="P42" s="71">
        <f t="array" ref="P42:X66">IF($K$8:$K$32=0,0,$K$8:$K$32/$K$35*100)*IF(AF8:AN32=0,0,AF8:AN32/$AP$8:$AP$32)</f>
        <v>0</v>
      </c>
      <c r="Q42" s="71">
        <v>0</v>
      </c>
      <c r="R42" s="71">
        <v>0</v>
      </c>
      <c r="S42" s="71">
        <v>0</v>
      </c>
      <c r="T42" s="71">
        <v>0</v>
      </c>
      <c r="U42" s="71">
        <v>0</v>
      </c>
      <c r="V42" s="71">
        <v>0</v>
      </c>
      <c r="W42" s="71">
        <v>0</v>
      </c>
      <c r="X42" s="71">
        <v>0</v>
      </c>
      <c r="Y42" s="142">
        <f>SUM(P42:X42)</f>
        <v>0</v>
      </c>
      <c r="Z42" s="142">
        <f>SUM(P42:X42)</f>
        <v>0</v>
      </c>
      <c r="AU42" s="71">
        <f t="array" ref="AU42:BC66">IF(AU$39:BD$39&lt;&gt;0,0,$AS$8:$AS$32*P$68:X$68/$Z$68)</f>
        <v>0</v>
      </c>
      <c r="AV42" s="71">
        <v>0</v>
      </c>
      <c r="AW42" s="71">
        <v>0</v>
      </c>
      <c r="AX42" s="71">
        <v>0</v>
      </c>
      <c r="AY42" s="71">
        <v>0</v>
      </c>
      <c r="AZ42" s="71">
        <v>0</v>
      </c>
      <c r="BA42" s="71">
        <v>0</v>
      </c>
      <c r="BB42" s="71">
        <v>0</v>
      </c>
      <c r="BC42" s="71">
        <v>0</v>
      </c>
      <c r="BD42" s="142">
        <f>SUM(AU42:BB42)</f>
        <v>0</v>
      </c>
    </row>
    <row r="43" spans="4:56" customFormat="1" ht="14.1" hidden="1" customHeight="1" outlineLevel="1" x14ac:dyDescent="0.25">
      <c r="D43" s="8"/>
      <c r="N43" s="937" t="s">
        <v>1446</v>
      </c>
      <c r="O43" s="92" t="s">
        <v>639</v>
      </c>
      <c r="P43" s="71">
        <v>0</v>
      </c>
      <c r="Q43" s="71">
        <v>0</v>
      </c>
      <c r="R43" s="71">
        <v>0</v>
      </c>
      <c r="S43" s="71">
        <v>0</v>
      </c>
      <c r="T43" s="71">
        <v>0</v>
      </c>
      <c r="U43" s="71">
        <v>0</v>
      </c>
      <c r="V43" s="71">
        <v>0</v>
      </c>
      <c r="W43" s="71">
        <v>0</v>
      </c>
      <c r="X43" s="71">
        <v>0</v>
      </c>
      <c r="Y43" s="142">
        <f t="shared" ref="Y43:Y57" si="39">SUM(P43:X43)</f>
        <v>0</v>
      </c>
      <c r="Z43" s="142">
        <f t="shared" ref="Z43:Z66" si="40">SUM(P43:X43)</f>
        <v>0</v>
      </c>
      <c r="AU43" s="71">
        <v>0</v>
      </c>
      <c r="AV43" s="71">
        <v>0</v>
      </c>
      <c r="AW43" s="71">
        <v>0</v>
      </c>
      <c r="AX43" s="71">
        <v>0</v>
      </c>
      <c r="AY43" s="71">
        <v>0</v>
      </c>
      <c r="AZ43" s="71">
        <v>0</v>
      </c>
      <c r="BA43" s="71">
        <v>0</v>
      </c>
      <c r="BB43" s="71">
        <v>0</v>
      </c>
      <c r="BC43" s="71">
        <v>0</v>
      </c>
      <c r="BD43" s="142">
        <f t="shared" ref="BD43:BD67" si="41">SUM(AU43:BB43)</f>
        <v>0</v>
      </c>
    </row>
    <row r="44" spans="4:56" customFormat="1" ht="14.1" hidden="1" customHeight="1" outlineLevel="1" x14ac:dyDescent="0.25">
      <c r="D44" s="8"/>
      <c r="N44" s="937" t="s">
        <v>22</v>
      </c>
      <c r="O44" s="92" t="s">
        <v>639</v>
      </c>
      <c r="P44" s="71">
        <v>0.56918495876044162</v>
      </c>
      <c r="Q44" s="71">
        <v>0.77580689584471152</v>
      </c>
      <c r="R44" s="71">
        <v>2.2319067732215947</v>
      </c>
      <c r="S44" s="71">
        <v>2.3995434391578891</v>
      </c>
      <c r="T44" s="71">
        <v>5.7035451689488097</v>
      </c>
      <c r="U44" s="71">
        <v>3.1090753740510424</v>
      </c>
      <c r="V44" s="71">
        <v>0.75631426027072379</v>
      </c>
      <c r="W44" s="71">
        <v>0.64325697394159498</v>
      </c>
      <c r="X44" s="71">
        <v>5.6528643164564407E-2</v>
      </c>
      <c r="Y44" s="142">
        <f t="shared" si="39"/>
        <v>16.245162487361373</v>
      </c>
      <c r="Z44" s="142">
        <f t="shared" si="40"/>
        <v>16.245162487361373</v>
      </c>
      <c r="AU44" s="71">
        <v>5.8370829922102585</v>
      </c>
      <c r="AV44" s="71">
        <v>26.546708063782742</v>
      </c>
      <c r="AW44" s="71">
        <v>0</v>
      </c>
      <c r="AX44" s="71">
        <v>57.335108044288859</v>
      </c>
      <c r="AY44" s="71">
        <v>56.231119971456835</v>
      </c>
      <c r="AZ44" s="71">
        <v>61.961064912735175</v>
      </c>
      <c r="BA44" s="71">
        <v>26.080206293709264</v>
      </c>
      <c r="BB44" s="71">
        <v>16.047655838546312</v>
      </c>
      <c r="BC44" s="71">
        <v>1.3916508409809079</v>
      </c>
      <c r="BD44" s="142">
        <f t="shared" si="41"/>
        <v>250.03894611672945</v>
      </c>
    </row>
    <row r="45" spans="4:56" customFormat="1" ht="14.1" hidden="1" customHeight="1" outlineLevel="1" x14ac:dyDescent="0.25">
      <c r="D45" s="8"/>
      <c r="N45" s="937" t="s">
        <v>1448</v>
      </c>
      <c r="O45" s="92" t="s">
        <v>639</v>
      </c>
      <c r="P45" s="71">
        <v>0</v>
      </c>
      <c r="Q45" s="71">
        <v>0</v>
      </c>
      <c r="R45" s="71">
        <v>0</v>
      </c>
      <c r="S45" s="71">
        <v>0</v>
      </c>
      <c r="T45" s="71">
        <v>0</v>
      </c>
      <c r="U45" s="71">
        <v>0</v>
      </c>
      <c r="V45" s="71">
        <v>0</v>
      </c>
      <c r="W45" s="71">
        <v>0</v>
      </c>
      <c r="X45" s="71">
        <v>0</v>
      </c>
      <c r="Y45" s="142">
        <f t="shared" si="39"/>
        <v>0</v>
      </c>
      <c r="Z45" s="142">
        <f t="shared" si="40"/>
        <v>0</v>
      </c>
      <c r="AU45" s="71">
        <v>0</v>
      </c>
      <c r="AV45" s="71">
        <v>0</v>
      </c>
      <c r="AW45" s="71">
        <v>0</v>
      </c>
      <c r="AX45" s="71">
        <v>0</v>
      </c>
      <c r="AY45" s="71">
        <v>0</v>
      </c>
      <c r="AZ45" s="71">
        <v>0</v>
      </c>
      <c r="BA45" s="71">
        <v>0</v>
      </c>
      <c r="BB45" s="71">
        <v>0</v>
      </c>
      <c r="BC45" s="71">
        <v>0</v>
      </c>
      <c r="BD45" s="142">
        <f t="shared" si="41"/>
        <v>0</v>
      </c>
    </row>
    <row r="46" spans="4:56" customFormat="1" ht="14.1" hidden="1" customHeight="1" outlineLevel="1" x14ac:dyDescent="0.25">
      <c r="D46" s="8"/>
      <c r="N46" s="937" t="s">
        <v>34</v>
      </c>
      <c r="O46" s="92" t="s">
        <v>639</v>
      </c>
      <c r="P46" s="71">
        <v>0</v>
      </c>
      <c r="Q46" s="71">
        <v>0</v>
      </c>
      <c r="R46" s="71">
        <v>0</v>
      </c>
      <c r="S46" s="71">
        <v>0</v>
      </c>
      <c r="T46" s="71">
        <v>0</v>
      </c>
      <c r="U46" s="71">
        <v>0</v>
      </c>
      <c r="V46" s="71">
        <v>0</v>
      </c>
      <c r="W46" s="71">
        <v>0</v>
      </c>
      <c r="X46" s="71">
        <v>0</v>
      </c>
      <c r="Y46" s="142">
        <f t="shared" si="39"/>
        <v>0</v>
      </c>
      <c r="Z46" s="142">
        <f t="shared" si="40"/>
        <v>0</v>
      </c>
      <c r="AU46" s="71">
        <v>0</v>
      </c>
      <c r="AV46" s="71">
        <v>0</v>
      </c>
      <c r="AW46" s="71">
        <v>0</v>
      </c>
      <c r="AX46" s="71">
        <v>0</v>
      </c>
      <c r="AY46" s="71">
        <v>0</v>
      </c>
      <c r="AZ46" s="71">
        <v>0</v>
      </c>
      <c r="BA46" s="71">
        <v>0</v>
      </c>
      <c r="BB46" s="71">
        <v>0</v>
      </c>
      <c r="BC46" s="71">
        <v>0</v>
      </c>
      <c r="BD46" s="142">
        <f t="shared" si="41"/>
        <v>0</v>
      </c>
    </row>
    <row r="47" spans="4:56" customFormat="1" ht="14.1" hidden="1" customHeight="1" outlineLevel="1" x14ac:dyDescent="0.25">
      <c r="D47" s="8"/>
      <c r="N47" s="936" t="s">
        <v>24</v>
      </c>
      <c r="O47" s="92" t="s">
        <v>639</v>
      </c>
      <c r="P47" s="71">
        <v>0.22864620938628161</v>
      </c>
      <c r="Q47" s="71">
        <v>2.9896570397111915</v>
      </c>
      <c r="R47" s="71">
        <v>0</v>
      </c>
      <c r="S47" s="71">
        <v>5.7679241877256313</v>
      </c>
      <c r="T47" s="71">
        <v>2.4029422382671481</v>
      </c>
      <c r="U47" s="71">
        <v>4.82745487364621</v>
      </c>
      <c r="V47" s="71">
        <v>3.1751624548736461</v>
      </c>
      <c r="W47" s="71">
        <v>1.5056137184115523</v>
      </c>
      <c r="X47" s="71">
        <v>3.8826714801444041E-2</v>
      </c>
      <c r="Y47" s="142">
        <f t="shared" si="39"/>
        <v>20.936227436823106</v>
      </c>
      <c r="Z47" s="142">
        <f t="shared" si="40"/>
        <v>20.936227436823106</v>
      </c>
      <c r="AU47" s="71">
        <v>-1.6858801345972747</v>
      </c>
      <c r="AV47" s="71">
        <v>-7.667283097295476</v>
      </c>
      <c r="AW47" s="71">
        <v>0</v>
      </c>
      <c r="AX47" s="71">
        <v>-16.559661700176353</v>
      </c>
      <c r="AY47" s="71">
        <v>-16.240805250250311</v>
      </c>
      <c r="AZ47" s="71">
        <v>-17.895741519227268</v>
      </c>
      <c r="BA47" s="71">
        <v>-7.5325469511809011</v>
      </c>
      <c r="BB47" s="71">
        <v>-4.634921967216167</v>
      </c>
      <c r="BC47" s="71">
        <v>-0.40193989193511753</v>
      </c>
      <c r="BD47" s="142">
        <f t="shared" si="41"/>
        <v>-72.216840619943767</v>
      </c>
    </row>
    <row r="48" spans="4:56" customFormat="1" ht="14.1" hidden="1" customHeight="1" outlineLevel="1" x14ac:dyDescent="0.25">
      <c r="D48" s="8"/>
      <c r="N48" s="937" t="s">
        <v>1450</v>
      </c>
      <c r="O48" s="92" t="s">
        <v>639</v>
      </c>
      <c r="P48" s="71">
        <v>0</v>
      </c>
      <c r="Q48" s="71">
        <v>0</v>
      </c>
      <c r="R48" s="71">
        <v>0</v>
      </c>
      <c r="S48" s="71">
        <v>0</v>
      </c>
      <c r="T48" s="71">
        <v>0</v>
      </c>
      <c r="U48" s="71">
        <v>0</v>
      </c>
      <c r="V48" s="71">
        <v>0</v>
      </c>
      <c r="W48" s="71">
        <v>0</v>
      </c>
      <c r="X48" s="71">
        <v>0</v>
      </c>
      <c r="Y48" s="142">
        <f t="shared" si="39"/>
        <v>0</v>
      </c>
      <c r="Z48" s="142">
        <f t="shared" si="40"/>
        <v>0</v>
      </c>
      <c r="AU48" s="71">
        <v>0</v>
      </c>
      <c r="AV48" s="71">
        <v>0</v>
      </c>
      <c r="AW48" s="71">
        <v>0</v>
      </c>
      <c r="AX48" s="71">
        <v>0</v>
      </c>
      <c r="AY48" s="71">
        <v>0</v>
      </c>
      <c r="AZ48" s="71">
        <v>0</v>
      </c>
      <c r="BA48" s="71">
        <v>0</v>
      </c>
      <c r="BB48" s="71">
        <v>0</v>
      </c>
      <c r="BC48" s="71">
        <v>0</v>
      </c>
      <c r="BD48" s="142">
        <f t="shared" si="41"/>
        <v>0</v>
      </c>
    </row>
    <row r="49" spans="4:56" customFormat="1" ht="14.1" hidden="1" customHeight="1" outlineLevel="1" x14ac:dyDescent="0.25">
      <c r="D49" s="8"/>
      <c r="N49" s="937" t="s">
        <v>28</v>
      </c>
      <c r="O49" s="92" t="s">
        <v>639</v>
      </c>
      <c r="P49" s="71">
        <v>0.30484657039711194</v>
      </c>
      <c r="Q49" s="71">
        <v>1.3553610108303251</v>
      </c>
      <c r="R49" s="71">
        <v>2.7677436823104693</v>
      </c>
      <c r="S49" s="71">
        <v>2.5725541516245491</v>
      </c>
      <c r="T49" s="71">
        <v>1.0395487364620941</v>
      </c>
      <c r="U49" s="71">
        <v>3.0331137184115531</v>
      </c>
      <c r="V49" s="71">
        <v>0.59872743682310481</v>
      </c>
      <c r="W49" s="71">
        <v>0.78514440433213006</v>
      </c>
      <c r="X49" s="71">
        <v>0.15790613718411553</v>
      </c>
      <c r="Y49" s="142">
        <f t="shared" si="39"/>
        <v>12.614945848375452</v>
      </c>
      <c r="Z49" s="142">
        <f t="shared" si="40"/>
        <v>12.614945848375452</v>
      </c>
      <c r="AU49" s="71">
        <v>-4.0738393184268205</v>
      </c>
      <c r="AV49" s="71">
        <v>-18.527580167930033</v>
      </c>
      <c r="AW49" s="71">
        <v>0</v>
      </c>
      <c r="AX49" s="71">
        <v>-40.015538204405274</v>
      </c>
      <c r="AY49" s="71">
        <v>-39.245038620250085</v>
      </c>
      <c r="AZ49" s="71">
        <v>-43.244103739823039</v>
      </c>
      <c r="BA49" s="71">
        <v>-18.201997465820565</v>
      </c>
      <c r="BB49" s="71">
        <v>-11.200041426667587</v>
      </c>
      <c r="BC49" s="71">
        <v>-0.9712662850735011</v>
      </c>
      <c r="BD49" s="142">
        <f t="shared" si="41"/>
        <v>-174.50813894332339</v>
      </c>
    </row>
    <row r="50" spans="4:56" customFormat="1" ht="14.1" hidden="1" customHeight="1" outlineLevel="1" x14ac:dyDescent="0.25">
      <c r="D50" s="8"/>
      <c r="N50" s="937" t="s">
        <v>17</v>
      </c>
      <c r="O50" s="92" t="s">
        <v>639</v>
      </c>
      <c r="P50" s="71">
        <v>2.923310732412045E-2</v>
      </c>
      <c r="Q50" s="71">
        <v>0.14760914685883042</v>
      </c>
      <c r="R50" s="71">
        <v>0.36992512354596863</v>
      </c>
      <c r="S50" s="71">
        <v>0.17828586442117905</v>
      </c>
      <c r="T50" s="71">
        <v>1.0047527258068065</v>
      </c>
      <c r="U50" s="71">
        <v>0.63374489458216676</v>
      </c>
      <c r="V50" s="71">
        <v>0.20030092055415863</v>
      </c>
      <c r="W50" s="71">
        <v>0.12451138304717972</v>
      </c>
      <c r="X50" s="71">
        <v>9.7443691080401525E-3</v>
      </c>
      <c r="Y50" s="142">
        <f t="shared" si="39"/>
        <v>2.6981075352484503</v>
      </c>
      <c r="Z50" s="142">
        <f t="shared" si="40"/>
        <v>2.6981075352484503</v>
      </c>
      <c r="AU50" s="71">
        <v>0.46087454119696186</v>
      </c>
      <c r="AV50" s="71">
        <v>2.0960301430548602</v>
      </c>
      <c r="AW50" s="71">
        <v>0</v>
      </c>
      <c r="AX50" s="71">
        <v>4.5269686330747367</v>
      </c>
      <c r="AY50" s="71">
        <v>4.4398018072419729</v>
      </c>
      <c r="AZ50" s="71">
        <v>4.8922171231488587</v>
      </c>
      <c r="BA50" s="71">
        <v>2.0591968841244825</v>
      </c>
      <c r="BB50" s="71">
        <v>1.2670637083191856</v>
      </c>
      <c r="BC50" s="71">
        <v>0.10987961687359524</v>
      </c>
      <c r="BD50" s="142">
        <f t="shared" si="41"/>
        <v>19.742152840161054</v>
      </c>
    </row>
    <row r="51" spans="4:56" customFormat="1" ht="14.1" hidden="1" customHeight="1" outlineLevel="1" x14ac:dyDescent="0.25">
      <c r="D51" s="8"/>
      <c r="N51" s="937" t="s">
        <v>31</v>
      </c>
      <c r="O51" s="92" t="s">
        <v>639</v>
      </c>
      <c r="P51" s="71">
        <v>3.609386425963905E-2</v>
      </c>
      <c r="Q51" s="71">
        <v>0.12145585323368539</v>
      </c>
      <c r="R51" s="71">
        <v>0</v>
      </c>
      <c r="S51" s="71">
        <v>0.22251867316067472</v>
      </c>
      <c r="T51" s="71">
        <v>7.2187728519278099E-2</v>
      </c>
      <c r="U51" s="71">
        <v>0.16891928473511073</v>
      </c>
      <c r="V51" s="71">
        <v>0.128494156764315</v>
      </c>
      <c r="W51" s="71">
        <v>5.8111121458018875E-2</v>
      </c>
      <c r="X51" s="71">
        <v>3.4289171046657093E-3</v>
      </c>
      <c r="Y51" s="142">
        <f t="shared" si="39"/>
        <v>0.8112095992353876</v>
      </c>
      <c r="Z51" s="142">
        <f t="shared" si="40"/>
        <v>0.8112095992353876</v>
      </c>
      <c r="AU51" s="71">
        <v>0.26727314740024344</v>
      </c>
      <c r="AV51" s="71">
        <v>1.2155424596140572</v>
      </c>
      <c r="AW51" s="71">
        <v>0</v>
      </c>
      <c r="AX51" s="71">
        <v>2.6253069904917514</v>
      </c>
      <c r="AY51" s="71">
        <v>2.5747566784074589</v>
      </c>
      <c r="AZ51" s="71">
        <v>2.8371241007876682</v>
      </c>
      <c r="BA51" s="71">
        <v>1.1941818936392856</v>
      </c>
      <c r="BB51" s="71">
        <v>0.7348032382078673</v>
      </c>
      <c r="BC51" s="71">
        <v>6.3722051039456051E-2</v>
      </c>
      <c r="BD51" s="142">
        <f t="shared" si="41"/>
        <v>11.448988508548332</v>
      </c>
    </row>
    <row r="52" spans="4:56" customFormat="1" ht="14.1" hidden="1" customHeight="1" outlineLevel="1" x14ac:dyDescent="0.25">
      <c r="D52" s="8"/>
      <c r="N52" s="936" t="s">
        <v>14</v>
      </c>
      <c r="O52" s="92" t="s">
        <v>639</v>
      </c>
      <c r="P52" s="71">
        <v>0</v>
      </c>
      <c r="Q52" s="71">
        <v>0</v>
      </c>
      <c r="R52" s="71">
        <v>0</v>
      </c>
      <c r="S52" s="71">
        <v>0</v>
      </c>
      <c r="T52" s="71">
        <v>0</v>
      </c>
      <c r="U52" s="71">
        <v>0</v>
      </c>
      <c r="V52" s="71">
        <v>0</v>
      </c>
      <c r="W52" s="71">
        <v>0</v>
      </c>
      <c r="X52" s="71">
        <v>0</v>
      </c>
      <c r="Y52" s="142">
        <f t="shared" si="39"/>
        <v>0</v>
      </c>
      <c r="Z52" s="142">
        <f t="shared" si="40"/>
        <v>0</v>
      </c>
      <c r="AU52" s="71">
        <v>0</v>
      </c>
      <c r="AV52" s="71">
        <v>0</v>
      </c>
      <c r="AW52" s="71">
        <v>0</v>
      </c>
      <c r="AX52" s="71">
        <v>0</v>
      </c>
      <c r="AY52" s="71">
        <v>0</v>
      </c>
      <c r="AZ52" s="71">
        <v>0</v>
      </c>
      <c r="BA52" s="71">
        <v>0</v>
      </c>
      <c r="BB52" s="71">
        <v>0</v>
      </c>
      <c r="BC52" s="71">
        <v>0</v>
      </c>
      <c r="BD52" s="142">
        <f t="shared" si="41"/>
        <v>0</v>
      </c>
    </row>
    <row r="53" spans="4:56" customFormat="1" ht="14.1" hidden="1" customHeight="1" outlineLevel="1" x14ac:dyDescent="0.25">
      <c r="D53" s="8"/>
      <c r="N53" s="937" t="s">
        <v>37</v>
      </c>
      <c r="O53" s="92" t="s">
        <v>639</v>
      </c>
      <c r="P53" s="71">
        <v>0.10920767166969407</v>
      </c>
      <c r="Q53" s="71">
        <v>0.41879639227460663</v>
      </c>
      <c r="R53" s="71">
        <v>0</v>
      </c>
      <c r="S53" s="71">
        <v>1.4046711530358815</v>
      </c>
      <c r="T53" s="71">
        <v>2.0809571931922437</v>
      </c>
      <c r="U53" s="71">
        <v>1.7853951460127968</v>
      </c>
      <c r="V53" s="71">
        <v>0.8476118369959742</v>
      </c>
      <c r="W53" s="71">
        <v>0.39475066640238038</v>
      </c>
      <c r="X53" s="71">
        <v>3.807239929769151E-2</v>
      </c>
      <c r="Y53" s="142">
        <f t="shared" si="39"/>
        <v>7.0794624588812693</v>
      </c>
      <c r="Z53" s="142">
        <f t="shared" si="40"/>
        <v>7.0794624588812693</v>
      </c>
      <c r="AU53" s="71">
        <v>-0.84415954462855192</v>
      </c>
      <c r="AV53" s="71">
        <v>-3.8391876593867571</v>
      </c>
      <c r="AW53" s="71">
        <v>0</v>
      </c>
      <c r="AX53" s="71">
        <v>-8.2918092414459004</v>
      </c>
      <c r="AY53" s="71">
        <v>-8.132150372438737</v>
      </c>
      <c r="AZ53" s="71">
        <v>-8.9608156010865549</v>
      </c>
      <c r="BA53" s="71">
        <v>-3.7717221252630893</v>
      </c>
      <c r="BB53" s="71">
        <v>-2.320813643236102</v>
      </c>
      <c r="BC53" s="71">
        <v>-0.20126068821912474</v>
      </c>
      <c r="BD53" s="142">
        <f t="shared" si="41"/>
        <v>-36.160658187485687</v>
      </c>
    </row>
    <row r="54" spans="4:56" customFormat="1" ht="14.1" hidden="1" customHeight="1" outlineLevel="1" x14ac:dyDescent="0.25">
      <c r="D54" s="8"/>
      <c r="N54" s="937" t="s">
        <v>1452</v>
      </c>
      <c r="O54" s="92" t="s">
        <v>639</v>
      </c>
      <c r="P54" s="71">
        <v>0</v>
      </c>
      <c r="Q54" s="71">
        <v>0</v>
      </c>
      <c r="R54" s="71">
        <v>0</v>
      </c>
      <c r="S54" s="71">
        <v>0</v>
      </c>
      <c r="T54" s="71">
        <v>0</v>
      </c>
      <c r="U54" s="71">
        <v>0</v>
      </c>
      <c r="V54" s="71">
        <v>0</v>
      </c>
      <c r="W54" s="71">
        <v>0</v>
      </c>
      <c r="X54" s="71">
        <v>0</v>
      </c>
      <c r="Y54" s="142">
        <f t="shared" si="39"/>
        <v>0</v>
      </c>
      <c r="Z54" s="142">
        <f t="shared" si="40"/>
        <v>0</v>
      </c>
      <c r="AU54" s="71">
        <v>0</v>
      </c>
      <c r="AV54" s="71">
        <v>0</v>
      </c>
      <c r="AW54" s="71">
        <v>0</v>
      </c>
      <c r="AX54" s="71">
        <v>0</v>
      </c>
      <c r="AY54" s="71">
        <v>0</v>
      </c>
      <c r="AZ54" s="71">
        <v>0</v>
      </c>
      <c r="BA54" s="71">
        <v>0</v>
      </c>
      <c r="BB54" s="71">
        <v>0</v>
      </c>
      <c r="BC54" s="71">
        <v>0</v>
      </c>
      <c r="BD54" s="142">
        <f t="shared" si="41"/>
        <v>0</v>
      </c>
    </row>
    <row r="55" spans="4:56" customFormat="1" ht="14.1" hidden="1" customHeight="1" outlineLevel="1" x14ac:dyDescent="0.25">
      <c r="D55" s="8"/>
      <c r="N55" s="937" t="s">
        <v>1454</v>
      </c>
      <c r="O55" s="92" t="s">
        <v>639</v>
      </c>
      <c r="P55" s="71">
        <v>0</v>
      </c>
      <c r="Q55" s="71">
        <v>0</v>
      </c>
      <c r="R55" s="71">
        <v>0</v>
      </c>
      <c r="S55" s="71">
        <v>0</v>
      </c>
      <c r="T55" s="71">
        <v>0</v>
      </c>
      <c r="U55" s="71">
        <v>0</v>
      </c>
      <c r="V55" s="71">
        <v>0</v>
      </c>
      <c r="W55" s="71">
        <v>0</v>
      </c>
      <c r="X55" s="71">
        <v>0</v>
      </c>
      <c r="Y55" s="142">
        <f t="shared" si="39"/>
        <v>0</v>
      </c>
      <c r="Z55" s="142">
        <f t="shared" si="40"/>
        <v>0</v>
      </c>
      <c r="AU55" s="71">
        <v>0</v>
      </c>
      <c r="AV55" s="71">
        <v>0</v>
      </c>
      <c r="AW55" s="71">
        <v>0</v>
      </c>
      <c r="AX55" s="71">
        <v>0</v>
      </c>
      <c r="AY55" s="71">
        <v>0</v>
      </c>
      <c r="AZ55" s="71">
        <v>0</v>
      </c>
      <c r="BA55" s="71">
        <v>0</v>
      </c>
      <c r="BB55" s="71">
        <v>0</v>
      </c>
      <c r="BC55" s="71">
        <v>0</v>
      </c>
      <c r="BD55" s="142">
        <f t="shared" si="41"/>
        <v>0</v>
      </c>
    </row>
    <row r="56" spans="4:56" customFormat="1" ht="14.1" hidden="1" customHeight="1" outlineLevel="1" x14ac:dyDescent="0.25">
      <c r="D56" s="8"/>
      <c r="N56" s="937" t="s">
        <v>1458</v>
      </c>
      <c r="O56" s="92" t="s">
        <v>639</v>
      </c>
      <c r="P56" s="71">
        <v>0</v>
      </c>
      <c r="Q56" s="71">
        <v>0</v>
      </c>
      <c r="R56" s="71">
        <v>0</v>
      </c>
      <c r="S56" s="71">
        <v>0</v>
      </c>
      <c r="T56" s="71">
        <v>0</v>
      </c>
      <c r="U56" s="71">
        <v>0</v>
      </c>
      <c r="V56" s="71">
        <v>0</v>
      </c>
      <c r="W56" s="71">
        <v>0</v>
      </c>
      <c r="X56" s="71">
        <v>0</v>
      </c>
      <c r="Y56" s="142">
        <f t="shared" si="39"/>
        <v>0</v>
      </c>
      <c r="Z56" s="142">
        <f t="shared" si="40"/>
        <v>0</v>
      </c>
      <c r="AU56" s="71">
        <v>0</v>
      </c>
      <c r="AV56" s="71">
        <v>0</v>
      </c>
      <c r="AW56" s="71">
        <v>0</v>
      </c>
      <c r="AX56" s="71">
        <v>0</v>
      </c>
      <c r="AY56" s="71">
        <v>0</v>
      </c>
      <c r="AZ56" s="71">
        <v>0</v>
      </c>
      <c r="BA56" s="71">
        <v>0</v>
      </c>
      <c r="BB56" s="71">
        <v>0</v>
      </c>
      <c r="BC56" s="71">
        <v>0</v>
      </c>
      <c r="BD56" s="142">
        <f t="shared" si="41"/>
        <v>0</v>
      </c>
    </row>
    <row r="57" spans="4:56" customFormat="1" ht="14.1" hidden="1" customHeight="1" outlineLevel="1" x14ac:dyDescent="0.25">
      <c r="N57" s="936" t="s">
        <v>1462</v>
      </c>
      <c r="O57" s="92" t="s">
        <v>639</v>
      </c>
      <c r="P57" s="71">
        <v>0</v>
      </c>
      <c r="Q57" s="71">
        <v>0</v>
      </c>
      <c r="R57" s="71">
        <v>0</v>
      </c>
      <c r="S57" s="71">
        <v>0</v>
      </c>
      <c r="T57" s="71">
        <v>0</v>
      </c>
      <c r="U57" s="71">
        <v>0</v>
      </c>
      <c r="V57" s="71">
        <v>0</v>
      </c>
      <c r="W57" s="71">
        <v>0</v>
      </c>
      <c r="X57" s="71">
        <v>0</v>
      </c>
      <c r="Y57" s="142">
        <f t="shared" si="39"/>
        <v>0</v>
      </c>
      <c r="Z57" s="142">
        <f t="shared" si="40"/>
        <v>0</v>
      </c>
      <c r="AU57" s="71">
        <v>0</v>
      </c>
      <c r="AV57" s="71">
        <v>0</v>
      </c>
      <c r="AW57" s="71">
        <v>0</v>
      </c>
      <c r="AX57" s="71">
        <v>0</v>
      </c>
      <c r="AY57" s="71">
        <v>0</v>
      </c>
      <c r="AZ57" s="71">
        <v>0</v>
      </c>
      <c r="BA57" s="71">
        <v>0</v>
      </c>
      <c r="BB57" s="71">
        <v>0</v>
      </c>
      <c r="BC57" s="71">
        <v>0</v>
      </c>
      <c r="BD57" s="142">
        <f t="shared" si="41"/>
        <v>0</v>
      </c>
    </row>
    <row r="58" spans="4:56" customFormat="1" ht="14.1" hidden="1" customHeight="1" outlineLevel="1" x14ac:dyDescent="0.25">
      <c r="N58" s="937" t="s">
        <v>1466</v>
      </c>
      <c r="O58" s="92" t="s">
        <v>639</v>
      </c>
      <c r="P58" s="71">
        <v>0</v>
      </c>
      <c r="Q58" s="71">
        <v>0</v>
      </c>
      <c r="R58" s="71">
        <v>0</v>
      </c>
      <c r="S58" s="71">
        <v>0</v>
      </c>
      <c r="T58" s="71">
        <v>0</v>
      </c>
      <c r="U58" s="71">
        <v>0</v>
      </c>
      <c r="V58" s="71">
        <v>0</v>
      </c>
      <c r="W58" s="71">
        <v>0</v>
      </c>
      <c r="X58" s="71">
        <v>0</v>
      </c>
      <c r="Y58" s="142">
        <f t="shared" ref="Y58:Y66" si="42">SUM(P58:X58)</f>
        <v>0</v>
      </c>
      <c r="Z58" s="142">
        <f t="shared" si="40"/>
        <v>0</v>
      </c>
      <c r="AU58" s="71">
        <v>0</v>
      </c>
      <c r="AV58" s="71">
        <v>0</v>
      </c>
      <c r="AW58" s="71">
        <v>0</v>
      </c>
      <c r="AX58" s="71">
        <v>0</v>
      </c>
      <c r="AY58" s="71">
        <v>0</v>
      </c>
      <c r="AZ58" s="71">
        <v>0</v>
      </c>
      <c r="BA58" s="71">
        <v>0</v>
      </c>
      <c r="BB58" s="71">
        <v>0</v>
      </c>
      <c r="BC58" s="71">
        <v>0</v>
      </c>
      <c r="BD58" s="142">
        <f t="shared" si="41"/>
        <v>0</v>
      </c>
    </row>
    <row r="59" spans="4:56" customFormat="1" ht="14.1" hidden="1" customHeight="1" outlineLevel="1" x14ac:dyDescent="0.25">
      <c r="N59" s="937" t="s">
        <v>1476</v>
      </c>
      <c r="O59" s="92" t="s">
        <v>639</v>
      </c>
      <c r="P59" s="71">
        <v>0</v>
      </c>
      <c r="Q59" s="71">
        <v>0</v>
      </c>
      <c r="R59" s="71">
        <v>0</v>
      </c>
      <c r="S59" s="71">
        <v>0</v>
      </c>
      <c r="T59" s="71">
        <v>0</v>
      </c>
      <c r="U59" s="71">
        <v>0</v>
      </c>
      <c r="V59" s="71">
        <v>0</v>
      </c>
      <c r="W59" s="71">
        <v>0</v>
      </c>
      <c r="X59" s="71">
        <v>0</v>
      </c>
      <c r="Y59" s="142">
        <f t="shared" si="42"/>
        <v>0</v>
      </c>
      <c r="Z59" s="142">
        <f t="shared" si="40"/>
        <v>0</v>
      </c>
      <c r="AU59" s="71">
        <v>0</v>
      </c>
      <c r="AV59" s="71">
        <v>0</v>
      </c>
      <c r="AW59" s="71">
        <v>0</v>
      </c>
      <c r="AX59" s="71">
        <v>0</v>
      </c>
      <c r="AY59" s="71">
        <v>0</v>
      </c>
      <c r="AZ59" s="71">
        <v>0</v>
      </c>
      <c r="BA59" s="71">
        <v>0</v>
      </c>
      <c r="BB59" s="71">
        <v>0</v>
      </c>
      <c r="BC59" s="71">
        <v>0</v>
      </c>
      <c r="BD59" s="142">
        <f t="shared" si="41"/>
        <v>0</v>
      </c>
    </row>
    <row r="60" spans="4:56" customFormat="1" ht="14.1" hidden="1" customHeight="1" outlineLevel="1" x14ac:dyDescent="0.25">
      <c r="N60" s="937" t="s">
        <v>1480</v>
      </c>
      <c r="O60" s="92" t="s">
        <v>639</v>
      </c>
      <c r="P60" s="71">
        <v>0</v>
      </c>
      <c r="Q60" s="71">
        <v>0</v>
      </c>
      <c r="R60" s="71">
        <v>0</v>
      </c>
      <c r="S60" s="71">
        <v>0</v>
      </c>
      <c r="T60" s="71">
        <v>0</v>
      </c>
      <c r="U60" s="71">
        <v>0</v>
      </c>
      <c r="V60" s="71">
        <v>0</v>
      </c>
      <c r="W60" s="71">
        <v>0</v>
      </c>
      <c r="X60" s="71">
        <v>0</v>
      </c>
      <c r="Y60" s="142">
        <f t="shared" si="42"/>
        <v>0</v>
      </c>
      <c r="Z60" s="142">
        <f t="shared" si="40"/>
        <v>0</v>
      </c>
      <c r="AU60" s="71">
        <v>0</v>
      </c>
      <c r="AV60" s="71">
        <v>0</v>
      </c>
      <c r="AW60" s="71">
        <v>0</v>
      </c>
      <c r="AX60" s="71">
        <v>0</v>
      </c>
      <c r="AY60" s="71">
        <v>0</v>
      </c>
      <c r="AZ60" s="71">
        <v>0</v>
      </c>
      <c r="BA60" s="71">
        <v>0</v>
      </c>
      <c r="BB60" s="71">
        <v>0</v>
      </c>
      <c r="BC60" s="71">
        <v>0</v>
      </c>
      <c r="BD60" s="142">
        <f t="shared" si="41"/>
        <v>0</v>
      </c>
    </row>
    <row r="61" spans="4:56" customFormat="1" ht="14.1" hidden="1" customHeight="1" outlineLevel="1" x14ac:dyDescent="0.25">
      <c r="N61" s="937" t="s">
        <v>580</v>
      </c>
      <c r="O61" s="92" t="s">
        <v>639</v>
      </c>
      <c r="P61" s="71">
        <v>0</v>
      </c>
      <c r="Q61" s="71">
        <v>0</v>
      </c>
      <c r="R61" s="71">
        <v>0</v>
      </c>
      <c r="S61" s="71">
        <v>0</v>
      </c>
      <c r="T61" s="71">
        <v>0</v>
      </c>
      <c r="U61" s="71">
        <v>0</v>
      </c>
      <c r="V61" s="71">
        <v>0</v>
      </c>
      <c r="W61" s="71">
        <v>0</v>
      </c>
      <c r="X61" s="71">
        <v>0</v>
      </c>
      <c r="Y61" s="142">
        <f t="shared" si="42"/>
        <v>0</v>
      </c>
      <c r="Z61" s="142">
        <f t="shared" si="40"/>
        <v>0</v>
      </c>
      <c r="AU61" s="71">
        <v>0</v>
      </c>
      <c r="AV61" s="71">
        <v>0</v>
      </c>
      <c r="AW61" s="71">
        <v>0</v>
      </c>
      <c r="AX61" s="71">
        <v>0</v>
      </c>
      <c r="AY61" s="71">
        <v>0</v>
      </c>
      <c r="AZ61" s="71">
        <v>0</v>
      </c>
      <c r="BA61" s="71">
        <v>0</v>
      </c>
      <c r="BB61" s="71">
        <v>0</v>
      </c>
      <c r="BC61" s="71">
        <v>0</v>
      </c>
      <c r="BD61" s="142">
        <f t="shared" si="41"/>
        <v>0</v>
      </c>
    </row>
    <row r="62" spans="4:56" customFormat="1" ht="14.1" hidden="1" customHeight="1" outlineLevel="1" x14ac:dyDescent="0.25">
      <c r="N62" s="937" t="s">
        <v>1482</v>
      </c>
      <c r="O62" s="92" t="s">
        <v>639</v>
      </c>
      <c r="P62" s="71">
        <v>0</v>
      </c>
      <c r="Q62" s="71">
        <v>0</v>
      </c>
      <c r="R62" s="71">
        <v>0</v>
      </c>
      <c r="S62" s="71">
        <v>0</v>
      </c>
      <c r="T62" s="71">
        <v>0</v>
      </c>
      <c r="U62" s="71">
        <v>0</v>
      </c>
      <c r="V62" s="71">
        <v>0</v>
      </c>
      <c r="W62" s="71">
        <v>0</v>
      </c>
      <c r="X62" s="71">
        <v>0</v>
      </c>
      <c r="Y62" s="142">
        <f t="shared" si="42"/>
        <v>0</v>
      </c>
      <c r="Z62" s="142">
        <f t="shared" si="40"/>
        <v>0</v>
      </c>
      <c r="AU62" s="71">
        <v>0</v>
      </c>
      <c r="AV62" s="71">
        <v>0</v>
      </c>
      <c r="AW62" s="71">
        <v>0</v>
      </c>
      <c r="AX62" s="71">
        <v>0</v>
      </c>
      <c r="AY62" s="71">
        <v>0</v>
      </c>
      <c r="AZ62" s="71">
        <v>0</v>
      </c>
      <c r="BA62" s="71">
        <v>0</v>
      </c>
      <c r="BB62" s="71">
        <v>0</v>
      </c>
      <c r="BC62" s="71">
        <v>0</v>
      </c>
      <c r="BD62" s="142">
        <f t="shared" si="41"/>
        <v>0</v>
      </c>
    </row>
    <row r="63" spans="4:56" customFormat="1" ht="14.1" hidden="1" customHeight="1" outlineLevel="1" x14ac:dyDescent="0.25">
      <c r="N63" s="937" t="s">
        <v>582</v>
      </c>
      <c r="O63" s="92" t="s">
        <v>639</v>
      </c>
      <c r="P63" s="71">
        <v>0</v>
      </c>
      <c r="Q63" s="71">
        <v>0</v>
      </c>
      <c r="R63" s="71">
        <v>0</v>
      </c>
      <c r="S63" s="71">
        <v>0</v>
      </c>
      <c r="T63" s="71">
        <v>0</v>
      </c>
      <c r="U63" s="71">
        <v>0</v>
      </c>
      <c r="V63" s="71">
        <v>0</v>
      </c>
      <c r="W63" s="71">
        <v>0</v>
      </c>
      <c r="X63" s="71">
        <v>0</v>
      </c>
      <c r="Y63" s="142">
        <f t="shared" si="42"/>
        <v>0</v>
      </c>
      <c r="Z63" s="142">
        <f t="shared" si="40"/>
        <v>0</v>
      </c>
      <c r="AU63" s="71">
        <v>0</v>
      </c>
      <c r="AV63" s="71">
        <v>0</v>
      </c>
      <c r="AW63" s="71">
        <v>0</v>
      </c>
      <c r="AX63" s="71">
        <v>0</v>
      </c>
      <c r="AY63" s="71">
        <v>0</v>
      </c>
      <c r="AZ63" s="71">
        <v>0</v>
      </c>
      <c r="BA63" s="71">
        <v>0</v>
      </c>
      <c r="BB63" s="71">
        <v>0</v>
      </c>
      <c r="BC63" s="71">
        <v>0</v>
      </c>
      <c r="BD63" s="142">
        <f t="shared" si="41"/>
        <v>0</v>
      </c>
    </row>
    <row r="64" spans="4:56" customFormat="1" ht="14.1" hidden="1" customHeight="1" outlineLevel="1" x14ac:dyDescent="0.25">
      <c r="N64" s="937" t="s">
        <v>584</v>
      </c>
      <c r="O64" s="92" t="s">
        <v>639</v>
      </c>
      <c r="P64" s="71">
        <v>0</v>
      </c>
      <c r="Q64" s="71">
        <v>0</v>
      </c>
      <c r="R64" s="71">
        <v>0</v>
      </c>
      <c r="S64" s="71">
        <v>0</v>
      </c>
      <c r="T64" s="71">
        <v>0</v>
      </c>
      <c r="U64" s="71">
        <v>0</v>
      </c>
      <c r="V64" s="71">
        <v>0</v>
      </c>
      <c r="W64" s="71">
        <v>0</v>
      </c>
      <c r="X64" s="71">
        <v>0</v>
      </c>
      <c r="Y64" s="142">
        <f t="shared" si="42"/>
        <v>0</v>
      </c>
      <c r="Z64" s="142">
        <f t="shared" si="40"/>
        <v>0</v>
      </c>
      <c r="AU64" s="71">
        <v>0</v>
      </c>
      <c r="AV64" s="71">
        <v>0</v>
      </c>
      <c r="AW64" s="71">
        <v>0</v>
      </c>
      <c r="AX64" s="71">
        <v>0</v>
      </c>
      <c r="AY64" s="71">
        <v>0</v>
      </c>
      <c r="AZ64" s="71">
        <v>0</v>
      </c>
      <c r="BA64" s="71">
        <v>0</v>
      </c>
      <c r="BB64" s="71">
        <v>0</v>
      </c>
      <c r="BC64" s="71">
        <v>0</v>
      </c>
      <c r="BD64" s="142">
        <f t="shared" si="41"/>
        <v>0</v>
      </c>
    </row>
    <row r="65" spans="14:56" customFormat="1" ht="14.1" hidden="1" customHeight="1" outlineLevel="1" x14ac:dyDescent="0.25">
      <c r="N65" s="937" t="s">
        <v>1484</v>
      </c>
      <c r="O65" s="92" t="s">
        <v>639</v>
      </c>
      <c r="P65" s="71">
        <v>0</v>
      </c>
      <c r="Q65" s="71">
        <v>0</v>
      </c>
      <c r="R65" s="71">
        <v>0</v>
      </c>
      <c r="S65" s="71">
        <v>0</v>
      </c>
      <c r="T65" s="71">
        <v>0</v>
      </c>
      <c r="U65" s="71">
        <v>0</v>
      </c>
      <c r="V65" s="71">
        <v>0</v>
      </c>
      <c r="W65" s="71">
        <v>0</v>
      </c>
      <c r="X65" s="71">
        <v>0</v>
      </c>
      <c r="Y65" s="142">
        <f t="shared" si="42"/>
        <v>0</v>
      </c>
      <c r="Z65" s="142">
        <f t="shared" si="40"/>
        <v>0</v>
      </c>
      <c r="AU65" s="71">
        <v>0</v>
      </c>
      <c r="AV65" s="71">
        <v>0</v>
      </c>
      <c r="AW65" s="71">
        <v>0</v>
      </c>
      <c r="AX65" s="71">
        <v>0</v>
      </c>
      <c r="AY65" s="71">
        <v>0</v>
      </c>
      <c r="AZ65" s="71">
        <v>0</v>
      </c>
      <c r="BA65" s="71">
        <v>0</v>
      </c>
      <c r="BB65" s="71">
        <v>0</v>
      </c>
      <c r="BC65" s="71">
        <v>0</v>
      </c>
      <c r="BD65" s="142">
        <f t="shared" si="41"/>
        <v>0</v>
      </c>
    </row>
    <row r="66" spans="14:56" customFormat="1" ht="14.1" hidden="1" customHeight="1" outlineLevel="1" x14ac:dyDescent="0.25">
      <c r="N66" s="937" t="s">
        <v>1486</v>
      </c>
      <c r="O66" s="92" t="s">
        <v>639</v>
      </c>
      <c r="P66" s="71">
        <v>0</v>
      </c>
      <c r="Q66" s="71">
        <v>0</v>
      </c>
      <c r="R66" s="71">
        <v>0</v>
      </c>
      <c r="S66" s="71">
        <v>0</v>
      </c>
      <c r="T66" s="71">
        <v>0</v>
      </c>
      <c r="U66" s="71">
        <v>0</v>
      </c>
      <c r="V66" s="71">
        <v>0</v>
      </c>
      <c r="W66" s="71">
        <v>0</v>
      </c>
      <c r="X66" s="71">
        <v>0</v>
      </c>
      <c r="Y66" s="142">
        <f t="shared" si="42"/>
        <v>0</v>
      </c>
      <c r="Z66" s="142">
        <f t="shared" si="40"/>
        <v>0</v>
      </c>
      <c r="AU66" s="71">
        <v>0</v>
      </c>
      <c r="AV66" s="71">
        <v>0</v>
      </c>
      <c r="AW66" s="71">
        <v>0</v>
      </c>
      <c r="AX66" s="71">
        <v>0</v>
      </c>
      <c r="AY66" s="71">
        <v>0</v>
      </c>
      <c r="AZ66" s="71">
        <v>0</v>
      </c>
      <c r="BA66" s="71">
        <v>0</v>
      </c>
      <c r="BB66" s="71">
        <v>0</v>
      </c>
      <c r="BC66" s="71">
        <v>0</v>
      </c>
      <c r="BD66" s="142">
        <f t="shared" si="41"/>
        <v>0</v>
      </c>
    </row>
    <row r="67" spans="14:56" customFormat="1" ht="14.1" hidden="1" customHeight="1" outlineLevel="1" thickBot="1" x14ac:dyDescent="0.3">
      <c r="BD67" s="142">
        <f t="shared" si="41"/>
        <v>0</v>
      </c>
    </row>
    <row r="68" spans="14:56" s="35" customFormat="1" ht="14.1" hidden="1" customHeight="1" outlineLevel="1" thickBot="1" x14ac:dyDescent="0.3">
      <c r="O68" s="1026"/>
      <c r="P68" s="1027">
        <f>SUM(P42:P67)</f>
        <v>1.2772123817972889</v>
      </c>
      <c r="Q68" s="1027">
        <f t="shared" ref="Q68:Y68" si="43">SUM(Q42:Q67)</f>
        <v>5.8086863387533505</v>
      </c>
      <c r="R68" s="1027">
        <f t="shared" si="43"/>
        <v>5.3695755790780328</v>
      </c>
      <c r="S68" s="1027">
        <f t="shared" si="43"/>
        <v>12.545497469125806</v>
      </c>
      <c r="T68" s="1027">
        <f t="shared" si="43"/>
        <v>12.303933791196382</v>
      </c>
      <c r="U68" s="1027">
        <f t="shared" si="43"/>
        <v>13.55770329143888</v>
      </c>
      <c r="V68" s="1027">
        <f t="shared" si="43"/>
        <v>5.7066110662819227</v>
      </c>
      <c r="W68" s="1027">
        <f t="shared" si="43"/>
        <v>3.5113882675928565</v>
      </c>
      <c r="X68" s="1027">
        <f t="shared" si="43"/>
        <v>0.30450718066052135</v>
      </c>
      <c r="Y68" s="1027">
        <f t="shared" si="43"/>
        <v>60.385115365925039</v>
      </c>
      <c r="Z68" s="1027">
        <f t="array" ref="Z68">SUMIF($P$39:$X$39,"&lt;&gt;*",$P$68:$X$68)</f>
        <v>55.015539786847008</v>
      </c>
      <c r="AU68" s="1090">
        <f>SUM(AU42:AU67)</f>
        <v>-3.8648316845183217E-2</v>
      </c>
      <c r="AV68" s="1090">
        <f t="shared" ref="AV68:BC68" si="44">SUM(AV42:AV67)</f>
        <v>-0.17577025816060887</v>
      </c>
      <c r="AW68" s="1090">
        <f t="shared" si="44"/>
        <v>0</v>
      </c>
      <c r="AX68" s="1090">
        <f t="shared" si="44"/>
        <v>-0.3796254781721764</v>
      </c>
      <c r="AY68" s="1090">
        <f t="shared" si="44"/>
        <v>-0.37231578583286673</v>
      </c>
      <c r="AZ68" s="1090">
        <f t="shared" si="44"/>
        <v>-0.41025472346515812</v>
      </c>
      <c r="BA68" s="1090">
        <f t="shared" si="44"/>
        <v>-0.17268147079152341</v>
      </c>
      <c r="BB68" s="1090">
        <f t="shared" si="44"/>
        <v>-0.10625425204649108</v>
      </c>
      <c r="BC68" s="1090">
        <f t="shared" si="44"/>
        <v>-9.2143563337842849E-3</v>
      </c>
      <c r="BD68" s="1090">
        <f>SUM(BD42:BD67)</f>
        <v>-1.6555502853139927</v>
      </c>
    </row>
    <row r="69" spans="14:56" customFormat="1" ht="14.1" hidden="1" customHeight="1" outlineLevel="1" thickTop="1" x14ac:dyDescent="0.25"/>
    <row r="70" spans="14:56" customFormat="1" ht="14.1" hidden="1" customHeight="1" outlineLevel="1" x14ac:dyDescent="0.25">
      <c r="AS70" s="262"/>
    </row>
    <row r="71" spans="14:56" customFormat="1" ht="14.1" hidden="1" customHeight="1" outlineLevel="1" x14ac:dyDescent="0.25"/>
    <row r="72" spans="14:56" customFormat="1" ht="14.1" hidden="1" customHeight="1" outlineLevel="1" x14ac:dyDescent="0.25"/>
    <row r="73" spans="14:56" ht="14.1" customHeight="1" collapsed="1" x14ac:dyDescent="0.25"/>
  </sheetData>
  <autoFilter ref="B7:M32" xr:uid="{00000000-0009-0000-0000-000009000000}">
    <filterColumn colId="7">
      <filters>
        <filter val="Yes"/>
      </filters>
    </filterColumn>
  </autoFilter>
  <mergeCells count="9">
    <mergeCell ref="BG2:BQ5"/>
    <mergeCell ref="AR2:AS5"/>
    <mergeCell ref="E1:F1"/>
    <mergeCell ref="E2:F2"/>
    <mergeCell ref="E3:F3"/>
    <mergeCell ref="E4:F4"/>
    <mergeCell ref="AA2:AC5"/>
    <mergeCell ref="AU2:BE5"/>
    <mergeCell ref="AF2:AP5"/>
  </mergeCells>
  <conditionalFormatting sqref="G4:I4">
    <cfRule type="cellIs" dxfId="2" priority="3" operator="notEqual">
      <formula>0</formula>
    </cfRule>
  </conditionalFormatting>
  <conditionalFormatting sqref="L4:M4">
    <cfRule type="cellIs" dxfId="1" priority="2" operator="notEqual">
      <formula>0</formula>
    </cfRule>
  </conditionalFormatting>
  <conditionalFormatting sqref="K4">
    <cfRule type="cellIs" dxfId="0" priority="1" operator="not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72" r:id="rId4" name="Button 4">
              <controlPr defaultSize="0" print="0" autoFill="0" autoPict="0" macro="[0]!shoulderAllocate">
                <anchor moveWithCells="1" sizeWithCells="1">
                  <from>
                    <xdr:col>1</xdr:col>
                    <xdr:colOff>9525</xdr:colOff>
                    <xdr:row>0</xdr:row>
                    <xdr:rowOff>257175</xdr:rowOff>
                  </from>
                  <to>
                    <xdr:col>2</xdr:col>
                    <xdr:colOff>542925</xdr:colOff>
                    <xdr:row>0</xdr:row>
                    <xdr:rowOff>514350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:M679"/>
  <sheetViews>
    <sheetView zoomScaleNormal="100" workbookViewId="0">
      <selection activeCell="D31" sqref="D31"/>
    </sheetView>
  </sheetViews>
  <sheetFormatPr defaultRowHeight="15" customHeight="1" x14ac:dyDescent="0.25"/>
  <cols>
    <col min="2" max="2" width="10.28515625" bestFit="1" customWidth="1"/>
    <col min="3" max="3" width="10.7109375" style="1009" customWidth="1"/>
    <col min="4" max="4" width="10.5703125" bestFit="1" customWidth="1"/>
    <col min="8" max="8" width="31.85546875" bestFit="1" customWidth="1"/>
    <col min="9" max="9" width="14.42578125" customWidth="1"/>
  </cols>
  <sheetData>
    <row r="1" spans="1:13" ht="30" x14ac:dyDescent="0.25">
      <c r="A1" s="23" t="s">
        <v>40</v>
      </c>
      <c r="B1" s="23" t="s">
        <v>41</v>
      </c>
      <c r="C1" s="1008" t="s">
        <v>42</v>
      </c>
      <c r="D1" s="267" t="s">
        <v>43</v>
      </c>
      <c r="E1" s="23" t="s">
        <v>44</v>
      </c>
      <c r="F1" s="23" t="s">
        <v>11</v>
      </c>
      <c r="G1" s="23"/>
      <c r="H1" s="23" t="s">
        <v>643</v>
      </c>
      <c r="I1" s="23" t="s">
        <v>628</v>
      </c>
      <c r="L1" t="b">
        <v>1</v>
      </c>
      <c r="M1" s="23" t="b">
        <v>0</v>
      </c>
    </row>
    <row r="2" spans="1:13" x14ac:dyDescent="0.25">
      <c r="A2" t="s">
        <v>342</v>
      </c>
      <c r="B2" t="s">
        <v>398</v>
      </c>
      <c r="C2" s="1009">
        <f>Slicing!$O$3</f>
        <v>44881</v>
      </c>
      <c r="D2" s="2">
        <f>Slicing!Z19</f>
        <v>36302</v>
      </c>
      <c r="E2">
        <v>1020</v>
      </c>
      <c r="F2">
        <f>Slicing!Y19</f>
        <v>554</v>
      </c>
      <c r="H2" t="e">
        <f>IF($L$1=TRUE,_xlfn.IFNA(INDEX(#REF!,MATCH(WorkingConsolidate!$B2,#REF!,0)),),"")</f>
        <v>#REF!</v>
      </c>
      <c r="I2" t="str">
        <f>IF($M$1=TRUE,_xlfn.IFNA(INDEX(#REF!,MATCH(WorkingConsolidate!$B2,#REF!,0)),""),"")</f>
        <v/>
      </c>
    </row>
    <row r="3" spans="1:13" x14ac:dyDescent="0.25">
      <c r="A3" t="s">
        <v>231</v>
      </c>
      <c r="B3" t="s">
        <v>399</v>
      </c>
      <c r="C3" s="1009">
        <f>Slicing!$O$3</f>
        <v>44881</v>
      </c>
      <c r="D3" s="2">
        <f>Slicing!Z20</f>
        <v>32369.8</v>
      </c>
      <c r="E3">
        <v>1020</v>
      </c>
      <c r="F3">
        <f>Slicing!Y20</f>
        <v>554</v>
      </c>
      <c r="H3" t="e">
        <f>IF($L$1=TRUE,_xlfn.IFNA(INDEX(#REF!,MATCH(WorkingConsolidate!$B3,#REF!,0)),),"")</f>
        <v>#REF!</v>
      </c>
      <c r="I3" t="str">
        <f>IF($M$1=TRUE,_xlfn.IFNA(INDEX(#REF!,MATCH(WorkingConsolidate!$B3,#REF!,0)),""),"")</f>
        <v/>
      </c>
    </row>
    <row r="4" spans="1:13" x14ac:dyDescent="0.25">
      <c r="A4" t="s">
        <v>345</v>
      </c>
      <c r="B4" t="s">
        <v>404</v>
      </c>
      <c r="C4" s="1009">
        <f>Slicing!$O$3</f>
        <v>44881</v>
      </c>
      <c r="D4" s="2">
        <f>Slicing!Z28</f>
        <v>2500</v>
      </c>
      <c r="E4">
        <v>1020</v>
      </c>
      <c r="H4" t="e">
        <f>IF($L$1=TRUE,_xlfn.IFNA(INDEX(#REF!,MATCH(WorkingConsolidate!$B4,#REF!,0)),),"")</f>
        <v>#REF!</v>
      </c>
      <c r="I4" t="str">
        <f>IF($M$1=TRUE,_xlfn.IFNA(INDEX(#REF!,MATCH(WorkingConsolidate!$B4,#REF!,0)),""),"")</f>
        <v/>
      </c>
    </row>
    <row r="5" spans="1:13" x14ac:dyDescent="0.25">
      <c r="A5" t="s">
        <v>239</v>
      </c>
      <c r="B5" t="s">
        <v>405</v>
      </c>
      <c r="C5" s="1009">
        <f>Slicing!$O$3</f>
        <v>44881</v>
      </c>
      <c r="D5" s="2">
        <f>Slicing!Z22</f>
        <v>451.9</v>
      </c>
      <c r="E5">
        <v>1570</v>
      </c>
      <c r="H5" t="e">
        <f>IF($L$1=TRUE,_xlfn.IFNA(INDEX(#REF!,MATCH(WorkingConsolidate!$B5,#REF!,0)),),"")</f>
        <v>#REF!</v>
      </c>
      <c r="I5" t="str">
        <f>IF($M$1=TRUE,_xlfn.IFNA(INDEX(#REF!,MATCH(WorkingConsolidate!$B5,#REF!,0)),""),"")</f>
        <v/>
      </c>
    </row>
    <row r="6" spans="1:13" x14ac:dyDescent="0.25">
      <c r="A6" t="s">
        <v>296</v>
      </c>
      <c r="B6" t="s">
        <v>406</v>
      </c>
      <c r="C6" s="1009">
        <f>Slicing!$O$3</f>
        <v>44881</v>
      </c>
      <c r="D6" s="2">
        <f>Slicing!Z26</f>
        <v>372</v>
      </c>
      <c r="E6">
        <v>1570</v>
      </c>
      <c r="H6" t="e">
        <f>IF($L$1=TRUE,_xlfn.IFNA(INDEX(#REF!,MATCH(WorkingConsolidate!$B6,#REF!,0)),),"")</f>
        <v>#REF!</v>
      </c>
      <c r="I6" t="str">
        <f>IF($M$1=TRUE,_xlfn.IFNA(INDEX(#REF!,MATCH(WorkingConsolidate!$B6,#REF!,0)),""),"")</f>
        <v/>
      </c>
    </row>
    <row r="7" spans="1:13" x14ac:dyDescent="0.25">
      <c r="A7" t="s">
        <v>347</v>
      </c>
      <c r="B7" t="s">
        <v>407</v>
      </c>
      <c r="C7" s="1009">
        <f>Slicing!$O$3</f>
        <v>44881</v>
      </c>
      <c r="D7" s="2">
        <f>Slicing!Z27</f>
        <v>0</v>
      </c>
      <c r="E7">
        <v>1570</v>
      </c>
      <c r="H7" t="e">
        <f>IF($L$1=TRUE,_xlfn.IFNA(INDEX(#REF!,MATCH(WorkingConsolidate!$B7,#REF!,0)),),"")</f>
        <v>#REF!</v>
      </c>
      <c r="I7" t="str">
        <f>IF($M$1=TRUE,_xlfn.IFNA(INDEX(#REF!,MATCH(WorkingConsolidate!$B7,#REF!,0)),""),"")</f>
        <v/>
      </c>
    </row>
    <row r="8" spans="1:13" x14ac:dyDescent="0.25">
      <c r="A8" t="s">
        <v>326</v>
      </c>
      <c r="B8" t="s">
        <v>402</v>
      </c>
      <c r="C8" s="1009">
        <f>Slicing!$O$3</f>
        <v>44881</v>
      </c>
      <c r="D8" s="2">
        <f>Slicing!Z24</f>
        <v>346.3</v>
      </c>
      <c r="E8">
        <v>1570</v>
      </c>
      <c r="H8" t="e">
        <f>IF($L$1=TRUE,_xlfn.IFNA(INDEX(#REF!,MATCH(WorkingConsolidate!$B8,#REF!,0)),),"")</f>
        <v>#REF!</v>
      </c>
      <c r="I8" t="str">
        <f>IF($M$1=TRUE,_xlfn.IFNA(INDEX(#REF!,MATCH(WorkingConsolidate!$B8,#REF!,0)),""),"")</f>
        <v/>
      </c>
    </row>
    <row r="9" spans="1:13" x14ac:dyDescent="0.25">
      <c r="A9" t="s">
        <v>351</v>
      </c>
      <c r="B9" t="s">
        <v>403</v>
      </c>
      <c r="C9" s="1009">
        <f>Slicing!$O$3</f>
        <v>44881</v>
      </c>
      <c r="D9" s="2">
        <f>Slicing!Z25</f>
        <v>134.5</v>
      </c>
      <c r="E9">
        <v>1570</v>
      </c>
      <c r="H9" t="e">
        <f>IF($L$1=TRUE,_xlfn.IFNA(INDEX(#REF!,MATCH(WorkingConsolidate!$B9,#REF!,0)),),"")</f>
        <v>#REF!</v>
      </c>
      <c r="I9" t="str">
        <f>IF($M$1=TRUE,_xlfn.IFNA(INDEX(#REF!,MATCH(WorkingConsolidate!$B9,#REF!,0)),""),"")</f>
        <v/>
      </c>
    </row>
    <row r="10" spans="1:13" x14ac:dyDescent="0.25">
      <c r="A10" t="s">
        <v>243</v>
      </c>
      <c r="B10" t="s">
        <v>401</v>
      </c>
      <c r="C10" s="1009">
        <f>Slicing!$O$3</f>
        <v>44881</v>
      </c>
      <c r="D10" s="2">
        <f>Slicing!Z23</f>
        <v>63.2</v>
      </c>
      <c r="E10">
        <v>1570</v>
      </c>
      <c r="H10" t="e">
        <f>IF($L$1=TRUE,_xlfn.IFNA(INDEX(#REF!,MATCH(WorkingConsolidate!$B10,#REF!,0)),),"")</f>
        <v>#REF!</v>
      </c>
      <c r="I10" t="str">
        <f>IF($M$1=TRUE,_xlfn.IFNA(INDEX(#REF!,MATCH(WorkingConsolidate!$B10,#REF!,0)),""),"")</f>
        <v/>
      </c>
    </row>
    <row r="11" spans="1:13" x14ac:dyDescent="0.25">
      <c r="A11" t="s">
        <v>3</v>
      </c>
      <c r="B11" t="s">
        <v>400</v>
      </c>
      <c r="C11" s="1009">
        <f>Slicing!$O$3</f>
        <v>44881</v>
      </c>
      <c r="D11" s="2">
        <f>Slicing!Z21</f>
        <v>64.3</v>
      </c>
      <c r="E11">
        <v>1570</v>
      </c>
      <c r="H11" t="e">
        <f>IF($L$1=TRUE,_xlfn.IFNA(INDEX(#REF!,MATCH(WorkingConsolidate!$B11,#REF!,0)),),"")</f>
        <v>#REF!</v>
      </c>
      <c r="I11" t="str">
        <f>IF($M$1=TRUE,_xlfn.IFNA(INDEX(#REF!,MATCH(WorkingConsolidate!$B11,#REF!,0)),""),"")</f>
        <v/>
      </c>
    </row>
    <row r="12" spans="1:13" x14ac:dyDescent="0.25">
      <c r="A12" t="s">
        <v>408</v>
      </c>
      <c r="B12" t="s">
        <v>411</v>
      </c>
      <c r="C12" s="1009">
        <f>Slicing!$O$3</f>
        <v>44881</v>
      </c>
      <c r="D12" s="2">
        <f>Slicing!$S$9</f>
        <v>0</v>
      </c>
      <c r="E12">
        <v>1020</v>
      </c>
      <c r="F12">
        <f>Slicing!R9</f>
        <v>0</v>
      </c>
      <c r="H12" t="e">
        <f>IF($L$1=TRUE,_xlfn.IFNA(INDEX(#REF!,MATCH(WorkingConsolidate!$B12,#REF!,0)),),"")</f>
        <v>#REF!</v>
      </c>
      <c r="I12" t="str">
        <f>IF($M$1=TRUE,_xlfn.IFNA(INDEX(#REF!,MATCH(WorkingConsolidate!$B12,#REF!,0)),""),"")</f>
        <v/>
      </c>
    </row>
    <row r="13" spans="1:13" x14ac:dyDescent="0.25">
      <c r="A13" t="s">
        <v>409</v>
      </c>
      <c r="B13" t="s">
        <v>412</v>
      </c>
      <c r="C13" s="1009">
        <f>Slicing!$O$3</f>
        <v>44881</v>
      </c>
      <c r="D13" s="2">
        <f>Slicing!$S$24</f>
        <v>0</v>
      </c>
      <c r="E13">
        <v>1020</v>
      </c>
      <c r="F13">
        <f>F12</f>
        <v>0</v>
      </c>
      <c r="H13" t="e">
        <f>IF($L$1=TRUE,_xlfn.IFNA(INDEX(#REF!,MATCH(WorkingConsolidate!$B13,#REF!,0)),),"")</f>
        <v>#REF!</v>
      </c>
      <c r="I13" t="str">
        <f>IF($M$1=TRUE,_xlfn.IFNA(INDEX(#REF!,MATCH(WorkingConsolidate!$B13,#REF!,0)),""),"")</f>
        <v/>
      </c>
    </row>
    <row r="14" spans="1:13" x14ac:dyDescent="0.25">
      <c r="A14" t="s">
        <v>239</v>
      </c>
      <c r="B14" t="s">
        <v>413</v>
      </c>
      <c r="C14" s="1009">
        <f>Slicing!$O$3</f>
        <v>44881</v>
      </c>
      <c r="D14" s="2">
        <f>Slicing!$S$14</f>
        <v>0</v>
      </c>
      <c r="E14">
        <v>1570</v>
      </c>
      <c r="H14" t="e">
        <f>IF($L$1=TRUE,_xlfn.IFNA(INDEX(#REF!,MATCH(WorkingConsolidate!$B14,#REF!,0)),),"")</f>
        <v>#REF!</v>
      </c>
      <c r="I14" t="str">
        <f>IF($M$1=TRUE,_xlfn.IFNA(INDEX(#REF!,MATCH(WorkingConsolidate!$B14,#REF!,0)),""),"")</f>
        <v/>
      </c>
    </row>
    <row r="15" spans="1:13" x14ac:dyDescent="0.25">
      <c r="A15" t="s">
        <v>243</v>
      </c>
      <c r="B15" t="s">
        <v>414</v>
      </c>
      <c r="C15" s="1009">
        <f>Slicing!$O$3</f>
        <v>44881</v>
      </c>
      <c r="D15" s="2">
        <f>Slicing!$S$20</f>
        <v>0</v>
      </c>
      <c r="E15">
        <v>1570</v>
      </c>
      <c r="H15" t="e">
        <f>IF($L$1=TRUE,_xlfn.IFNA(INDEX(#REF!,MATCH(WorkingConsolidate!$B15,#REF!,0)),),"")</f>
        <v>#REF!</v>
      </c>
      <c r="I15" t="str">
        <f>IF($M$1=TRUE,_xlfn.IFNA(INDEX(#REF!,MATCH(WorkingConsolidate!$B15,#REF!,0)),""),"")</f>
        <v/>
      </c>
    </row>
    <row r="16" spans="1:13" x14ac:dyDescent="0.25">
      <c r="A16" t="s">
        <v>326</v>
      </c>
      <c r="B16" t="s">
        <v>415</v>
      </c>
      <c r="C16" s="1009">
        <f>Slicing!$O$3</f>
        <v>44881</v>
      </c>
      <c r="D16" s="2">
        <f>Slicing!$S$17</f>
        <v>0</v>
      </c>
      <c r="E16">
        <v>1020</v>
      </c>
      <c r="H16" t="e">
        <f>IF($L$1=TRUE,_xlfn.IFNA(INDEX(#REF!,MATCH(WorkingConsolidate!$B16,#REF!,0)),),"")</f>
        <v>#REF!</v>
      </c>
      <c r="I16" t="str">
        <f>IF($M$1=TRUE,_xlfn.IFNA(INDEX(#REF!,MATCH(WorkingConsolidate!$B16,#REF!,0)),""),"")</f>
        <v/>
      </c>
    </row>
    <row r="17" spans="1:9" x14ac:dyDescent="0.25">
      <c r="A17" t="s">
        <v>351</v>
      </c>
      <c r="B17" t="s">
        <v>416</v>
      </c>
      <c r="C17" s="1009">
        <f>Slicing!$O$3</f>
        <v>44881</v>
      </c>
      <c r="D17" s="2">
        <f>Slicing!$S$18</f>
        <v>0</v>
      </c>
      <c r="E17">
        <v>1020</v>
      </c>
      <c r="H17" t="e">
        <f>IF($L$1=TRUE,_xlfn.IFNA(INDEX(#REF!,MATCH(WorkingConsolidate!$B17,#REF!,0)),),"")</f>
        <v>#REF!</v>
      </c>
      <c r="I17" t="str">
        <f>IF($M$1=TRUE,_xlfn.IFNA(INDEX(#REF!,MATCH(WorkingConsolidate!$B17,#REF!,0)),""),"")</f>
        <v/>
      </c>
    </row>
    <row r="18" spans="1:9" x14ac:dyDescent="0.25">
      <c r="A18" t="s">
        <v>296</v>
      </c>
      <c r="B18" t="s">
        <v>417</v>
      </c>
      <c r="C18" s="1009">
        <f>Slicing!$O$3</f>
        <v>44881</v>
      </c>
      <c r="D18" s="2">
        <f>Slicing!$S$16</f>
        <v>0</v>
      </c>
      <c r="E18">
        <v>1570</v>
      </c>
      <c r="H18" t="e">
        <f>IF($L$1=TRUE,_xlfn.IFNA(INDEX(#REF!,MATCH(WorkingConsolidate!$B18,#REF!,0)),),"")</f>
        <v>#REF!</v>
      </c>
      <c r="I18" t="str">
        <f>IF($M$1=TRUE,_xlfn.IFNA(INDEX(#REF!,MATCH(WorkingConsolidate!$B18,#REF!,0)),""),"")</f>
        <v/>
      </c>
    </row>
    <row r="19" spans="1:9" x14ac:dyDescent="0.25">
      <c r="A19" t="s">
        <v>410</v>
      </c>
      <c r="B19" t="s">
        <v>418</v>
      </c>
      <c r="C19" s="1009">
        <f>Slicing!$O$3</f>
        <v>44881</v>
      </c>
      <c r="D19" s="2">
        <f>Slicing!S13</f>
        <v>0</v>
      </c>
      <c r="E19">
        <v>1020</v>
      </c>
      <c r="H19" t="e">
        <f>IF($L$1=TRUE,_xlfn.IFNA(INDEX(#REF!,MATCH(WorkingConsolidate!$B19,#REF!,0)),),"")</f>
        <v>#REF!</v>
      </c>
      <c r="I19" t="str">
        <f>IF($M$1=TRUE,_xlfn.IFNA(INDEX(#REF!,MATCH(WorkingConsolidate!$B19,#REF!,0)),""),"")</f>
        <v/>
      </c>
    </row>
    <row r="20" spans="1:9" x14ac:dyDescent="0.25">
      <c r="A20" t="s">
        <v>342</v>
      </c>
      <c r="B20" t="s">
        <v>420</v>
      </c>
      <c r="C20" s="1009">
        <f>Slicing!$O$3</f>
        <v>44881</v>
      </c>
      <c r="D20" s="2">
        <f>Slicing!$Z$6</f>
        <v>0</v>
      </c>
      <c r="E20">
        <v>1020</v>
      </c>
      <c r="F20">
        <f>Slicing!$Y$6</f>
        <v>0</v>
      </c>
      <c r="H20" t="e">
        <f>IF($L$1=TRUE,_xlfn.IFNA(INDEX(#REF!,MATCH(WorkingConsolidate!$B20,#REF!,0)),),"")</f>
        <v>#REF!</v>
      </c>
      <c r="I20" t="str">
        <f>IF($M$1=TRUE,_xlfn.IFNA(INDEX(#REF!,MATCH(WorkingConsolidate!$B20,#REF!,0)),""),"")</f>
        <v/>
      </c>
    </row>
    <row r="21" spans="1:9" x14ac:dyDescent="0.25">
      <c r="A21" t="s">
        <v>302</v>
      </c>
      <c r="B21" t="s">
        <v>421</v>
      </c>
      <c r="C21" s="1009">
        <f>Slicing!$O$3</f>
        <v>44881</v>
      </c>
      <c r="D21" s="2">
        <f>Slicing!$Z$7</f>
        <v>0</v>
      </c>
      <c r="E21">
        <v>1570</v>
      </c>
      <c r="F21">
        <f>Slicing!$Y$7</f>
        <v>0</v>
      </c>
      <c r="H21" t="e">
        <f>IF($L$1=TRUE,_xlfn.IFNA(INDEX(#REF!,MATCH(WorkingConsolidate!$B21,#REF!,0)),),"")</f>
        <v>#REF!</v>
      </c>
      <c r="I21" t="str">
        <f>IF($M$1=TRUE,_xlfn.IFNA(INDEX(#REF!,MATCH(WorkingConsolidate!$B21,#REF!,0)),""),"")</f>
        <v/>
      </c>
    </row>
    <row r="22" spans="1:9" x14ac:dyDescent="0.25">
      <c r="A22" t="s">
        <v>3</v>
      </c>
      <c r="B22" t="s">
        <v>422</v>
      </c>
      <c r="C22" s="1009">
        <f>Slicing!$O$3</f>
        <v>44881</v>
      </c>
      <c r="D22" s="2">
        <f>Slicing!$Z$8</f>
        <v>0</v>
      </c>
      <c r="E22">
        <v>1570</v>
      </c>
      <c r="H22" t="e">
        <f>IF($L$1=TRUE,_xlfn.IFNA(INDEX(#REF!,MATCH(WorkingConsolidate!$B22,#REF!,0)),),"")</f>
        <v>#REF!</v>
      </c>
      <c r="I22" t="str">
        <f>IF($M$1=TRUE,_xlfn.IFNA(INDEX(#REF!,MATCH(WorkingConsolidate!$B22,#REF!,0)),""),"")</f>
        <v/>
      </c>
    </row>
    <row r="23" spans="1:9" x14ac:dyDescent="0.25">
      <c r="A23" t="s">
        <v>239</v>
      </c>
      <c r="B23" t="s">
        <v>423</v>
      </c>
      <c r="C23" s="1009">
        <f>Slicing!$O$3</f>
        <v>44881</v>
      </c>
      <c r="D23" s="2">
        <f>Slicing!$Z$9</f>
        <v>0</v>
      </c>
      <c r="E23">
        <v>1570</v>
      </c>
      <c r="H23" t="e">
        <f>IF($L$1=TRUE,_xlfn.IFNA(INDEX(#REF!,MATCH(WorkingConsolidate!$B23,#REF!,0)),),"")</f>
        <v>#REF!</v>
      </c>
      <c r="I23" t="str">
        <f>IF($M$1=TRUE,_xlfn.IFNA(INDEX(#REF!,MATCH(WorkingConsolidate!$B23,#REF!,0)),""),"")</f>
        <v/>
      </c>
    </row>
    <row r="24" spans="1:9" x14ac:dyDescent="0.25">
      <c r="A24" t="s">
        <v>243</v>
      </c>
      <c r="B24" t="s">
        <v>424</v>
      </c>
      <c r="C24" s="1009">
        <f>Slicing!$O$3</f>
        <v>44881</v>
      </c>
      <c r="D24" s="2">
        <f>Slicing!$Z$10</f>
        <v>0</v>
      </c>
      <c r="E24">
        <v>1570</v>
      </c>
      <c r="H24" t="e">
        <f>IF($L$1=TRUE,_xlfn.IFNA(INDEX(#REF!,MATCH(WorkingConsolidate!$B24,#REF!,0)),),"")</f>
        <v>#REF!</v>
      </c>
      <c r="I24" t="str">
        <f>IF($M$1=TRUE,_xlfn.IFNA(INDEX(#REF!,MATCH(WorkingConsolidate!$B24,#REF!,0)),""),"")</f>
        <v/>
      </c>
    </row>
    <row r="25" spans="1:9" x14ac:dyDescent="0.25">
      <c r="A25" t="s">
        <v>326</v>
      </c>
      <c r="B25" t="s">
        <v>425</v>
      </c>
      <c r="C25" s="1009">
        <f>Slicing!$O$3</f>
        <v>44881</v>
      </c>
      <c r="D25" s="2">
        <f>Slicing!$Z$11</f>
        <v>0</v>
      </c>
      <c r="E25">
        <v>1570</v>
      </c>
      <c r="H25" t="e">
        <f>IF($L$1=TRUE,_xlfn.IFNA(INDEX(#REF!,MATCH(WorkingConsolidate!$B25,#REF!,0)),),"")</f>
        <v>#REF!</v>
      </c>
      <c r="I25" t="str">
        <f>IF($M$1=TRUE,_xlfn.IFNA(INDEX(#REF!,MATCH(WorkingConsolidate!$B25,#REF!,0)),""),"")</f>
        <v/>
      </c>
    </row>
    <row r="26" spans="1:9" x14ac:dyDescent="0.25">
      <c r="A26" t="s">
        <v>351</v>
      </c>
      <c r="B26" t="s">
        <v>426</v>
      </c>
      <c r="C26" s="1009">
        <f>Slicing!$O$3</f>
        <v>44881</v>
      </c>
      <c r="D26" s="2">
        <f>Slicing!$Z$12</f>
        <v>0</v>
      </c>
      <c r="E26">
        <v>1570</v>
      </c>
      <c r="H26" t="e">
        <f>IF($L$1=TRUE,_xlfn.IFNA(INDEX(#REF!,MATCH(WorkingConsolidate!$B26,#REF!,0)),),"")</f>
        <v>#REF!</v>
      </c>
      <c r="I26" t="str">
        <f>IF($M$1=TRUE,_xlfn.IFNA(INDEX(#REF!,MATCH(WorkingConsolidate!$B26,#REF!,0)),""),"")</f>
        <v/>
      </c>
    </row>
    <row r="27" spans="1:9" x14ac:dyDescent="0.25">
      <c r="A27" t="s">
        <v>296</v>
      </c>
      <c r="B27" t="s">
        <v>427</v>
      </c>
      <c r="C27" s="1009">
        <f>Slicing!$O$3</f>
        <v>44881</v>
      </c>
      <c r="D27" s="2">
        <f>Slicing!$Z$13</f>
        <v>0</v>
      </c>
      <c r="E27">
        <v>1570</v>
      </c>
      <c r="H27" t="e">
        <f>IF($L$1=TRUE,_xlfn.IFNA(INDEX(#REF!,MATCH(WorkingConsolidate!$B27,#REF!,0)),),"")</f>
        <v>#REF!</v>
      </c>
      <c r="I27" t="str">
        <f>IF($M$1=TRUE,_xlfn.IFNA(INDEX(#REF!,MATCH(WorkingConsolidate!$B27,#REF!,0)),""),"")</f>
        <v/>
      </c>
    </row>
    <row r="28" spans="1:9" x14ac:dyDescent="0.25">
      <c r="A28" t="s">
        <v>347</v>
      </c>
      <c r="B28" t="s">
        <v>428</v>
      </c>
      <c r="C28" s="1009">
        <f>Slicing!$O$3</f>
        <v>44881</v>
      </c>
      <c r="D28" s="2">
        <f>Slicing!$Z$14</f>
        <v>0</v>
      </c>
      <c r="E28">
        <v>1570</v>
      </c>
      <c r="H28" t="e">
        <f>IF($L$1=TRUE,_xlfn.IFNA(INDEX(#REF!,MATCH(WorkingConsolidate!$B28,#REF!,0)),),"")</f>
        <v>#REF!</v>
      </c>
      <c r="I28" t="str">
        <f>IF($M$1=TRUE,_xlfn.IFNA(INDEX(#REF!,MATCH(WorkingConsolidate!$B28,#REF!,0)),""),"")</f>
        <v/>
      </c>
    </row>
    <row r="29" spans="1:9" x14ac:dyDescent="0.25">
      <c r="A29" t="s">
        <v>345</v>
      </c>
      <c r="B29" t="s">
        <v>429</v>
      </c>
      <c r="C29" s="1009">
        <f>Slicing!$O$3</f>
        <v>44881</v>
      </c>
      <c r="D29" s="2">
        <f>Slicing!$Z$15</f>
        <v>0</v>
      </c>
      <c r="E29">
        <v>1570</v>
      </c>
      <c r="H29" t="e">
        <f>IF($L$1=TRUE,_xlfn.IFNA(INDEX(#REF!,MATCH(WorkingConsolidate!$B29,#REF!,0)),),"")</f>
        <v>#REF!</v>
      </c>
      <c r="I29" t="str">
        <f>IF($M$1=TRUE,_xlfn.IFNA(INDEX(#REF!,MATCH(WorkingConsolidate!$B29,#REF!,0)),""),"")</f>
        <v/>
      </c>
    </row>
    <row r="30" spans="1:9" x14ac:dyDescent="0.25">
      <c r="A30" t="s">
        <v>231</v>
      </c>
      <c r="B30" t="s">
        <v>308</v>
      </c>
      <c r="C30" s="1009">
        <f t="shared" ref="C30:C96" si="0">DeboningDate</f>
        <v>45196</v>
      </c>
      <c r="D30" s="2">
        <f>Slicing!AJ5</f>
        <v>32353.599999999999</v>
      </c>
      <c r="E30">
        <v>1570</v>
      </c>
      <c r="F30" s="1">
        <f>Slicing!AK5</f>
        <v>1108</v>
      </c>
      <c r="G30" s="1"/>
      <c r="H30" t="e">
        <f>IF($L$1=TRUE,_xlfn.IFNA(INDEX(#REF!,MATCH(WorkingConsolidate!$B30,#REF!,0)),),"")</f>
        <v>#REF!</v>
      </c>
      <c r="I30" t="str">
        <f>IF($M$1=TRUE,_xlfn.IFNA(INDEX(#REF!,MATCH(WorkingConsolidate!$B30,#REF!,0)),""),"")</f>
        <v/>
      </c>
    </row>
    <row r="31" spans="1:9" x14ac:dyDescent="0.25">
      <c r="A31" t="s">
        <v>62</v>
      </c>
      <c r="B31" t="s">
        <v>307</v>
      </c>
      <c r="C31" s="1009">
        <f t="shared" si="0"/>
        <v>45196</v>
      </c>
      <c r="D31" s="2">
        <f>Slicing!AJ6</f>
        <v>9953.2000000000007</v>
      </c>
      <c r="E31">
        <v>1570</v>
      </c>
      <c r="F31" s="1">
        <f>Slicing!AK6</f>
        <v>1108</v>
      </c>
      <c r="G31" s="1"/>
      <c r="H31" t="e">
        <f>IF($L$1=TRUE,_xlfn.IFNA(INDEX(#REF!,MATCH(WorkingConsolidate!$B31,#REF!,0)),),"")</f>
        <v>#REF!</v>
      </c>
      <c r="I31" t="str">
        <f>IF($M$1=TRUE,_xlfn.IFNA(INDEX(#REF!,MATCH(WorkingConsolidate!$B31,#REF!,0)),""),"")</f>
        <v/>
      </c>
    </row>
    <row r="32" spans="1:9" x14ac:dyDescent="0.25">
      <c r="A32" t="s">
        <v>45</v>
      </c>
      <c r="B32" t="s">
        <v>306</v>
      </c>
      <c r="C32" s="1009">
        <f t="shared" si="0"/>
        <v>45196</v>
      </c>
      <c r="D32" s="2">
        <f>Slicing!AJ7</f>
        <v>11176.1</v>
      </c>
      <c r="E32">
        <v>1570</v>
      </c>
      <c r="F32" s="1">
        <f>Slicing!AK7</f>
        <v>1108</v>
      </c>
      <c r="G32" s="1"/>
      <c r="H32" t="e">
        <f>IF($L$1=TRUE,_xlfn.IFNA(INDEX(#REF!,MATCH(WorkingConsolidate!$B32,#REF!,0)),),"")</f>
        <v>#REF!</v>
      </c>
      <c r="I32" t="str">
        <f>IF($M$1=TRUE,_xlfn.IFNA(INDEX(#REF!,MATCH(WorkingConsolidate!$B32,#REF!,0)),""),"")</f>
        <v/>
      </c>
    </row>
    <row r="33" spans="1:9" x14ac:dyDescent="0.25">
      <c r="A33" t="s">
        <v>141</v>
      </c>
      <c r="B33" t="s">
        <v>305</v>
      </c>
      <c r="C33" s="1009">
        <f t="shared" si="0"/>
        <v>45196</v>
      </c>
      <c r="D33" s="2">
        <f>Slicing!AJ8</f>
        <v>10647.5</v>
      </c>
      <c r="E33">
        <v>1570</v>
      </c>
      <c r="F33" s="1">
        <f>Slicing!AK8</f>
        <v>1108</v>
      </c>
      <c r="G33" s="1"/>
      <c r="H33" t="e">
        <f>IF($L$1=TRUE,_xlfn.IFNA(INDEX(#REF!,MATCH(WorkingConsolidate!$B33,#REF!,0)),),"")</f>
        <v>#REF!</v>
      </c>
      <c r="I33" t="str">
        <f>IF($M$1=TRUE,_xlfn.IFNA(INDEX(#REF!,MATCH(WorkingConsolidate!$B33,#REF!,0)),""),"")</f>
        <v/>
      </c>
    </row>
    <row r="34" spans="1:9" x14ac:dyDescent="0.25">
      <c r="A34" t="s">
        <v>55</v>
      </c>
      <c r="B34" t="s">
        <v>304</v>
      </c>
      <c r="C34" s="1009">
        <f t="shared" si="0"/>
        <v>45196</v>
      </c>
      <c r="D34" s="2">
        <f>Slicing!AJ9</f>
        <v>0</v>
      </c>
      <c r="E34">
        <v>1570</v>
      </c>
      <c r="H34" t="e">
        <f>IF($L$1=TRUE,_xlfn.IFNA(INDEX(#REF!,MATCH(WorkingConsolidate!$B34,#REF!,0)),),"")</f>
        <v>#REF!</v>
      </c>
      <c r="I34" t="str">
        <f>IF($M$1=TRUE,_xlfn.IFNA(INDEX(#REF!,MATCH(WorkingConsolidate!$B34,#REF!,0)),""),"")</f>
        <v/>
      </c>
    </row>
    <row r="35" spans="1:9" x14ac:dyDescent="0.25">
      <c r="A35" t="s">
        <v>296</v>
      </c>
      <c r="B35" t="s">
        <v>303</v>
      </c>
      <c r="C35" s="1009">
        <f t="shared" si="0"/>
        <v>45196</v>
      </c>
      <c r="D35" s="2">
        <f>Slicing!AJ10</f>
        <v>555.29999999999995</v>
      </c>
      <c r="E35">
        <v>1570</v>
      </c>
      <c r="H35" t="e">
        <f>IF($L$1=TRUE,_xlfn.IFNA(INDEX(#REF!,MATCH(WorkingConsolidate!$B35,#REF!,0)),),"")</f>
        <v>#REF!</v>
      </c>
      <c r="I35" t="str">
        <f>IF($M$1=TRUE,_xlfn.IFNA(INDEX(#REF!,MATCH(WorkingConsolidate!$B35,#REF!,0)),""),"")</f>
        <v/>
      </c>
    </row>
    <row r="36" spans="1:9" x14ac:dyDescent="0.25">
      <c r="A36" t="s">
        <v>302</v>
      </c>
      <c r="B36" t="s">
        <v>301</v>
      </c>
      <c r="C36" s="1009">
        <f t="shared" si="0"/>
        <v>45196</v>
      </c>
      <c r="D36" s="2">
        <f>Slicing!AJ15</f>
        <v>0</v>
      </c>
      <c r="E36">
        <v>1570</v>
      </c>
      <c r="F36" s="2">
        <f>Slicing!AK15</f>
        <v>0</v>
      </c>
      <c r="G36" s="2"/>
      <c r="H36" t="e">
        <f>IF($L$1=TRUE,_xlfn.IFNA(INDEX(#REF!,MATCH(WorkingConsolidate!$B36,#REF!,0)),),"")</f>
        <v>#REF!</v>
      </c>
      <c r="I36" t="str">
        <f>IF($M$1=TRUE,_xlfn.IFNA(INDEX(#REF!,MATCH(WorkingConsolidate!$B36,#REF!,0)),""),"")</f>
        <v/>
      </c>
    </row>
    <row r="37" spans="1:9" x14ac:dyDescent="0.25">
      <c r="A37" t="s">
        <v>62</v>
      </c>
      <c r="B37" t="s">
        <v>300</v>
      </c>
      <c r="C37" s="1009">
        <f t="shared" si="0"/>
        <v>45196</v>
      </c>
      <c r="D37" s="2">
        <f>Slicing!AJ16</f>
        <v>0</v>
      </c>
      <c r="E37">
        <v>1570</v>
      </c>
      <c r="F37" s="2">
        <f>F36</f>
        <v>0</v>
      </c>
      <c r="G37" s="2"/>
      <c r="H37" t="e">
        <f>IF($L$1=TRUE,_xlfn.IFNA(INDEX(#REF!,MATCH(WorkingConsolidate!$B37,#REF!,0)),),"")</f>
        <v>#REF!</v>
      </c>
      <c r="I37" t="str">
        <f>IF($M$1=TRUE,_xlfn.IFNA(INDEX(#REF!,MATCH(WorkingConsolidate!$B37,#REF!,0)),""),"")</f>
        <v/>
      </c>
    </row>
    <row r="38" spans="1:9" x14ac:dyDescent="0.25">
      <c r="A38" t="s">
        <v>45</v>
      </c>
      <c r="B38" t="s">
        <v>299</v>
      </c>
      <c r="C38" s="1009">
        <f t="shared" si="0"/>
        <v>45196</v>
      </c>
      <c r="D38" s="2">
        <f>Slicing!AJ17</f>
        <v>0</v>
      </c>
      <c r="E38">
        <v>1570</v>
      </c>
      <c r="F38" s="2">
        <f>F36</f>
        <v>0</v>
      </c>
      <c r="G38" s="2"/>
      <c r="H38" t="e">
        <f>IF($L$1=TRUE,_xlfn.IFNA(INDEX(#REF!,MATCH(WorkingConsolidate!$B38,#REF!,0)),),"")</f>
        <v>#REF!</v>
      </c>
      <c r="I38" t="str">
        <f>IF($M$1=TRUE,_xlfn.IFNA(INDEX(#REF!,MATCH(WorkingConsolidate!$B38,#REF!,0)),""),"")</f>
        <v/>
      </c>
    </row>
    <row r="39" spans="1:9" x14ac:dyDescent="0.25">
      <c r="A39" t="s">
        <v>141</v>
      </c>
      <c r="B39" t="s">
        <v>298</v>
      </c>
      <c r="C39" s="1009">
        <f t="shared" si="0"/>
        <v>45196</v>
      </c>
      <c r="D39" s="2">
        <f>Slicing!AJ18</f>
        <v>0</v>
      </c>
      <c r="E39">
        <v>1570</v>
      </c>
      <c r="F39" s="2">
        <f>F36</f>
        <v>0</v>
      </c>
      <c r="G39" s="2"/>
      <c r="H39" t="e">
        <f>IF($L$1=TRUE,_xlfn.IFNA(INDEX(#REF!,MATCH(WorkingConsolidate!$B39,#REF!,0)),),"")</f>
        <v>#REF!</v>
      </c>
      <c r="I39" t="str">
        <f>IF($M$1=TRUE,_xlfn.IFNA(INDEX(#REF!,MATCH(WorkingConsolidate!$B39,#REF!,0)),""),"")</f>
        <v/>
      </c>
    </row>
    <row r="40" spans="1:9" x14ac:dyDescent="0.25">
      <c r="A40" t="s">
        <v>55</v>
      </c>
      <c r="B40" t="s">
        <v>297</v>
      </c>
      <c r="C40" s="1009">
        <f t="shared" si="0"/>
        <v>45196</v>
      </c>
      <c r="D40" s="2">
        <f>Slicing!AJ19</f>
        <v>0</v>
      </c>
      <c r="E40">
        <v>1570</v>
      </c>
      <c r="H40" t="e">
        <f>IF($L$1=TRUE,_xlfn.IFNA(INDEX(#REF!,MATCH(WorkingConsolidate!$B40,#REF!,0)),),"")</f>
        <v>#REF!</v>
      </c>
      <c r="I40" t="str">
        <f>IF($M$1=TRUE,_xlfn.IFNA(INDEX(#REF!,MATCH(WorkingConsolidate!$B40,#REF!,0)),""),"")</f>
        <v/>
      </c>
    </row>
    <row r="41" spans="1:9" x14ac:dyDescent="0.25">
      <c r="A41" t="s">
        <v>296</v>
      </c>
      <c r="B41" t="s">
        <v>295</v>
      </c>
      <c r="C41" s="1009">
        <f t="shared" si="0"/>
        <v>45196</v>
      </c>
      <c r="D41" s="2">
        <f>Slicing!AJ20</f>
        <v>0</v>
      </c>
      <c r="E41">
        <v>1570</v>
      </c>
      <c r="H41" t="e">
        <f>IF($L$1=TRUE,_xlfn.IFNA(INDEX(#REF!,MATCH(WorkingConsolidate!$B41,#REF!,0)),),"")</f>
        <v>#REF!</v>
      </c>
      <c r="I41" t="str">
        <f>IF($M$1=TRUE,_xlfn.IFNA(INDEX(#REF!,MATCH(WorkingConsolidate!$B41,#REF!,0)),""),"")</f>
        <v/>
      </c>
    </row>
    <row r="42" spans="1:9" x14ac:dyDescent="0.25">
      <c r="A42" t="s">
        <v>409</v>
      </c>
      <c r="B42" t="s">
        <v>479</v>
      </c>
      <c r="C42" s="1009">
        <f t="shared" si="0"/>
        <v>45196</v>
      </c>
      <c r="D42" s="2"/>
      <c r="E42">
        <v>1020</v>
      </c>
      <c r="F42">
        <f>'Pork Breaking'!B41</f>
        <v>0</v>
      </c>
      <c r="H42" t="e">
        <f>IF($L$1=TRUE,_xlfn.IFNA(INDEX(#REF!,MATCH(WorkingConsolidate!$B42,#REF!,0)),),"")</f>
        <v>#REF!</v>
      </c>
      <c r="I42" t="str">
        <f>IF($M$1=TRUE,_xlfn.IFNA(INDEX(#REF!,MATCH(WorkingConsolidate!$B42,#REF!,0)),""),"")</f>
        <v/>
      </c>
    </row>
    <row r="43" spans="1:9" x14ac:dyDescent="0.25">
      <c r="A43" t="s">
        <v>463</v>
      </c>
      <c r="B43" t="s">
        <v>480</v>
      </c>
      <c r="C43" s="1009">
        <f t="shared" si="0"/>
        <v>45196</v>
      </c>
      <c r="D43" s="2"/>
      <c r="E43">
        <v>1570</v>
      </c>
      <c r="F43">
        <f>'Pork Breaking'!B41</f>
        <v>0</v>
      </c>
      <c r="H43" t="e">
        <f>IF($L$1=TRUE,_xlfn.IFNA(INDEX(#REF!,MATCH(WorkingConsolidate!$B43,#REF!,0)),),"")</f>
        <v>#REF!</v>
      </c>
      <c r="I43" t="str">
        <f>IF($M$1=TRUE,_xlfn.IFNA(INDEX(#REF!,MATCH(WorkingConsolidate!$B43,#REF!,0)),""),"")</f>
        <v/>
      </c>
    </row>
    <row r="44" spans="1:9" x14ac:dyDescent="0.25">
      <c r="A44" t="s">
        <v>461</v>
      </c>
      <c r="B44" t="s">
        <v>481</v>
      </c>
      <c r="C44" s="1009">
        <f t="shared" si="0"/>
        <v>45196</v>
      </c>
      <c r="D44" s="2"/>
      <c r="E44">
        <v>1570</v>
      </c>
      <c r="F44">
        <f>'Pork Breaking'!B41</f>
        <v>0</v>
      </c>
      <c r="H44" t="e">
        <f>IF($L$1=TRUE,_xlfn.IFNA(INDEX(#REF!,MATCH(WorkingConsolidate!$B44,#REF!,0)),),"")</f>
        <v>#REF!</v>
      </c>
      <c r="I44" t="str">
        <f>IF($M$1=TRUE,_xlfn.IFNA(INDEX(#REF!,MATCH(WorkingConsolidate!$B44,#REF!,0)),""),"")</f>
        <v/>
      </c>
    </row>
    <row r="45" spans="1:9" x14ac:dyDescent="0.25">
      <c r="A45" t="s">
        <v>460</v>
      </c>
      <c r="B45" t="s">
        <v>482</v>
      </c>
      <c r="C45" s="1009">
        <f t="shared" si="0"/>
        <v>45196</v>
      </c>
      <c r="D45" s="2"/>
      <c r="E45">
        <v>1570</v>
      </c>
      <c r="F45">
        <f>'Pork Breaking'!B41</f>
        <v>0</v>
      </c>
      <c r="H45" t="e">
        <f>IF($L$1=TRUE,_xlfn.IFNA(INDEX(#REF!,MATCH(WorkingConsolidate!$B45,#REF!,0)),),"")</f>
        <v>#REF!</v>
      </c>
      <c r="I45" t="str">
        <f>IF($M$1=TRUE,_xlfn.IFNA(INDEX(#REF!,MATCH(WorkingConsolidate!$B45,#REF!,0)),""),"")</f>
        <v/>
      </c>
    </row>
    <row r="46" spans="1:9" x14ac:dyDescent="0.25">
      <c r="A46" t="s">
        <v>296</v>
      </c>
      <c r="B46" t="s">
        <v>483</v>
      </c>
      <c r="C46" s="1009">
        <f t="shared" si="0"/>
        <v>45196</v>
      </c>
      <c r="D46" s="2"/>
      <c r="E46">
        <v>1570</v>
      </c>
      <c r="H46" t="e">
        <f>IF($L$1=TRUE,_xlfn.IFNA(INDEX(#REF!,MATCH(WorkingConsolidate!$B46,#REF!,0)),),"")</f>
        <v>#REF!</v>
      </c>
      <c r="I46" t="str">
        <f>IF($M$1=TRUE,_xlfn.IFNA(INDEX(#REF!,MATCH(WorkingConsolidate!$B46,#REF!,0)),""),"")</f>
        <v/>
      </c>
    </row>
    <row r="47" spans="1:9" x14ac:dyDescent="0.25">
      <c r="A47" t="s">
        <v>55</v>
      </c>
      <c r="B47" t="s">
        <v>484</v>
      </c>
      <c r="C47" s="1009">
        <f t="shared" si="0"/>
        <v>45196</v>
      </c>
      <c r="D47" s="2"/>
      <c r="E47">
        <v>1570</v>
      </c>
      <c r="H47" t="e">
        <f>IF($L$1=TRUE,_xlfn.IFNA(INDEX(#REF!,MATCH(WorkingConsolidate!$B47,#REF!,0)),),"")</f>
        <v>#REF!</v>
      </c>
      <c r="I47" t="str">
        <f>IF($M$1=TRUE,_xlfn.IFNA(INDEX(#REF!,MATCH(WorkingConsolidate!$B47,#REF!,0)),""),"")</f>
        <v/>
      </c>
    </row>
    <row r="48" spans="1:9" x14ac:dyDescent="0.25">
      <c r="A48" t="s">
        <v>460</v>
      </c>
      <c r="B48" t="s">
        <v>485</v>
      </c>
      <c r="C48" s="1009">
        <f t="shared" si="0"/>
        <v>45196</v>
      </c>
      <c r="D48" s="2"/>
      <c r="E48">
        <v>1570</v>
      </c>
      <c r="H48" t="e">
        <f>IF($L$1=TRUE,_xlfn.IFNA(INDEX(#REF!,MATCH(WorkingConsolidate!$B48,#REF!,0)),),"")</f>
        <v>#REF!</v>
      </c>
      <c r="I48" t="str">
        <f>IF($M$1=TRUE,_xlfn.IFNA(INDEX(#REF!,MATCH(WorkingConsolidate!$B48,#REF!,0)),""),"")</f>
        <v/>
      </c>
    </row>
    <row r="49" spans="1:9" x14ac:dyDescent="0.25">
      <c r="A49" t="s">
        <v>465</v>
      </c>
      <c r="B49" t="s">
        <v>486</v>
      </c>
      <c r="C49" s="1009">
        <f t="shared" si="0"/>
        <v>45196</v>
      </c>
      <c r="D49" s="2"/>
      <c r="E49">
        <v>1570</v>
      </c>
      <c r="H49" t="e">
        <f>IF($L$1=TRUE,_xlfn.IFNA(INDEX(#REF!,MATCH(WorkingConsolidate!$B49,#REF!,0)),),"")</f>
        <v>#REF!</v>
      </c>
      <c r="I49" t="str">
        <f>IF($M$1=TRUE,_xlfn.IFNA(INDEX(#REF!,MATCH(WorkingConsolidate!$B49,#REF!,0)),""),"")</f>
        <v/>
      </c>
    </row>
    <row r="50" spans="1:9" x14ac:dyDescent="0.25">
      <c r="A50" t="s">
        <v>5</v>
      </c>
      <c r="B50" t="s">
        <v>487</v>
      </c>
      <c r="C50" s="1009">
        <f t="shared" si="0"/>
        <v>45196</v>
      </c>
      <c r="D50" s="2"/>
      <c r="E50">
        <v>1570</v>
      </c>
      <c r="H50" t="e">
        <f>IF($L$1=TRUE,_xlfn.IFNA(INDEX(#REF!,MATCH(WorkingConsolidate!$B50,#REF!,0)),),"")</f>
        <v>#REF!</v>
      </c>
      <c r="I50" t="str">
        <f>IF($M$1=TRUE,_xlfn.IFNA(INDEX(#REF!,MATCH(WorkingConsolidate!$B50,#REF!,0)),""),"")</f>
        <v/>
      </c>
    </row>
    <row r="51" spans="1:9" x14ac:dyDescent="0.25">
      <c r="A51" t="s">
        <v>6</v>
      </c>
      <c r="B51" t="s">
        <v>488</v>
      </c>
      <c r="C51" s="1009">
        <f t="shared" si="0"/>
        <v>45196</v>
      </c>
      <c r="D51" s="2"/>
      <c r="E51">
        <v>1570</v>
      </c>
      <c r="H51" t="e">
        <f>IF($L$1=TRUE,_xlfn.IFNA(INDEX(#REF!,MATCH(WorkingConsolidate!$B51,#REF!,0)),),"")</f>
        <v>#REF!</v>
      </c>
      <c r="I51" t="str">
        <f>IF($M$1=TRUE,_xlfn.IFNA(INDEX(#REF!,MATCH(WorkingConsolidate!$B51,#REF!,0)),""),"")</f>
        <v/>
      </c>
    </row>
    <row r="52" spans="1:9" x14ac:dyDescent="0.25">
      <c r="A52" t="s">
        <v>463</v>
      </c>
      <c r="B52" t="s">
        <v>489</v>
      </c>
      <c r="C52" s="1009">
        <f t="shared" si="0"/>
        <v>45196</v>
      </c>
      <c r="D52" s="2"/>
      <c r="E52">
        <v>1570</v>
      </c>
      <c r="H52" t="e">
        <f>IF($L$1=TRUE,_xlfn.IFNA(INDEX(#REF!,MATCH(WorkingConsolidate!$B52,#REF!,0)),),"")</f>
        <v>#REF!</v>
      </c>
      <c r="I52" t="str">
        <f>IF($M$1=TRUE,_xlfn.IFNA(INDEX(#REF!,MATCH(WorkingConsolidate!$B52,#REF!,0)),""),"")</f>
        <v/>
      </c>
    </row>
    <row r="53" spans="1:9" x14ac:dyDescent="0.25">
      <c r="A53" t="s">
        <v>465</v>
      </c>
      <c r="B53" t="s">
        <v>490</v>
      </c>
      <c r="C53" s="1009">
        <f t="shared" si="0"/>
        <v>45196</v>
      </c>
      <c r="D53" s="2"/>
      <c r="E53">
        <v>1570</v>
      </c>
      <c r="H53" t="e">
        <f>IF($L$1=TRUE,_xlfn.IFNA(INDEX(#REF!,MATCH(WorkingConsolidate!$B53,#REF!,0)),),"")</f>
        <v>#REF!</v>
      </c>
      <c r="I53" t="str">
        <f>IF($M$1=TRUE,_xlfn.IFNA(INDEX(#REF!,MATCH(WorkingConsolidate!$B53,#REF!,0)),""),"")</f>
        <v/>
      </c>
    </row>
    <row r="54" spans="1:9" x14ac:dyDescent="0.25">
      <c r="A54" t="s">
        <v>6</v>
      </c>
      <c r="B54" t="s">
        <v>491</v>
      </c>
      <c r="C54" s="1009">
        <f t="shared" si="0"/>
        <v>45196</v>
      </c>
      <c r="D54" s="2"/>
      <c r="E54">
        <v>1570</v>
      </c>
      <c r="H54" t="e">
        <f>IF($L$1=TRUE,_xlfn.IFNA(INDEX(#REF!,MATCH(WorkingConsolidate!$B54,#REF!,0)),),"")</f>
        <v>#REF!</v>
      </c>
      <c r="I54" t="str">
        <f>IF($M$1=TRUE,_xlfn.IFNA(INDEX(#REF!,MATCH(WorkingConsolidate!$B54,#REF!,0)),""),"")</f>
        <v/>
      </c>
    </row>
    <row r="55" spans="1:9" x14ac:dyDescent="0.25">
      <c r="A55" t="s">
        <v>5</v>
      </c>
      <c r="B55" t="s">
        <v>492</v>
      </c>
      <c r="C55" s="1009">
        <f t="shared" si="0"/>
        <v>45196</v>
      </c>
      <c r="D55" s="2"/>
      <c r="E55">
        <v>1570</v>
      </c>
      <c r="H55" t="e">
        <f>IF($L$1=TRUE,_xlfn.IFNA(INDEX(#REF!,MATCH(WorkingConsolidate!$B55,#REF!,0)),),"")</f>
        <v>#REF!</v>
      </c>
      <c r="I55" t="str">
        <f>IF($M$1=TRUE,_xlfn.IFNA(INDEX(#REF!,MATCH(WorkingConsolidate!$B55,#REF!,0)),""),"")</f>
        <v/>
      </c>
    </row>
    <row r="56" spans="1:9" x14ac:dyDescent="0.25">
      <c r="A56" t="s">
        <v>4</v>
      </c>
      <c r="B56" t="s">
        <v>493</v>
      </c>
      <c r="C56" s="1009">
        <f t="shared" si="0"/>
        <v>45196</v>
      </c>
      <c r="D56" s="2"/>
      <c r="E56">
        <v>1570</v>
      </c>
      <c r="H56" t="e">
        <f>IF($L$1=TRUE,_xlfn.IFNA(INDEX(#REF!,MATCH(WorkingConsolidate!$B56,#REF!,0)),),"")</f>
        <v>#REF!</v>
      </c>
      <c r="I56" t="str">
        <f>IF($M$1=TRUE,_xlfn.IFNA(INDEX(#REF!,MATCH(WorkingConsolidate!$B56,#REF!,0)),""),"")</f>
        <v/>
      </c>
    </row>
    <row r="57" spans="1:9" x14ac:dyDescent="0.25">
      <c r="A57" t="s">
        <v>461</v>
      </c>
      <c r="B57" t="s">
        <v>494</v>
      </c>
      <c r="C57" s="1009">
        <f t="shared" si="0"/>
        <v>45196</v>
      </c>
      <c r="D57" s="2"/>
      <c r="E57">
        <v>1570</v>
      </c>
      <c r="H57" t="e">
        <f>IF($L$1=TRUE,_xlfn.IFNA(INDEX(#REF!,MATCH(WorkingConsolidate!$B57,#REF!,0)),),"")</f>
        <v>#REF!</v>
      </c>
      <c r="I57" t="str">
        <f>IF($M$1=TRUE,_xlfn.IFNA(INDEX(#REF!,MATCH(WorkingConsolidate!$B57,#REF!,0)),""),"")</f>
        <v/>
      </c>
    </row>
    <row r="58" spans="1:9" x14ac:dyDescent="0.25">
      <c r="A58" t="s">
        <v>465</v>
      </c>
      <c r="B58" t="s">
        <v>495</v>
      </c>
      <c r="C58" s="1009">
        <f t="shared" si="0"/>
        <v>45196</v>
      </c>
      <c r="D58" s="2"/>
      <c r="E58">
        <v>1570</v>
      </c>
      <c r="H58" t="e">
        <f>IF($L$1=TRUE,_xlfn.IFNA(INDEX(#REF!,MATCH(WorkingConsolidate!$B58,#REF!,0)),),"")</f>
        <v>#REF!</v>
      </c>
      <c r="I58" t="str">
        <f>IF($M$1=TRUE,_xlfn.IFNA(INDEX(#REF!,MATCH(WorkingConsolidate!$B58,#REF!,0)),""),"")</f>
        <v/>
      </c>
    </row>
    <row r="59" spans="1:9" x14ac:dyDescent="0.25">
      <c r="A59" t="s">
        <v>6</v>
      </c>
      <c r="B59" t="s">
        <v>496</v>
      </c>
      <c r="C59" s="1009">
        <f t="shared" si="0"/>
        <v>45196</v>
      </c>
      <c r="D59" s="2"/>
      <c r="E59">
        <v>1570</v>
      </c>
      <c r="H59" t="e">
        <f>IF($L$1=TRUE,_xlfn.IFNA(INDEX(#REF!,MATCH(WorkingConsolidate!$B59,#REF!,0)),),"")</f>
        <v>#REF!</v>
      </c>
      <c r="I59" t="str">
        <f>IF($M$1=TRUE,_xlfn.IFNA(INDEX(#REF!,MATCH(WorkingConsolidate!$B59,#REF!,0)),""),"")</f>
        <v/>
      </c>
    </row>
    <row r="60" spans="1:9" x14ac:dyDescent="0.25">
      <c r="A60" t="s">
        <v>5</v>
      </c>
      <c r="B60" t="s">
        <v>497</v>
      </c>
      <c r="C60" s="1009">
        <f t="shared" si="0"/>
        <v>45196</v>
      </c>
      <c r="D60" s="2"/>
      <c r="E60">
        <v>1570</v>
      </c>
      <c r="H60" t="e">
        <f>IF($L$1=TRUE,_xlfn.IFNA(INDEX(#REF!,MATCH(WorkingConsolidate!$B60,#REF!,0)),),"")</f>
        <v>#REF!</v>
      </c>
      <c r="I60" t="str">
        <f>IF($M$1=TRUE,_xlfn.IFNA(INDEX(#REF!,MATCH(WorkingConsolidate!$B60,#REF!,0)),""),"")</f>
        <v/>
      </c>
    </row>
    <row r="61" spans="1:9" x14ac:dyDescent="0.25">
      <c r="A61" t="s">
        <v>4</v>
      </c>
      <c r="B61" t="s">
        <v>498</v>
      </c>
      <c r="C61" s="1009">
        <f t="shared" si="0"/>
        <v>45196</v>
      </c>
      <c r="D61" s="2"/>
      <c r="E61">
        <v>1570</v>
      </c>
      <c r="H61" t="e">
        <f>IF($L$1=TRUE,_xlfn.IFNA(INDEX(#REF!,MATCH(WorkingConsolidate!$B61,#REF!,0)),),"")</f>
        <v>#REF!</v>
      </c>
      <c r="I61" t="str">
        <f>IF($M$1=TRUE,_xlfn.IFNA(INDEX(#REF!,MATCH(WorkingConsolidate!$B61,#REF!,0)),""),"")</f>
        <v/>
      </c>
    </row>
    <row r="62" spans="1:9" ht="15" customHeight="1" x14ac:dyDescent="0.25">
      <c r="A62" t="s">
        <v>62</v>
      </c>
      <c r="B62" t="s">
        <v>988</v>
      </c>
      <c r="C62" s="1009">
        <f t="shared" si="0"/>
        <v>45196</v>
      </c>
      <c r="D62" s="2">
        <f>'New Deboning Leg'!$L$8</f>
        <v>0</v>
      </c>
      <c r="E62">
        <v>1570</v>
      </c>
      <c r="F62">
        <f>'New Deboning Leg'!$K$8</f>
        <v>0</v>
      </c>
      <c r="H62" t="s">
        <v>63</v>
      </c>
      <c r="I62" t="s">
        <v>140</v>
      </c>
    </row>
    <row r="63" spans="1:9" ht="15" customHeight="1" x14ac:dyDescent="0.25">
      <c r="A63" t="s">
        <v>65</v>
      </c>
      <c r="B63" t="s">
        <v>101</v>
      </c>
      <c r="C63" s="1009">
        <f t="shared" si="0"/>
        <v>45196</v>
      </c>
      <c r="D63" s="2">
        <f>'New Deboning Leg'!$M$8</f>
        <v>0</v>
      </c>
      <c r="E63">
        <v>1570</v>
      </c>
      <c r="F63">
        <f>'New Deboning Leg'!$K$8</f>
        <v>0</v>
      </c>
      <c r="H63" t="s">
        <v>225</v>
      </c>
      <c r="I63" t="s">
        <v>244</v>
      </c>
    </row>
    <row r="64" spans="1:9" ht="15" customHeight="1" x14ac:dyDescent="0.25">
      <c r="A64" t="s">
        <v>3</v>
      </c>
      <c r="B64" t="s">
        <v>989</v>
      </c>
      <c r="C64" s="1009">
        <f t="shared" si="0"/>
        <v>45196</v>
      </c>
      <c r="D64" s="2">
        <f>'New Deboning Leg'!$Q$8</f>
        <v>0</v>
      </c>
      <c r="E64">
        <v>1570</v>
      </c>
      <c r="H64" t="s">
        <v>58</v>
      </c>
      <c r="I64" t="s">
        <v>1194</v>
      </c>
    </row>
    <row r="65" spans="1:9" ht="15" customHeight="1" x14ac:dyDescent="0.25">
      <c r="A65" t="s">
        <v>5</v>
      </c>
      <c r="B65" t="s">
        <v>990</v>
      </c>
      <c r="C65" s="1009">
        <f t="shared" si="0"/>
        <v>45196</v>
      </c>
      <c r="D65" s="2">
        <f>'New Deboning Leg'!$T$8</f>
        <v>0</v>
      </c>
      <c r="E65">
        <v>1570</v>
      </c>
      <c r="H65" t="s">
        <v>59</v>
      </c>
      <c r="I65" t="s">
        <v>1194</v>
      </c>
    </row>
    <row r="66" spans="1:9" ht="15" customHeight="1" x14ac:dyDescent="0.25">
      <c r="A66" t="s">
        <v>6</v>
      </c>
      <c r="B66" t="s">
        <v>991</v>
      </c>
      <c r="C66" s="1009">
        <f t="shared" si="0"/>
        <v>45196</v>
      </c>
      <c r="D66" s="2">
        <f>'New Deboning Leg'!$R$8</f>
        <v>0</v>
      </c>
      <c r="E66">
        <v>1570</v>
      </c>
      <c r="H66" t="s">
        <v>60</v>
      </c>
      <c r="I66" t="s">
        <v>1194</v>
      </c>
    </row>
    <row r="67" spans="1:9" ht="15" customHeight="1" x14ac:dyDescent="0.25">
      <c r="A67" t="s">
        <v>260</v>
      </c>
      <c r="B67" t="s">
        <v>992</v>
      </c>
      <c r="C67" s="1009">
        <f t="shared" si="0"/>
        <v>45196</v>
      </c>
      <c r="D67" s="2">
        <f>'New Deboning Leg'!S8</f>
        <v>0</v>
      </c>
      <c r="E67">
        <v>1570</v>
      </c>
      <c r="H67" t="s">
        <v>261</v>
      </c>
      <c r="I67" t="s">
        <v>1194</v>
      </c>
    </row>
    <row r="68" spans="1:9" ht="15" customHeight="1" x14ac:dyDescent="0.25">
      <c r="A68" t="s">
        <v>55</v>
      </c>
      <c r="B68" t="s">
        <v>1199</v>
      </c>
      <c r="C68" s="1009">
        <f t="shared" si="0"/>
        <v>45196</v>
      </c>
      <c r="D68" s="2">
        <f>'New Deboning Leg'!P8</f>
        <v>0</v>
      </c>
      <c r="E68">
        <v>1570</v>
      </c>
      <c r="H68" t="s">
        <v>629</v>
      </c>
      <c r="I68" t="s">
        <v>1194</v>
      </c>
    </row>
    <row r="69" spans="1:9" ht="15" customHeight="1" x14ac:dyDescent="0.25">
      <c r="A69" t="s">
        <v>62</v>
      </c>
      <c r="B69" t="s">
        <v>993</v>
      </c>
      <c r="C69" s="1009">
        <f>DeboningDate</f>
        <v>45196</v>
      </c>
      <c r="D69" s="2">
        <f>'New Deboning Leg'!$L$9</f>
        <v>0</v>
      </c>
      <c r="E69">
        <v>1570</v>
      </c>
      <c r="F69">
        <f>'New Deboning Leg'!$K$9</f>
        <v>0</v>
      </c>
      <c r="H69" t="s">
        <v>63</v>
      </c>
      <c r="I69" t="s">
        <v>140</v>
      </c>
    </row>
    <row r="70" spans="1:9" ht="15" customHeight="1" x14ac:dyDescent="0.25">
      <c r="A70" t="s">
        <v>68</v>
      </c>
      <c r="B70" t="s">
        <v>102</v>
      </c>
      <c r="C70" s="1009">
        <f t="shared" si="0"/>
        <v>45196</v>
      </c>
      <c r="D70" s="2">
        <f>'New Deboning Leg'!$M$9</f>
        <v>0</v>
      </c>
      <c r="E70">
        <v>1570</v>
      </c>
      <c r="F70">
        <f>'New Deboning Leg'!$K$9</f>
        <v>0</v>
      </c>
      <c r="H70" t="s">
        <v>69</v>
      </c>
      <c r="I70" t="s">
        <v>244</v>
      </c>
    </row>
    <row r="71" spans="1:9" ht="15" customHeight="1" x14ac:dyDescent="0.25">
      <c r="A71" t="s">
        <v>3</v>
      </c>
      <c r="B71" t="s">
        <v>994</v>
      </c>
      <c r="C71" s="1009">
        <f t="shared" si="0"/>
        <v>45196</v>
      </c>
      <c r="D71" s="2">
        <f>'New Deboning Leg'!Q9</f>
        <v>0</v>
      </c>
      <c r="E71">
        <v>1570</v>
      </c>
      <c r="H71" t="s">
        <v>58</v>
      </c>
      <c r="I71" t="s">
        <v>1194</v>
      </c>
    </row>
    <row r="72" spans="1:9" ht="15" customHeight="1" x14ac:dyDescent="0.25">
      <c r="A72" t="s">
        <v>5</v>
      </c>
      <c r="B72" t="s">
        <v>995</v>
      </c>
      <c r="C72" s="1009">
        <f t="shared" si="0"/>
        <v>45196</v>
      </c>
      <c r="D72" s="2">
        <f>'New Deboning Leg'!T9</f>
        <v>0</v>
      </c>
      <c r="E72">
        <v>1570</v>
      </c>
      <c r="H72" t="s">
        <v>59</v>
      </c>
      <c r="I72" t="s">
        <v>1194</v>
      </c>
    </row>
    <row r="73" spans="1:9" ht="15" customHeight="1" x14ac:dyDescent="0.25">
      <c r="A73" t="s">
        <v>6</v>
      </c>
      <c r="B73" t="s">
        <v>996</v>
      </c>
      <c r="C73" s="1009">
        <f t="shared" si="0"/>
        <v>45196</v>
      </c>
      <c r="D73" s="2">
        <f>'New Deboning Leg'!R9</f>
        <v>0</v>
      </c>
      <c r="E73">
        <v>1570</v>
      </c>
      <c r="H73" t="s">
        <v>60</v>
      </c>
      <c r="I73" t="s">
        <v>1194</v>
      </c>
    </row>
    <row r="74" spans="1:9" ht="15" customHeight="1" x14ac:dyDescent="0.25">
      <c r="A74" t="s">
        <v>260</v>
      </c>
      <c r="B74" t="s">
        <v>997</v>
      </c>
      <c r="C74" s="1009">
        <f t="shared" si="0"/>
        <v>45196</v>
      </c>
      <c r="D74" s="2">
        <f>'New Deboning Leg'!S9</f>
        <v>0</v>
      </c>
      <c r="E74">
        <v>1570</v>
      </c>
      <c r="H74" t="s">
        <v>261</v>
      </c>
      <c r="I74" t="s">
        <v>1194</v>
      </c>
    </row>
    <row r="75" spans="1:9" ht="15" customHeight="1" x14ac:dyDescent="0.25">
      <c r="A75" t="s">
        <v>55</v>
      </c>
      <c r="B75" t="s">
        <v>1200</v>
      </c>
      <c r="C75" s="1009">
        <f t="shared" si="0"/>
        <v>45196</v>
      </c>
      <c r="D75" s="2">
        <f>'New Deboning Leg'!P9</f>
        <v>0</v>
      </c>
      <c r="E75">
        <v>1570</v>
      </c>
      <c r="H75" t="s">
        <v>629</v>
      </c>
      <c r="I75" t="s">
        <v>1194</v>
      </c>
    </row>
    <row r="76" spans="1:9" ht="15" customHeight="1" x14ac:dyDescent="0.25">
      <c r="A76" t="s">
        <v>62</v>
      </c>
      <c r="B76" t="s">
        <v>948</v>
      </c>
      <c r="C76" s="1009">
        <f>DeboningDate</f>
        <v>45196</v>
      </c>
      <c r="D76" s="2">
        <f>'New Deboning Leg'!$L$10</f>
        <v>89.830324909747304</v>
      </c>
      <c r="E76">
        <v>1570</v>
      </c>
      <c r="F76">
        <f>'New Deboning Leg'!$K$10</f>
        <v>10</v>
      </c>
      <c r="H76" t="s">
        <v>63</v>
      </c>
      <c r="I76" t="s">
        <v>140</v>
      </c>
    </row>
    <row r="77" spans="1:9" ht="15" customHeight="1" x14ac:dyDescent="0.25">
      <c r="A77" t="s">
        <v>72</v>
      </c>
      <c r="B77" t="s">
        <v>103</v>
      </c>
      <c r="C77" s="1009">
        <f t="shared" si="0"/>
        <v>45196</v>
      </c>
      <c r="D77" s="2">
        <f>'New Deboning Leg'!$M$10</f>
        <v>50</v>
      </c>
      <c r="E77">
        <v>1570</v>
      </c>
      <c r="F77">
        <f>'New Deboning Leg'!$K$10</f>
        <v>10</v>
      </c>
      <c r="H77" t="s">
        <v>251</v>
      </c>
      <c r="I77" t="s">
        <v>244</v>
      </c>
    </row>
    <row r="78" spans="1:9" ht="15" customHeight="1" x14ac:dyDescent="0.25">
      <c r="A78" t="s">
        <v>3</v>
      </c>
      <c r="B78" t="s">
        <v>949</v>
      </c>
      <c r="C78" s="1009">
        <f t="shared" si="0"/>
        <v>45196</v>
      </c>
      <c r="D78" s="2">
        <f>'New Deboning Leg'!Q10</f>
        <v>11.231077357144192</v>
      </c>
      <c r="E78">
        <v>1570</v>
      </c>
      <c r="H78" t="s">
        <v>58</v>
      </c>
      <c r="I78" t="s">
        <v>1194</v>
      </c>
    </row>
    <row r="79" spans="1:9" ht="15" customHeight="1" x14ac:dyDescent="0.25">
      <c r="A79" t="s">
        <v>5</v>
      </c>
      <c r="B79" t="s">
        <v>950</v>
      </c>
      <c r="C79" s="1009">
        <f t="shared" si="0"/>
        <v>45196</v>
      </c>
      <c r="D79" s="2">
        <f>'New Deboning Leg'!T10</f>
        <v>8.6338541676135687</v>
      </c>
      <c r="E79">
        <v>1570</v>
      </c>
      <c r="H79" t="s">
        <v>59</v>
      </c>
      <c r="I79" t="s">
        <v>1194</v>
      </c>
    </row>
    <row r="80" spans="1:9" ht="15" customHeight="1" x14ac:dyDescent="0.25">
      <c r="A80" t="s">
        <v>55</v>
      </c>
      <c r="B80" t="s">
        <v>951</v>
      </c>
      <c r="C80" s="1009">
        <f t="shared" si="0"/>
        <v>45196</v>
      </c>
      <c r="D80" s="2">
        <f>'New Deboning Leg'!P10</f>
        <v>1.0158188941348434</v>
      </c>
      <c r="E80">
        <v>1570</v>
      </c>
      <c r="H80" t="s">
        <v>629</v>
      </c>
      <c r="I80" t="s">
        <v>1194</v>
      </c>
    </row>
    <row r="81" spans="1:9" ht="15" customHeight="1" x14ac:dyDescent="0.25">
      <c r="A81" t="s">
        <v>6</v>
      </c>
      <c r="B81" t="s">
        <v>952</v>
      </c>
      <c r="C81" s="1009">
        <f t="shared" si="0"/>
        <v>45196</v>
      </c>
      <c r="D81" s="2">
        <f>'New Deboning Leg'!R10</f>
        <v>7.3314735268355165</v>
      </c>
      <c r="E81">
        <v>1570</v>
      </c>
      <c r="H81" t="s">
        <v>60</v>
      </c>
      <c r="I81" t="s">
        <v>1194</v>
      </c>
    </row>
    <row r="82" spans="1:9" ht="15" customHeight="1" x14ac:dyDescent="0.25">
      <c r="A82" t="s">
        <v>260</v>
      </c>
      <c r="B82" t="s">
        <v>953</v>
      </c>
      <c r="C82" s="1009">
        <f t="shared" si="0"/>
        <v>45196</v>
      </c>
      <c r="D82" s="2">
        <f>'New Deboning Leg'!S10</f>
        <v>3.894011717132543</v>
      </c>
      <c r="E82">
        <v>1570</v>
      </c>
      <c r="H82" t="s">
        <v>261</v>
      </c>
      <c r="I82" t="s">
        <v>1194</v>
      </c>
    </row>
    <row r="83" spans="1:9" ht="15" customHeight="1" x14ac:dyDescent="0.25">
      <c r="A83" t="s">
        <v>56</v>
      </c>
      <c r="B83" t="s">
        <v>954</v>
      </c>
      <c r="C83" s="1009">
        <f t="shared" si="0"/>
        <v>45196</v>
      </c>
      <c r="D83" s="2">
        <f>'New Deboning Leg'!U10</f>
        <v>0</v>
      </c>
      <c r="E83">
        <v>1570</v>
      </c>
      <c r="H83" t="s">
        <v>246</v>
      </c>
      <c r="I83" t="s">
        <v>961</v>
      </c>
    </row>
    <row r="84" spans="1:9" ht="15" customHeight="1" x14ac:dyDescent="0.25">
      <c r="A84" t="s">
        <v>62</v>
      </c>
      <c r="B84" t="s">
        <v>902</v>
      </c>
      <c r="C84" s="1009">
        <f t="shared" si="0"/>
        <v>45196</v>
      </c>
      <c r="D84" s="2">
        <f>'New Deboning Leg'!$L$11</f>
        <v>0</v>
      </c>
      <c r="E84">
        <v>1570</v>
      </c>
      <c r="F84">
        <f>'New Deboning Leg'!$K$11</f>
        <v>0</v>
      </c>
      <c r="H84" t="s">
        <v>63</v>
      </c>
      <c r="I84" t="s">
        <v>140</v>
      </c>
    </row>
    <row r="85" spans="1:9" ht="15" customHeight="1" x14ac:dyDescent="0.25">
      <c r="A85" t="s">
        <v>74</v>
      </c>
      <c r="B85" t="s">
        <v>104</v>
      </c>
      <c r="C85" s="1009">
        <f t="shared" si="0"/>
        <v>45196</v>
      </c>
      <c r="D85" s="2">
        <f>'New Deboning Leg'!$M$11</f>
        <v>0</v>
      </c>
      <c r="E85">
        <v>1570</v>
      </c>
      <c r="F85">
        <f>'New Deboning Leg'!$K$11</f>
        <v>0</v>
      </c>
      <c r="H85" t="s">
        <v>75</v>
      </c>
      <c r="I85" t="s">
        <v>244</v>
      </c>
    </row>
    <row r="86" spans="1:9" ht="15" customHeight="1" x14ac:dyDescent="0.25">
      <c r="A86" t="s">
        <v>3</v>
      </c>
      <c r="B86" t="s">
        <v>903</v>
      </c>
      <c r="C86" s="1009">
        <f t="shared" si="0"/>
        <v>45196</v>
      </c>
      <c r="D86" s="2">
        <f>'New Deboning Leg'!Q11</f>
        <v>0</v>
      </c>
      <c r="E86">
        <v>1570</v>
      </c>
      <c r="H86" t="s">
        <v>58</v>
      </c>
      <c r="I86" t="s">
        <v>1194</v>
      </c>
    </row>
    <row r="87" spans="1:9" ht="15" customHeight="1" x14ac:dyDescent="0.25">
      <c r="A87" t="s">
        <v>5</v>
      </c>
      <c r="B87" t="s">
        <v>904</v>
      </c>
      <c r="C87" s="1009">
        <f t="shared" si="0"/>
        <v>45196</v>
      </c>
      <c r="D87" s="2">
        <f>'New Deboning Leg'!T11</f>
        <v>0</v>
      </c>
      <c r="E87">
        <v>1570</v>
      </c>
      <c r="H87" t="s">
        <v>59</v>
      </c>
      <c r="I87" t="s">
        <v>1194</v>
      </c>
    </row>
    <row r="88" spans="1:9" ht="15" customHeight="1" x14ac:dyDescent="0.25">
      <c r="A88" t="s">
        <v>55</v>
      </c>
      <c r="B88" t="s">
        <v>905</v>
      </c>
      <c r="C88" s="1009">
        <f t="shared" si="0"/>
        <v>45196</v>
      </c>
      <c r="D88" s="2">
        <f>'New Deboning Leg'!P11</f>
        <v>0</v>
      </c>
      <c r="E88">
        <v>1570</v>
      </c>
      <c r="H88" t="s">
        <v>629</v>
      </c>
      <c r="I88" t="s">
        <v>1194</v>
      </c>
    </row>
    <row r="89" spans="1:9" ht="15" customHeight="1" x14ac:dyDescent="0.25">
      <c r="A89" t="s">
        <v>6</v>
      </c>
      <c r="B89" t="s">
        <v>906</v>
      </c>
      <c r="C89" s="1009">
        <f t="shared" si="0"/>
        <v>45196</v>
      </c>
      <c r="D89" s="2">
        <f>'New Deboning Leg'!R11</f>
        <v>0</v>
      </c>
      <c r="E89">
        <v>1570</v>
      </c>
      <c r="H89" t="s">
        <v>60</v>
      </c>
      <c r="I89" t="s">
        <v>1194</v>
      </c>
    </row>
    <row r="90" spans="1:9" ht="15" customHeight="1" x14ac:dyDescent="0.25">
      <c r="A90" t="s">
        <v>260</v>
      </c>
      <c r="B90" t="s">
        <v>907</v>
      </c>
      <c r="C90" s="1009">
        <f t="shared" si="0"/>
        <v>45196</v>
      </c>
      <c r="D90" s="2">
        <f>'New Deboning Leg'!S11</f>
        <v>0</v>
      </c>
      <c r="E90">
        <v>1570</v>
      </c>
      <c r="H90" t="s">
        <v>261</v>
      </c>
      <c r="I90" t="s">
        <v>1194</v>
      </c>
    </row>
    <row r="91" spans="1:9" ht="15" customHeight="1" x14ac:dyDescent="0.25">
      <c r="A91" t="s">
        <v>56</v>
      </c>
      <c r="B91" t="s">
        <v>908</v>
      </c>
      <c r="C91" s="1009">
        <f t="shared" si="0"/>
        <v>45196</v>
      </c>
      <c r="D91" s="2">
        <f>'New Deboning Leg'!U11</f>
        <v>0</v>
      </c>
      <c r="E91">
        <v>1570</v>
      </c>
      <c r="H91" t="s">
        <v>246</v>
      </c>
      <c r="I91" t="s">
        <v>961</v>
      </c>
    </row>
    <row r="92" spans="1:9" ht="15" customHeight="1" x14ac:dyDescent="0.25">
      <c r="A92" t="s">
        <v>62</v>
      </c>
      <c r="B92" t="s">
        <v>998</v>
      </c>
      <c r="C92" s="1009">
        <f t="shared" si="0"/>
        <v>45196</v>
      </c>
      <c r="D92" s="2">
        <f>'New Deboning Leg'!$L$12</f>
        <v>0</v>
      </c>
      <c r="E92">
        <v>1570</v>
      </c>
      <c r="F92">
        <f>'New Deboning Leg'!$K$12</f>
        <v>0</v>
      </c>
      <c r="H92" t="s">
        <v>63</v>
      </c>
      <c r="I92" t="s">
        <v>140</v>
      </c>
    </row>
    <row r="93" spans="1:9" ht="15" customHeight="1" x14ac:dyDescent="0.25">
      <c r="A93" t="s">
        <v>78</v>
      </c>
      <c r="B93" t="s">
        <v>105</v>
      </c>
      <c r="C93" s="1009">
        <f t="shared" si="0"/>
        <v>45196</v>
      </c>
      <c r="D93" s="2">
        <f>'New Deboning Leg'!$M$12</f>
        <v>0</v>
      </c>
      <c r="E93">
        <v>1570</v>
      </c>
      <c r="F93">
        <f>'New Deboning Leg'!$K$12</f>
        <v>0</v>
      </c>
      <c r="H93" t="s">
        <v>79</v>
      </c>
      <c r="I93" t="s">
        <v>244</v>
      </c>
    </row>
    <row r="94" spans="1:9" ht="15" customHeight="1" x14ac:dyDescent="0.25">
      <c r="A94" t="s">
        <v>3</v>
      </c>
      <c r="B94" t="s">
        <v>999</v>
      </c>
      <c r="C94" s="1009">
        <f t="shared" si="0"/>
        <v>45196</v>
      </c>
      <c r="D94" s="2">
        <f>'New Deboning Leg'!Q12</f>
        <v>0</v>
      </c>
      <c r="E94">
        <v>1570</v>
      </c>
      <c r="H94" t="s">
        <v>58</v>
      </c>
      <c r="I94" t="s">
        <v>1194</v>
      </c>
    </row>
    <row r="95" spans="1:9" ht="15" customHeight="1" x14ac:dyDescent="0.25">
      <c r="A95" t="s">
        <v>5</v>
      </c>
      <c r="B95" t="s">
        <v>1000</v>
      </c>
      <c r="C95" s="1009">
        <f t="shared" si="0"/>
        <v>45196</v>
      </c>
      <c r="D95" s="2">
        <f>'New Deboning Leg'!T12</f>
        <v>0</v>
      </c>
      <c r="E95">
        <v>1570</v>
      </c>
      <c r="H95" t="s">
        <v>59</v>
      </c>
      <c r="I95" t="s">
        <v>1194</v>
      </c>
    </row>
    <row r="96" spans="1:9" ht="15" customHeight="1" x14ac:dyDescent="0.25">
      <c r="A96" t="s">
        <v>55</v>
      </c>
      <c r="B96" t="s">
        <v>1001</v>
      </c>
      <c r="C96" s="1009">
        <f t="shared" si="0"/>
        <v>45196</v>
      </c>
      <c r="D96" s="2">
        <f>'New Deboning Leg'!P12</f>
        <v>0</v>
      </c>
      <c r="E96">
        <v>1570</v>
      </c>
      <c r="H96" t="s">
        <v>629</v>
      </c>
      <c r="I96" t="s">
        <v>1194</v>
      </c>
    </row>
    <row r="97" spans="1:9" ht="15" customHeight="1" x14ac:dyDescent="0.25">
      <c r="A97" t="s">
        <v>6</v>
      </c>
      <c r="B97" t="s">
        <v>1002</v>
      </c>
      <c r="C97" s="1009">
        <f t="shared" ref="C97:C168" si="1">DeboningDate</f>
        <v>45196</v>
      </c>
      <c r="D97" s="2">
        <f>'New Deboning Leg'!R12</f>
        <v>0</v>
      </c>
      <c r="E97">
        <v>1570</v>
      </c>
      <c r="H97" t="s">
        <v>60</v>
      </c>
      <c r="I97" t="s">
        <v>1194</v>
      </c>
    </row>
    <row r="98" spans="1:9" ht="15" customHeight="1" x14ac:dyDescent="0.25">
      <c r="A98" t="s">
        <v>260</v>
      </c>
      <c r="B98" t="s">
        <v>1003</v>
      </c>
      <c r="C98" s="1009">
        <f t="shared" si="1"/>
        <v>45196</v>
      </c>
      <c r="D98" s="2">
        <f>'New Deboning Leg'!S12</f>
        <v>0</v>
      </c>
      <c r="E98">
        <v>1570</v>
      </c>
      <c r="H98" t="s">
        <v>261</v>
      </c>
      <c r="I98" t="s">
        <v>1194</v>
      </c>
    </row>
    <row r="99" spans="1:9" ht="15" customHeight="1" x14ac:dyDescent="0.25">
      <c r="A99" t="s">
        <v>56</v>
      </c>
      <c r="B99" t="s">
        <v>1004</v>
      </c>
      <c r="C99" s="1009">
        <f t="shared" si="1"/>
        <v>45196</v>
      </c>
      <c r="D99" s="2">
        <f>'New Deboning Leg'!U12</f>
        <v>0</v>
      </c>
      <c r="E99">
        <v>1570</v>
      </c>
      <c r="H99" t="s">
        <v>246</v>
      </c>
      <c r="I99" t="s">
        <v>961</v>
      </c>
    </row>
    <row r="100" spans="1:9" ht="15" customHeight="1" x14ac:dyDescent="0.25">
      <c r="A100" t="s">
        <v>62</v>
      </c>
      <c r="B100" t="s">
        <v>1005</v>
      </c>
      <c r="C100" s="1009">
        <f t="shared" si="1"/>
        <v>45196</v>
      </c>
      <c r="D100" s="2">
        <f>'New Deboning Leg'!$L$13</f>
        <v>916.26931407942254</v>
      </c>
      <c r="E100">
        <v>1570</v>
      </c>
      <c r="F100">
        <f>'New Deboning Leg'!$K$13</f>
        <v>102</v>
      </c>
      <c r="H100" t="s">
        <v>63</v>
      </c>
      <c r="I100" t="s">
        <v>140</v>
      </c>
    </row>
    <row r="101" spans="1:9" ht="15" customHeight="1" x14ac:dyDescent="0.25">
      <c r="A101" t="s">
        <v>81</v>
      </c>
      <c r="B101" t="s">
        <v>106</v>
      </c>
      <c r="C101" s="1009">
        <f t="shared" si="1"/>
        <v>45196</v>
      </c>
      <c r="D101" s="2">
        <f>'New Deboning Leg'!$M$13</f>
        <v>715.7</v>
      </c>
      <c r="E101">
        <v>1570</v>
      </c>
      <c r="F101">
        <f>'New Deboning Leg'!$K$13</f>
        <v>102</v>
      </c>
      <c r="H101" t="s">
        <v>546</v>
      </c>
      <c r="I101" t="s">
        <v>244</v>
      </c>
    </row>
    <row r="102" spans="1:9" ht="15" customHeight="1" x14ac:dyDescent="0.25">
      <c r="A102" t="s">
        <v>3</v>
      </c>
      <c r="B102" t="s">
        <v>1006</v>
      </c>
      <c r="C102" s="1009">
        <f t="shared" si="1"/>
        <v>45196</v>
      </c>
      <c r="D102" s="2">
        <f>'New Deboning Leg'!Q13</f>
        <v>84.423249848557958</v>
      </c>
      <c r="E102">
        <v>1570</v>
      </c>
      <c r="H102" t="s">
        <v>58</v>
      </c>
      <c r="I102" t="s">
        <v>1194</v>
      </c>
    </row>
    <row r="103" spans="1:9" ht="15" customHeight="1" x14ac:dyDescent="0.25">
      <c r="A103" t="s">
        <v>5</v>
      </c>
      <c r="B103" t="s">
        <v>1007</v>
      </c>
      <c r="C103" s="1009">
        <f t="shared" si="1"/>
        <v>45196</v>
      </c>
      <c r="D103" s="2">
        <f>'New Deboning Leg'!T13</f>
        <v>11.344621190952379</v>
      </c>
      <c r="E103">
        <v>1570</v>
      </c>
      <c r="H103" t="s">
        <v>59</v>
      </c>
      <c r="I103" t="s">
        <v>1194</v>
      </c>
    </row>
    <row r="104" spans="1:9" ht="15" customHeight="1" x14ac:dyDescent="0.25">
      <c r="A104" t="s">
        <v>55</v>
      </c>
      <c r="B104" t="s">
        <v>1008</v>
      </c>
      <c r="C104" s="1009">
        <f t="shared" si="1"/>
        <v>45196</v>
      </c>
      <c r="D104" s="2">
        <f>'New Deboning Leg'!P13</f>
        <v>9.5067788615333129</v>
      </c>
      <c r="E104">
        <v>1570</v>
      </c>
      <c r="H104" t="s">
        <v>629</v>
      </c>
      <c r="I104" t="s">
        <v>1194</v>
      </c>
    </row>
    <row r="105" spans="1:9" ht="15" customHeight="1" x14ac:dyDescent="0.25">
      <c r="A105" t="s">
        <v>6</v>
      </c>
      <c r="B105" t="s">
        <v>1009</v>
      </c>
      <c r="C105" s="1009">
        <f t="shared" si="1"/>
        <v>45196</v>
      </c>
      <c r="D105" s="2">
        <f>'New Deboning Leg'!R13</f>
        <v>34.044606215760624</v>
      </c>
      <c r="E105">
        <v>1570</v>
      </c>
      <c r="H105" t="s">
        <v>60</v>
      </c>
      <c r="I105" t="s">
        <v>1194</v>
      </c>
    </row>
    <row r="106" spans="1:9" ht="15" customHeight="1" x14ac:dyDescent="0.25">
      <c r="A106" t="s">
        <v>260</v>
      </c>
      <c r="B106" t="s">
        <v>1010</v>
      </c>
      <c r="C106" s="1009">
        <f t="shared" si="1"/>
        <v>45196</v>
      </c>
      <c r="D106" s="2">
        <f>'New Deboning Leg'!S13</f>
        <v>30.369183336339706</v>
      </c>
      <c r="E106">
        <v>1570</v>
      </c>
      <c r="H106" t="s">
        <v>261</v>
      </c>
      <c r="I106" t="s">
        <v>1194</v>
      </c>
    </row>
    <row r="107" spans="1:9" ht="15" customHeight="1" x14ac:dyDescent="0.25">
      <c r="A107" t="s">
        <v>56</v>
      </c>
      <c r="B107" t="s">
        <v>1011</v>
      </c>
      <c r="C107" s="1009">
        <f t="shared" si="1"/>
        <v>45196</v>
      </c>
      <c r="D107" s="2">
        <f>'New Deboning Leg'!U13</f>
        <v>0</v>
      </c>
      <c r="E107">
        <v>1570</v>
      </c>
      <c r="H107" t="s">
        <v>246</v>
      </c>
      <c r="I107" t="s">
        <v>961</v>
      </c>
    </row>
    <row r="108" spans="1:9" ht="15" customHeight="1" x14ac:dyDescent="0.25">
      <c r="A108" t="s">
        <v>62</v>
      </c>
      <c r="B108" t="s">
        <v>909</v>
      </c>
      <c r="C108" s="1009">
        <f t="shared" si="1"/>
        <v>45196</v>
      </c>
      <c r="D108" s="2">
        <f>'New Deboning Leg'!$L$19</f>
        <v>0</v>
      </c>
      <c r="E108">
        <v>1570</v>
      </c>
      <c r="F108">
        <f>'New Deboning Leg'!$K$19</f>
        <v>0</v>
      </c>
      <c r="H108" t="s">
        <v>63</v>
      </c>
      <c r="I108" t="s">
        <v>140</v>
      </c>
    </row>
    <row r="109" spans="1:9" ht="15" customHeight="1" x14ac:dyDescent="0.25">
      <c r="A109" t="s">
        <v>83</v>
      </c>
      <c r="B109" t="s">
        <v>107</v>
      </c>
      <c r="C109" s="1009">
        <f t="shared" si="1"/>
        <v>45196</v>
      </c>
      <c r="D109" s="2">
        <f>'New Deboning Leg'!$M$19</f>
        <v>0</v>
      </c>
      <c r="E109">
        <v>1570</v>
      </c>
      <c r="F109">
        <f>'New Deboning Leg'!$K$19</f>
        <v>0</v>
      </c>
      <c r="H109" t="s">
        <v>247</v>
      </c>
      <c r="I109" t="s">
        <v>244</v>
      </c>
    </row>
    <row r="110" spans="1:9" ht="15" customHeight="1" x14ac:dyDescent="0.25">
      <c r="A110" t="s">
        <v>3</v>
      </c>
      <c r="B110" t="s">
        <v>910</v>
      </c>
      <c r="C110" s="1009">
        <f t="shared" si="1"/>
        <v>45196</v>
      </c>
      <c r="D110" s="2">
        <f>'New Deboning Leg'!Q19</f>
        <v>0</v>
      </c>
      <c r="E110">
        <v>1570</v>
      </c>
      <c r="H110" t="s">
        <v>58</v>
      </c>
      <c r="I110" t="s">
        <v>1194</v>
      </c>
    </row>
    <row r="111" spans="1:9" ht="15" customHeight="1" x14ac:dyDescent="0.25">
      <c r="A111" t="s">
        <v>5</v>
      </c>
      <c r="B111" t="s">
        <v>911</v>
      </c>
      <c r="C111" s="1009">
        <f t="shared" si="1"/>
        <v>45196</v>
      </c>
      <c r="D111" s="2">
        <f>'New Deboning Leg'!T19</f>
        <v>0</v>
      </c>
      <c r="E111">
        <v>1570</v>
      </c>
      <c r="H111" t="s">
        <v>59</v>
      </c>
      <c r="I111" t="s">
        <v>1194</v>
      </c>
    </row>
    <row r="112" spans="1:9" ht="15" customHeight="1" x14ac:dyDescent="0.25">
      <c r="A112" t="s">
        <v>55</v>
      </c>
      <c r="B112" t="s">
        <v>912</v>
      </c>
      <c r="C112" s="1009">
        <f t="shared" si="1"/>
        <v>45196</v>
      </c>
      <c r="D112" s="2">
        <f>'New Deboning Leg'!P19</f>
        <v>0</v>
      </c>
      <c r="E112">
        <v>1570</v>
      </c>
      <c r="H112" t="s">
        <v>629</v>
      </c>
      <c r="I112" t="s">
        <v>1194</v>
      </c>
    </row>
    <row r="113" spans="1:9" ht="15" customHeight="1" x14ac:dyDescent="0.25">
      <c r="A113" t="s">
        <v>6</v>
      </c>
      <c r="B113" t="s">
        <v>913</v>
      </c>
      <c r="C113" s="1009">
        <f t="shared" si="1"/>
        <v>45196</v>
      </c>
      <c r="D113" s="2">
        <f>'New Deboning Leg'!R19</f>
        <v>0</v>
      </c>
      <c r="E113">
        <v>1570</v>
      </c>
      <c r="H113" t="s">
        <v>60</v>
      </c>
      <c r="I113" t="s">
        <v>1194</v>
      </c>
    </row>
    <row r="114" spans="1:9" ht="15" customHeight="1" x14ac:dyDescent="0.25">
      <c r="A114" t="s">
        <v>260</v>
      </c>
      <c r="B114" t="s">
        <v>914</v>
      </c>
      <c r="C114" s="1009">
        <f t="shared" si="1"/>
        <v>45196</v>
      </c>
      <c r="D114" s="2">
        <f>'New Deboning Leg'!S19</f>
        <v>0</v>
      </c>
      <c r="E114">
        <v>1570</v>
      </c>
      <c r="H114" t="s">
        <v>261</v>
      </c>
      <c r="I114" t="s">
        <v>1194</v>
      </c>
    </row>
    <row r="115" spans="1:9" ht="15" customHeight="1" x14ac:dyDescent="0.25">
      <c r="A115" t="s">
        <v>56</v>
      </c>
      <c r="B115" t="s">
        <v>915</v>
      </c>
      <c r="C115" s="1009">
        <f t="shared" si="1"/>
        <v>45196</v>
      </c>
      <c r="D115" s="2">
        <f>'New Deboning Leg'!U19</f>
        <v>0</v>
      </c>
      <c r="E115">
        <v>1570</v>
      </c>
      <c r="H115" t="s">
        <v>246</v>
      </c>
      <c r="I115" t="s">
        <v>961</v>
      </c>
    </row>
    <row r="116" spans="1:9" ht="15" customHeight="1" x14ac:dyDescent="0.25">
      <c r="A116" s="24" t="s">
        <v>62</v>
      </c>
      <c r="B116" s="24" t="s">
        <v>1012</v>
      </c>
      <c r="C116" s="1010">
        <f t="shared" si="1"/>
        <v>45196</v>
      </c>
      <c r="D116" s="896">
        <f>'New Deboning Leg'!$L$20</f>
        <v>476.10072202166072</v>
      </c>
      <c r="E116" s="24">
        <v>1570</v>
      </c>
      <c r="F116" s="24">
        <f>'New Deboning Leg'!$K$20</f>
        <v>53</v>
      </c>
      <c r="G116" s="24"/>
      <c r="H116" s="24" t="s">
        <v>63</v>
      </c>
      <c r="I116" s="24" t="s">
        <v>140</v>
      </c>
    </row>
    <row r="117" spans="1:9" ht="15" customHeight="1" x14ac:dyDescent="0.25">
      <c r="A117" s="24" t="s">
        <v>83</v>
      </c>
      <c r="B117" s="24" t="s">
        <v>590</v>
      </c>
      <c r="C117" s="1010">
        <f t="shared" si="1"/>
        <v>45196</v>
      </c>
      <c r="D117" s="896">
        <f>'New Deboning Leg'!$M$20</f>
        <v>157.9</v>
      </c>
      <c r="E117" s="24">
        <v>1570</v>
      </c>
      <c r="F117" s="24">
        <f>'New Deboning Leg'!$K$20</f>
        <v>53</v>
      </c>
      <c r="G117" s="24"/>
      <c r="H117" s="24" t="s">
        <v>247</v>
      </c>
      <c r="I117" s="24" t="s">
        <v>244</v>
      </c>
    </row>
    <row r="118" spans="1:9" ht="15" customHeight="1" x14ac:dyDescent="0.25">
      <c r="A118" s="24" t="s">
        <v>3</v>
      </c>
      <c r="B118" s="24" t="s">
        <v>1013</v>
      </c>
      <c r="C118" s="1010">
        <f t="shared" si="1"/>
        <v>45196</v>
      </c>
      <c r="D118" s="896">
        <f>'New Deboning Leg'!$Q$20</f>
        <v>172.05437782492012</v>
      </c>
      <c r="E118" s="24">
        <v>1570</v>
      </c>
      <c r="F118" s="24"/>
      <c r="G118" s="24"/>
      <c r="H118" s="24" t="s">
        <v>58</v>
      </c>
      <c r="I118" s="24" t="s">
        <v>1194</v>
      </c>
    </row>
    <row r="119" spans="1:9" ht="15" customHeight="1" x14ac:dyDescent="0.25">
      <c r="A119" s="24" t="s">
        <v>5</v>
      </c>
      <c r="B119" s="24" t="s">
        <v>1014</v>
      </c>
      <c r="C119" s="1010">
        <f t="shared" si="1"/>
        <v>45196</v>
      </c>
      <c r="D119" s="896">
        <f>'New Deboning Leg'!$R$20</f>
        <v>35.232165134685211</v>
      </c>
      <c r="E119" s="24">
        <v>1570</v>
      </c>
      <c r="F119" s="24"/>
      <c r="G119" s="24"/>
      <c r="H119" s="24" t="s">
        <v>59</v>
      </c>
      <c r="I119" s="24" t="s">
        <v>1194</v>
      </c>
    </row>
    <row r="120" spans="1:9" ht="15" customHeight="1" x14ac:dyDescent="0.25">
      <c r="A120" s="24" t="s">
        <v>6</v>
      </c>
      <c r="B120" s="24" t="s">
        <v>1015</v>
      </c>
      <c r="C120" s="1010">
        <f t="shared" si="1"/>
        <v>45196</v>
      </c>
      <c r="D120" s="896">
        <f>'New Deboning Leg'!$S$20</f>
        <v>21.379550577237005</v>
      </c>
      <c r="E120" s="24">
        <v>1570</v>
      </c>
      <c r="F120" s="24"/>
      <c r="G120" s="24"/>
      <c r="H120" s="24" t="s">
        <v>60</v>
      </c>
      <c r="I120" s="24" t="s">
        <v>1194</v>
      </c>
    </row>
    <row r="121" spans="1:9" ht="15" customHeight="1" x14ac:dyDescent="0.25">
      <c r="A121" t="s">
        <v>62</v>
      </c>
      <c r="B121" t="s">
        <v>1016</v>
      </c>
      <c r="C121" s="1009">
        <f t="shared" si="1"/>
        <v>45196</v>
      </c>
      <c r="D121" s="2">
        <f>'New Deboning Leg'!$L$14</f>
        <v>0</v>
      </c>
      <c r="E121">
        <v>1570</v>
      </c>
      <c r="F121">
        <f>'New Deboning Leg'!$K$14</f>
        <v>0</v>
      </c>
      <c r="H121" t="s">
        <v>63</v>
      </c>
      <c r="I121" t="s">
        <v>140</v>
      </c>
    </row>
    <row r="122" spans="1:9" ht="15" customHeight="1" x14ac:dyDescent="0.25">
      <c r="A122" t="s">
        <v>86</v>
      </c>
      <c r="B122" t="s">
        <v>589</v>
      </c>
      <c r="C122" s="1009">
        <f t="shared" si="1"/>
        <v>45196</v>
      </c>
      <c r="D122" s="2">
        <f>'New Deboning Leg'!$M$14</f>
        <v>0</v>
      </c>
      <c r="E122">
        <v>1570</v>
      </c>
      <c r="F122">
        <f>'New Deboning Leg'!$K$14</f>
        <v>0</v>
      </c>
      <c r="H122" t="s">
        <v>87</v>
      </c>
      <c r="I122" t="s">
        <v>244</v>
      </c>
    </row>
    <row r="123" spans="1:9" ht="15" customHeight="1" x14ac:dyDescent="0.25">
      <c r="A123" t="s">
        <v>3</v>
      </c>
      <c r="B123" t="s">
        <v>1017</v>
      </c>
      <c r="C123" s="1009">
        <f t="shared" si="1"/>
        <v>45196</v>
      </c>
      <c r="D123" s="2">
        <f>'New Deboning Leg'!Q14</f>
        <v>0</v>
      </c>
      <c r="E123">
        <v>1570</v>
      </c>
      <c r="H123" t="s">
        <v>58</v>
      </c>
      <c r="I123" t="s">
        <v>1194</v>
      </c>
    </row>
    <row r="124" spans="1:9" ht="15" customHeight="1" x14ac:dyDescent="0.25">
      <c r="A124" t="s">
        <v>5</v>
      </c>
      <c r="B124" t="s">
        <v>1018</v>
      </c>
      <c r="C124" s="1009">
        <f t="shared" si="1"/>
        <v>45196</v>
      </c>
      <c r="D124" s="2">
        <f>'New Deboning Leg'!T14</f>
        <v>0</v>
      </c>
      <c r="E124">
        <v>1570</v>
      </c>
      <c r="H124" t="s">
        <v>59</v>
      </c>
      <c r="I124" t="s">
        <v>1194</v>
      </c>
    </row>
    <row r="125" spans="1:9" ht="15" customHeight="1" x14ac:dyDescent="0.25">
      <c r="A125" t="s">
        <v>55</v>
      </c>
      <c r="B125" t="s">
        <v>1019</v>
      </c>
      <c r="C125" s="1009">
        <f t="shared" si="1"/>
        <v>45196</v>
      </c>
      <c r="D125" s="2">
        <f>'New Deboning Leg'!P14</f>
        <v>0</v>
      </c>
      <c r="E125">
        <v>1570</v>
      </c>
      <c r="H125" t="s">
        <v>629</v>
      </c>
      <c r="I125" t="s">
        <v>1194</v>
      </c>
    </row>
    <row r="126" spans="1:9" ht="15" customHeight="1" x14ac:dyDescent="0.25">
      <c r="A126" t="s">
        <v>6</v>
      </c>
      <c r="B126" t="s">
        <v>1020</v>
      </c>
      <c r="C126" s="1009">
        <f t="shared" si="1"/>
        <v>45196</v>
      </c>
      <c r="D126" s="2">
        <f>'New Deboning Leg'!R14</f>
        <v>0</v>
      </c>
      <c r="E126">
        <v>1570</v>
      </c>
      <c r="H126" t="s">
        <v>60</v>
      </c>
      <c r="I126" t="s">
        <v>1194</v>
      </c>
    </row>
    <row r="127" spans="1:9" ht="15" customHeight="1" x14ac:dyDescent="0.25">
      <c r="A127" t="s">
        <v>260</v>
      </c>
      <c r="B127" t="s">
        <v>1021</v>
      </c>
      <c r="C127" s="1009">
        <f t="shared" si="1"/>
        <v>45196</v>
      </c>
      <c r="D127" s="2">
        <f>'New Deboning Leg'!S14</f>
        <v>0</v>
      </c>
      <c r="E127">
        <v>1570</v>
      </c>
      <c r="H127" t="s">
        <v>261</v>
      </c>
      <c r="I127" t="s">
        <v>1194</v>
      </c>
    </row>
    <row r="128" spans="1:9" ht="15" customHeight="1" x14ac:dyDescent="0.25">
      <c r="A128" t="s">
        <v>56</v>
      </c>
      <c r="B128" t="s">
        <v>1022</v>
      </c>
      <c r="C128" s="1009">
        <f t="shared" si="1"/>
        <v>45196</v>
      </c>
      <c r="D128" s="2">
        <f>'New Deboning Leg'!U14</f>
        <v>0</v>
      </c>
      <c r="E128">
        <v>1570</v>
      </c>
      <c r="H128" t="s">
        <v>246</v>
      </c>
      <c r="I128" t="s">
        <v>140</v>
      </c>
    </row>
    <row r="129" spans="1:9" ht="15" customHeight="1" x14ac:dyDescent="0.25">
      <c r="A129" t="s">
        <v>62</v>
      </c>
      <c r="B129" t="s">
        <v>1023</v>
      </c>
      <c r="C129" s="1009">
        <f t="shared" si="1"/>
        <v>45196</v>
      </c>
      <c r="D129" s="2">
        <f>'New Deboning Leg'!$L$15</f>
        <v>0</v>
      </c>
      <c r="E129">
        <v>1570</v>
      </c>
      <c r="F129">
        <f>'New Deboning Leg'!$K$15</f>
        <v>0</v>
      </c>
      <c r="H129" t="s">
        <v>63</v>
      </c>
      <c r="I129" t="s">
        <v>140</v>
      </c>
    </row>
    <row r="130" spans="1:9" ht="15" customHeight="1" x14ac:dyDescent="0.25">
      <c r="A130" t="s">
        <v>89</v>
      </c>
      <c r="B130" t="s">
        <v>109</v>
      </c>
      <c r="C130" s="1009">
        <f t="shared" si="1"/>
        <v>45196</v>
      </c>
      <c r="D130" s="2">
        <f>'New Deboning Leg'!$M$15</f>
        <v>0</v>
      </c>
      <c r="E130">
        <v>1570</v>
      </c>
      <c r="F130">
        <f>'New Deboning Leg'!$K$15</f>
        <v>0</v>
      </c>
      <c r="H130" t="s">
        <v>90</v>
      </c>
      <c r="I130" t="s">
        <v>244</v>
      </c>
    </row>
    <row r="131" spans="1:9" ht="15" customHeight="1" x14ac:dyDescent="0.25">
      <c r="A131" t="s">
        <v>3</v>
      </c>
      <c r="B131" t="s">
        <v>1024</v>
      </c>
      <c r="C131" s="1009">
        <f t="shared" si="1"/>
        <v>45196</v>
      </c>
      <c r="D131" s="2">
        <f>'New Deboning Leg'!Q15</f>
        <v>0</v>
      </c>
      <c r="E131">
        <v>1570</v>
      </c>
      <c r="H131" t="s">
        <v>58</v>
      </c>
      <c r="I131" t="s">
        <v>1194</v>
      </c>
    </row>
    <row r="132" spans="1:9" ht="15" customHeight="1" x14ac:dyDescent="0.25">
      <c r="A132" t="s">
        <v>5</v>
      </c>
      <c r="B132" t="s">
        <v>1025</v>
      </c>
      <c r="C132" s="1009">
        <f t="shared" si="1"/>
        <v>45196</v>
      </c>
      <c r="D132" s="2">
        <f>'New Deboning Leg'!T15</f>
        <v>0</v>
      </c>
      <c r="E132">
        <v>1570</v>
      </c>
      <c r="H132" t="s">
        <v>59</v>
      </c>
      <c r="I132" t="s">
        <v>1194</v>
      </c>
    </row>
    <row r="133" spans="1:9" ht="15" customHeight="1" x14ac:dyDescent="0.25">
      <c r="A133" t="s">
        <v>55</v>
      </c>
      <c r="B133" t="s">
        <v>1026</v>
      </c>
      <c r="C133" s="1009">
        <f t="shared" si="1"/>
        <v>45196</v>
      </c>
      <c r="D133" s="2">
        <f>'New Deboning Leg'!P15</f>
        <v>0</v>
      </c>
      <c r="E133">
        <v>1570</v>
      </c>
      <c r="H133" t="s">
        <v>629</v>
      </c>
      <c r="I133" t="s">
        <v>1194</v>
      </c>
    </row>
    <row r="134" spans="1:9" ht="15" customHeight="1" x14ac:dyDescent="0.25">
      <c r="A134" t="s">
        <v>6</v>
      </c>
      <c r="B134" t="s">
        <v>1027</v>
      </c>
      <c r="C134" s="1009">
        <f t="shared" si="1"/>
        <v>45196</v>
      </c>
      <c r="D134" s="2">
        <f>'New Deboning Leg'!R15</f>
        <v>0</v>
      </c>
      <c r="E134">
        <v>1570</v>
      </c>
      <c r="H134" t="s">
        <v>60</v>
      </c>
      <c r="I134" t="s">
        <v>140</v>
      </c>
    </row>
    <row r="135" spans="1:9" ht="15" customHeight="1" x14ac:dyDescent="0.25">
      <c r="A135" t="s">
        <v>260</v>
      </c>
      <c r="B135" t="s">
        <v>1028</v>
      </c>
      <c r="C135" s="1009">
        <f t="shared" si="1"/>
        <v>45196</v>
      </c>
      <c r="D135" s="2">
        <f>'New Deboning Leg'!S15</f>
        <v>0</v>
      </c>
      <c r="E135">
        <v>1570</v>
      </c>
      <c r="H135" t="s">
        <v>261</v>
      </c>
      <c r="I135" t="s">
        <v>1194</v>
      </c>
    </row>
    <row r="136" spans="1:9" ht="15" customHeight="1" x14ac:dyDescent="0.25">
      <c r="A136" t="s">
        <v>56</v>
      </c>
      <c r="B136" t="s">
        <v>1029</v>
      </c>
      <c r="C136" s="1009">
        <f t="shared" si="1"/>
        <v>45196</v>
      </c>
      <c r="D136" s="2">
        <f>'New Deboning Leg'!U15</f>
        <v>0</v>
      </c>
      <c r="E136">
        <v>1570</v>
      </c>
      <c r="H136" t="s">
        <v>246</v>
      </c>
      <c r="I136" t="s">
        <v>961</v>
      </c>
    </row>
    <row r="137" spans="1:9" ht="15" customHeight="1" x14ac:dyDescent="0.25">
      <c r="A137" t="s">
        <v>62</v>
      </c>
      <c r="B137" t="s">
        <v>1030</v>
      </c>
      <c r="C137" s="1009">
        <f t="shared" si="1"/>
        <v>45196</v>
      </c>
      <c r="D137" s="2">
        <f>'New Deboning Leg'!$L$16</f>
        <v>179.66064981949461</v>
      </c>
      <c r="E137">
        <v>1570</v>
      </c>
      <c r="F137">
        <f>'New Deboning Leg'!$K$16</f>
        <v>20</v>
      </c>
      <c r="H137" t="s">
        <v>63</v>
      </c>
      <c r="I137" t="s">
        <v>140</v>
      </c>
    </row>
    <row r="138" spans="1:9" ht="15" customHeight="1" x14ac:dyDescent="0.25">
      <c r="A138" t="s">
        <v>98</v>
      </c>
      <c r="B138" t="s">
        <v>500</v>
      </c>
      <c r="C138" s="1009">
        <f t="shared" si="1"/>
        <v>45196</v>
      </c>
      <c r="D138" s="2">
        <f>'New Deboning Leg'!$M$16</f>
        <v>103.9</v>
      </c>
      <c r="E138">
        <v>1570</v>
      </c>
      <c r="F138">
        <f>'New Deboning Leg'!$K$16</f>
        <v>20</v>
      </c>
      <c r="H138" t="s">
        <v>99</v>
      </c>
      <c r="I138" t="s">
        <v>244</v>
      </c>
    </row>
    <row r="139" spans="1:9" ht="15" customHeight="1" x14ac:dyDescent="0.25">
      <c r="A139" t="s">
        <v>3</v>
      </c>
      <c r="B139" t="s">
        <v>1031</v>
      </c>
      <c r="C139" s="1009">
        <f t="shared" si="1"/>
        <v>45196</v>
      </c>
      <c r="D139" s="2">
        <f>'New Deboning Leg'!Q16</f>
        <v>27.291845414518029</v>
      </c>
      <c r="E139">
        <v>1570</v>
      </c>
      <c r="H139" t="s">
        <v>58</v>
      </c>
      <c r="I139" t="s">
        <v>1194</v>
      </c>
    </row>
    <row r="140" spans="1:9" ht="15" customHeight="1" x14ac:dyDescent="0.25">
      <c r="A140" t="s">
        <v>5</v>
      </c>
      <c r="B140" t="s">
        <v>1032</v>
      </c>
      <c r="C140" s="1009">
        <f t="shared" si="1"/>
        <v>45196</v>
      </c>
      <c r="D140" s="2">
        <f>'New Deboning Leg'!T16</f>
        <v>3.0056933568715642</v>
      </c>
      <c r="E140">
        <v>1570</v>
      </c>
      <c r="H140" t="s">
        <v>59</v>
      </c>
      <c r="I140" t="s">
        <v>1194</v>
      </c>
    </row>
    <row r="141" spans="1:9" ht="15" customHeight="1" x14ac:dyDescent="0.25">
      <c r="A141" t="s">
        <v>55</v>
      </c>
      <c r="B141" t="s">
        <v>1033</v>
      </c>
      <c r="C141" s="1009">
        <f t="shared" si="1"/>
        <v>45196</v>
      </c>
      <c r="D141" s="2">
        <f>'New Deboning Leg'!P16</f>
        <v>2.3298598489331273</v>
      </c>
      <c r="E141">
        <v>1570</v>
      </c>
      <c r="H141" t="s">
        <v>629</v>
      </c>
      <c r="I141" t="s">
        <v>1194</v>
      </c>
    </row>
    <row r="142" spans="1:9" ht="15" customHeight="1" x14ac:dyDescent="0.25">
      <c r="A142" t="s">
        <v>6</v>
      </c>
      <c r="B142" t="s">
        <v>1034</v>
      </c>
      <c r="C142" s="1009">
        <f t="shared" si="1"/>
        <v>45196</v>
      </c>
      <c r="D142" s="2">
        <f>'New Deboning Leg'!R16</f>
        <v>7.5464027181759725</v>
      </c>
      <c r="E142">
        <v>1570</v>
      </c>
      <c r="H142" t="s">
        <v>60</v>
      </c>
      <c r="I142" t="s">
        <v>1194</v>
      </c>
    </row>
    <row r="143" spans="1:9" ht="15" customHeight="1" x14ac:dyDescent="0.25">
      <c r="A143" t="s">
        <v>260</v>
      </c>
      <c r="B143" t="s">
        <v>1035</v>
      </c>
      <c r="C143" s="1009">
        <f t="shared" si="1"/>
        <v>45196</v>
      </c>
      <c r="D143" s="2">
        <f>'New Deboning Leg'!S16</f>
        <v>8.3834380699122626</v>
      </c>
      <c r="E143">
        <v>1570</v>
      </c>
      <c r="H143" t="s">
        <v>261</v>
      </c>
      <c r="I143" t="s">
        <v>1194</v>
      </c>
    </row>
    <row r="144" spans="1:9" ht="15" customHeight="1" x14ac:dyDescent="0.25">
      <c r="A144" t="s">
        <v>56</v>
      </c>
      <c r="B144" t="s">
        <v>1036</v>
      </c>
      <c r="C144" s="1009">
        <f t="shared" si="1"/>
        <v>45196</v>
      </c>
      <c r="D144" s="2">
        <f>'New Deboning Leg'!U16</f>
        <v>0</v>
      </c>
      <c r="E144">
        <v>1570</v>
      </c>
      <c r="H144" t="s">
        <v>246</v>
      </c>
      <c r="I144" t="s">
        <v>961</v>
      </c>
    </row>
    <row r="145" spans="1:9" ht="15" customHeight="1" x14ac:dyDescent="0.25">
      <c r="A145" t="s">
        <v>62</v>
      </c>
      <c r="B145" t="s">
        <v>1037</v>
      </c>
      <c r="C145" s="1009">
        <f t="shared" si="1"/>
        <v>45196</v>
      </c>
      <c r="D145" s="2">
        <f>'New Deboning Leg'!$L$17</f>
        <v>0</v>
      </c>
      <c r="E145">
        <v>1570</v>
      </c>
      <c r="F145">
        <f>'New Deboning Leg'!$K$17</f>
        <v>0</v>
      </c>
      <c r="H145" t="s">
        <v>63</v>
      </c>
      <c r="I145" t="s">
        <v>140</v>
      </c>
    </row>
    <row r="146" spans="1:9" ht="15" customHeight="1" x14ac:dyDescent="0.25">
      <c r="A146" t="s">
        <v>95</v>
      </c>
      <c r="B146" t="s">
        <v>592</v>
      </c>
      <c r="C146" s="1009">
        <f t="shared" si="1"/>
        <v>45196</v>
      </c>
      <c r="D146" s="2">
        <f>'New Deboning Leg'!$M$17</f>
        <v>0</v>
      </c>
      <c r="E146">
        <v>1570</v>
      </c>
      <c r="F146">
        <f>'New Deboning Leg'!$K$17</f>
        <v>0</v>
      </c>
      <c r="H146" t="s">
        <v>96</v>
      </c>
      <c r="I146" t="s">
        <v>244</v>
      </c>
    </row>
    <row r="147" spans="1:9" ht="15" customHeight="1" x14ac:dyDescent="0.25">
      <c r="A147" t="s">
        <v>3</v>
      </c>
      <c r="B147" t="s">
        <v>1038</v>
      </c>
      <c r="C147" s="1009">
        <f t="shared" si="1"/>
        <v>45196</v>
      </c>
      <c r="D147" s="2">
        <f>'New Deboning Leg'!Q17</f>
        <v>0</v>
      </c>
      <c r="E147">
        <v>1570</v>
      </c>
      <c r="H147" t="s">
        <v>58</v>
      </c>
      <c r="I147" t="s">
        <v>1194</v>
      </c>
    </row>
    <row r="148" spans="1:9" ht="15" customHeight="1" x14ac:dyDescent="0.25">
      <c r="A148" t="s">
        <v>5</v>
      </c>
      <c r="B148" t="s">
        <v>1039</v>
      </c>
      <c r="C148" s="1009">
        <f t="shared" si="1"/>
        <v>45196</v>
      </c>
      <c r="D148" s="2">
        <f>'New Deboning Leg'!T17</f>
        <v>0</v>
      </c>
      <c r="E148">
        <v>1570</v>
      </c>
      <c r="H148" t="s">
        <v>59</v>
      </c>
      <c r="I148" t="s">
        <v>1194</v>
      </c>
    </row>
    <row r="149" spans="1:9" ht="15" customHeight="1" x14ac:dyDescent="0.25">
      <c r="A149" t="s">
        <v>6</v>
      </c>
      <c r="B149" t="s">
        <v>1040</v>
      </c>
      <c r="C149" s="1009">
        <f t="shared" si="1"/>
        <v>45196</v>
      </c>
      <c r="D149" s="2">
        <f>'New Deboning Leg'!R17</f>
        <v>0</v>
      </c>
      <c r="E149">
        <v>1570</v>
      </c>
      <c r="H149" t="s">
        <v>60</v>
      </c>
      <c r="I149" t="s">
        <v>1194</v>
      </c>
    </row>
    <row r="150" spans="1:9" ht="15" customHeight="1" x14ac:dyDescent="0.25">
      <c r="A150" t="s">
        <v>260</v>
      </c>
      <c r="B150" t="s">
        <v>1041</v>
      </c>
      <c r="C150" s="1009">
        <f t="shared" si="1"/>
        <v>45196</v>
      </c>
      <c r="D150" s="2">
        <f>'New Deboning Leg'!S17</f>
        <v>0</v>
      </c>
      <c r="E150">
        <v>1570</v>
      </c>
      <c r="H150" t="s">
        <v>261</v>
      </c>
      <c r="I150" t="s">
        <v>1194</v>
      </c>
    </row>
    <row r="151" spans="1:9" ht="15" customHeight="1" x14ac:dyDescent="0.25">
      <c r="A151" t="s">
        <v>56</v>
      </c>
      <c r="B151" t="s">
        <v>1042</v>
      </c>
      <c r="C151" s="1009">
        <f t="shared" si="1"/>
        <v>45196</v>
      </c>
      <c r="D151" s="2">
        <f>'New Deboning Leg'!U17</f>
        <v>0</v>
      </c>
      <c r="E151">
        <v>1570</v>
      </c>
      <c r="H151" t="s">
        <v>246</v>
      </c>
      <c r="I151" t="s">
        <v>961</v>
      </c>
    </row>
    <row r="152" spans="1:9" ht="15" customHeight="1" x14ac:dyDescent="0.25">
      <c r="A152" t="s">
        <v>62</v>
      </c>
      <c r="B152" t="s">
        <v>955</v>
      </c>
      <c r="C152" s="1009">
        <f t="shared" si="1"/>
        <v>45196</v>
      </c>
      <c r="D152" s="2">
        <f>'New Deboning Leg'!$L$18</f>
        <v>0</v>
      </c>
      <c r="E152">
        <v>1570</v>
      </c>
      <c r="F152">
        <f>'New Deboning Leg'!$K$18</f>
        <v>0</v>
      </c>
      <c r="H152" t="s">
        <v>63</v>
      </c>
      <c r="I152" t="s">
        <v>140</v>
      </c>
    </row>
    <row r="153" spans="1:9" ht="15" customHeight="1" x14ac:dyDescent="0.25">
      <c r="A153" t="s">
        <v>257</v>
      </c>
      <c r="B153" t="s">
        <v>591</v>
      </c>
      <c r="C153" s="1009">
        <f t="shared" si="1"/>
        <v>45196</v>
      </c>
      <c r="D153" s="2">
        <f>'New Deboning Leg'!$M$18</f>
        <v>0</v>
      </c>
      <c r="E153">
        <v>1570</v>
      </c>
      <c r="F153">
        <f>'New Deboning Leg'!$K$18</f>
        <v>0</v>
      </c>
      <c r="H153" t="s">
        <v>549</v>
      </c>
      <c r="I153" t="s">
        <v>244</v>
      </c>
    </row>
    <row r="154" spans="1:9" ht="15" customHeight="1" x14ac:dyDescent="0.25">
      <c r="A154" t="s">
        <v>3</v>
      </c>
      <c r="B154" t="s">
        <v>956</v>
      </c>
      <c r="C154" s="1009">
        <f t="shared" si="1"/>
        <v>45196</v>
      </c>
      <c r="D154" s="2">
        <f>'New Deboning Leg'!Q18</f>
        <v>0</v>
      </c>
      <c r="E154">
        <v>1570</v>
      </c>
      <c r="H154" t="s">
        <v>58</v>
      </c>
      <c r="I154" t="s">
        <v>1194</v>
      </c>
    </row>
    <row r="155" spans="1:9" ht="15" customHeight="1" x14ac:dyDescent="0.25">
      <c r="A155" t="s">
        <v>5</v>
      </c>
      <c r="B155" t="s">
        <v>957</v>
      </c>
      <c r="C155" s="1009">
        <f t="shared" si="1"/>
        <v>45196</v>
      </c>
      <c r="D155" s="2">
        <f>'New Deboning Leg'!T18</f>
        <v>0</v>
      </c>
      <c r="E155">
        <v>1570</v>
      </c>
      <c r="H155" t="s">
        <v>59</v>
      </c>
      <c r="I155" t="s">
        <v>1194</v>
      </c>
    </row>
    <row r="156" spans="1:9" ht="15" customHeight="1" x14ac:dyDescent="0.25">
      <c r="A156" t="s">
        <v>55</v>
      </c>
      <c r="B156" t="s">
        <v>1043</v>
      </c>
      <c r="C156" s="1009">
        <f t="shared" si="1"/>
        <v>45196</v>
      </c>
      <c r="D156" s="2">
        <f>'New Deboning Leg'!P18</f>
        <v>0</v>
      </c>
      <c r="E156">
        <v>1570</v>
      </c>
      <c r="H156" t="s">
        <v>629</v>
      </c>
      <c r="I156" t="s">
        <v>1194</v>
      </c>
    </row>
    <row r="157" spans="1:9" ht="15" customHeight="1" x14ac:dyDescent="0.25">
      <c r="A157" t="s">
        <v>6</v>
      </c>
      <c r="B157" t="s">
        <v>958</v>
      </c>
      <c r="C157" s="1009">
        <f t="shared" si="1"/>
        <v>45196</v>
      </c>
      <c r="D157" s="2">
        <f>'New Deboning Leg'!R18</f>
        <v>0</v>
      </c>
      <c r="E157">
        <v>1570</v>
      </c>
      <c r="H157" t="s">
        <v>60</v>
      </c>
      <c r="I157" t="s">
        <v>1194</v>
      </c>
    </row>
    <row r="158" spans="1:9" ht="15" customHeight="1" x14ac:dyDescent="0.25">
      <c r="A158" t="s">
        <v>260</v>
      </c>
      <c r="B158" t="s">
        <v>959</v>
      </c>
      <c r="C158" s="1009">
        <f t="shared" si="1"/>
        <v>45196</v>
      </c>
      <c r="D158" s="2">
        <f>'New Deboning Leg'!S18</f>
        <v>0</v>
      </c>
      <c r="E158">
        <v>1570</v>
      </c>
      <c r="H158" t="s">
        <v>261</v>
      </c>
      <c r="I158" t="s">
        <v>1194</v>
      </c>
    </row>
    <row r="159" spans="1:9" ht="15" customHeight="1" x14ac:dyDescent="0.25">
      <c r="A159" t="s">
        <v>56</v>
      </c>
      <c r="B159" t="s">
        <v>960</v>
      </c>
      <c r="C159" s="1009">
        <f t="shared" si="1"/>
        <v>45196</v>
      </c>
      <c r="D159" s="2">
        <f>'New Deboning Leg'!U18</f>
        <v>0</v>
      </c>
      <c r="E159">
        <v>1570</v>
      </c>
      <c r="H159" t="s">
        <v>246</v>
      </c>
      <c r="I159" t="s">
        <v>961</v>
      </c>
    </row>
    <row r="160" spans="1:9" ht="15" customHeight="1" x14ac:dyDescent="0.25">
      <c r="A160" t="s">
        <v>45</v>
      </c>
      <c r="B160" t="s">
        <v>1044</v>
      </c>
      <c r="C160" s="1009">
        <f t="shared" si="1"/>
        <v>45196</v>
      </c>
      <c r="D160" s="2">
        <f>'New Deboning Shoulder'!$L$8</f>
        <v>0</v>
      </c>
      <c r="E160">
        <v>1570</v>
      </c>
      <c r="F160">
        <f>'New Deboning Shoulder'!K8</f>
        <v>0</v>
      </c>
      <c r="H160" t="s">
        <v>543</v>
      </c>
      <c r="I160" t="s">
        <v>140</v>
      </c>
    </row>
    <row r="161" spans="1:9" ht="15" customHeight="1" x14ac:dyDescent="0.25">
      <c r="A161" t="s">
        <v>12</v>
      </c>
      <c r="B161" t="s">
        <v>46</v>
      </c>
      <c r="C161" s="1009">
        <f t="shared" si="1"/>
        <v>45196</v>
      </c>
      <c r="D161" s="2">
        <f>'New Deboning Shoulder'!$M$8</f>
        <v>0</v>
      </c>
      <c r="E161">
        <v>1570</v>
      </c>
      <c r="F161">
        <f>'New Deboning Shoulder'!K8</f>
        <v>0</v>
      </c>
      <c r="H161" t="s">
        <v>13</v>
      </c>
      <c r="I161" t="s">
        <v>244</v>
      </c>
    </row>
    <row r="162" spans="1:9" ht="15" customHeight="1" x14ac:dyDescent="0.25">
      <c r="A162" t="s">
        <v>1</v>
      </c>
      <c r="B162" t="s">
        <v>1045</v>
      </c>
      <c r="C162" s="1009">
        <f t="shared" si="1"/>
        <v>45196</v>
      </c>
      <c r="D162" s="2">
        <f>'New Deboning Shoulder'!S8</f>
        <v>0</v>
      </c>
      <c r="E162">
        <v>1570</v>
      </c>
      <c r="H162" t="s">
        <v>569</v>
      </c>
      <c r="I162" t="s">
        <v>1194</v>
      </c>
    </row>
    <row r="163" spans="1:9" ht="15" customHeight="1" x14ac:dyDescent="0.25">
      <c r="A163" t="s">
        <v>2</v>
      </c>
      <c r="B163" t="s">
        <v>1046</v>
      </c>
      <c r="C163" s="1009">
        <f t="shared" si="1"/>
        <v>45196</v>
      </c>
      <c r="D163" s="2">
        <f>'New Deboning Shoulder'!P8</f>
        <v>0</v>
      </c>
      <c r="E163">
        <v>1570</v>
      </c>
      <c r="H163" t="s">
        <v>182</v>
      </c>
      <c r="I163" t="s">
        <v>1194</v>
      </c>
    </row>
    <row r="164" spans="1:9" ht="15" customHeight="1" x14ac:dyDescent="0.25">
      <c r="A164" t="s">
        <v>3</v>
      </c>
      <c r="B164" t="s">
        <v>1047</v>
      </c>
      <c r="C164" s="1009">
        <f t="shared" si="1"/>
        <v>45196</v>
      </c>
      <c r="D164" s="2">
        <f>'New Deboning Shoulder'!T8</f>
        <v>0</v>
      </c>
      <c r="E164">
        <v>1570</v>
      </c>
      <c r="H164" t="s">
        <v>58</v>
      </c>
      <c r="I164" t="s">
        <v>1194</v>
      </c>
    </row>
    <row r="165" spans="1:9" ht="15" customHeight="1" x14ac:dyDescent="0.25">
      <c r="A165" t="s">
        <v>4</v>
      </c>
      <c r="B165" t="s">
        <v>1048</v>
      </c>
      <c r="C165" s="1009">
        <f t="shared" si="1"/>
        <v>45196</v>
      </c>
      <c r="D165" s="2">
        <f>'New Deboning Shoulder'!Q8</f>
        <v>0</v>
      </c>
      <c r="E165">
        <v>1570</v>
      </c>
      <c r="H165" t="s">
        <v>265</v>
      </c>
      <c r="I165" t="s">
        <v>1194</v>
      </c>
    </row>
    <row r="166" spans="1:9" ht="15" customHeight="1" x14ac:dyDescent="0.25">
      <c r="A166" t="s">
        <v>5</v>
      </c>
      <c r="B166" t="s">
        <v>1049</v>
      </c>
      <c r="C166" s="1009">
        <f t="shared" si="1"/>
        <v>45196</v>
      </c>
      <c r="D166" s="2">
        <f>'New Deboning Shoulder'!V8</f>
        <v>0</v>
      </c>
      <c r="E166">
        <v>1570</v>
      </c>
      <c r="H166" t="s">
        <v>59</v>
      </c>
      <c r="I166" t="s">
        <v>1194</v>
      </c>
    </row>
    <row r="167" spans="1:9" ht="15" customHeight="1" x14ac:dyDescent="0.25">
      <c r="A167" t="s">
        <v>6</v>
      </c>
      <c r="B167" t="s">
        <v>1050</v>
      </c>
      <c r="C167" s="1009">
        <f t="shared" si="1"/>
        <v>45196</v>
      </c>
      <c r="D167" s="2">
        <f>'New Deboning Shoulder'!U8</f>
        <v>0</v>
      </c>
      <c r="E167">
        <v>1570</v>
      </c>
      <c r="H167" t="s">
        <v>60</v>
      </c>
      <c r="I167" t="s">
        <v>1194</v>
      </c>
    </row>
    <row r="168" spans="1:9" ht="15" customHeight="1" x14ac:dyDescent="0.25">
      <c r="A168" t="s">
        <v>260</v>
      </c>
      <c r="B168" t="s">
        <v>1051</v>
      </c>
      <c r="C168" s="1009">
        <f t="shared" si="1"/>
        <v>45196</v>
      </c>
      <c r="D168" s="2">
        <f>'New Deboning Shoulder'!W8</f>
        <v>0</v>
      </c>
      <c r="E168">
        <v>1570</v>
      </c>
      <c r="H168" t="s">
        <v>261</v>
      </c>
      <c r="I168" t="s">
        <v>1194</v>
      </c>
    </row>
    <row r="169" spans="1:9" ht="15" customHeight="1" x14ac:dyDescent="0.25">
      <c r="A169" t="s">
        <v>56</v>
      </c>
      <c r="B169" t="s">
        <v>1052</v>
      </c>
      <c r="C169" s="1009">
        <f t="shared" ref="C169:C232" si="2">DeboningDate</f>
        <v>45196</v>
      </c>
      <c r="D169" s="2">
        <f>'New Deboning Shoulder'!X8</f>
        <v>0</v>
      </c>
      <c r="E169">
        <v>1570</v>
      </c>
      <c r="H169" t="s">
        <v>246</v>
      </c>
      <c r="I169" t="s">
        <v>961</v>
      </c>
    </row>
    <row r="170" spans="1:9" ht="15" customHeight="1" x14ac:dyDescent="0.25">
      <c r="A170" t="s">
        <v>45</v>
      </c>
      <c r="B170" t="s">
        <v>1053</v>
      </c>
      <c r="C170" s="1009">
        <f t="shared" si="2"/>
        <v>45196</v>
      </c>
      <c r="D170" s="2">
        <f>'New Deboning Shoulder'!$L$9</f>
        <v>0</v>
      </c>
      <c r="E170">
        <v>1570</v>
      </c>
      <c r="F170">
        <f>'New Deboning Shoulder'!K9</f>
        <v>0</v>
      </c>
      <c r="H170" t="s">
        <v>543</v>
      </c>
      <c r="I170" t="s">
        <v>140</v>
      </c>
    </row>
    <row r="171" spans="1:9" ht="15" customHeight="1" x14ac:dyDescent="0.25">
      <c r="A171" t="s">
        <v>15</v>
      </c>
      <c r="B171" t="s">
        <v>47</v>
      </c>
      <c r="C171" s="1009">
        <f t="shared" si="2"/>
        <v>45196</v>
      </c>
      <c r="D171" s="2">
        <f>'New Deboning Shoulder'!$M$9</f>
        <v>0</v>
      </c>
      <c r="E171">
        <v>1570</v>
      </c>
      <c r="F171">
        <f>'New Deboning Shoulder'!K9</f>
        <v>0</v>
      </c>
      <c r="H171" t="s">
        <v>572</v>
      </c>
      <c r="I171" t="s">
        <v>244</v>
      </c>
    </row>
    <row r="172" spans="1:9" ht="15" customHeight="1" x14ac:dyDescent="0.25">
      <c r="A172" t="s">
        <v>1</v>
      </c>
      <c r="B172" t="s">
        <v>1054</v>
      </c>
      <c r="C172" s="1009">
        <f t="shared" si="2"/>
        <v>45196</v>
      </c>
      <c r="D172" s="2">
        <f>'New Deboning Shoulder'!S9</f>
        <v>0</v>
      </c>
      <c r="E172">
        <v>1570</v>
      </c>
      <c r="H172" t="s">
        <v>569</v>
      </c>
      <c r="I172" t="s">
        <v>1194</v>
      </c>
    </row>
    <row r="173" spans="1:9" ht="15" customHeight="1" x14ac:dyDescent="0.25">
      <c r="A173" t="s">
        <v>2</v>
      </c>
      <c r="B173" t="s">
        <v>1055</v>
      </c>
      <c r="C173" s="1009">
        <f t="shared" si="2"/>
        <v>45196</v>
      </c>
      <c r="D173" s="2">
        <f>'New Deboning Shoulder'!P9</f>
        <v>0</v>
      </c>
      <c r="E173">
        <v>1570</v>
      </c>
      <c r="H173" t="s">
        <v>182</v>
      </c>
      <c r="I173" t="s">
        <v>1194</v>
      </c>
    </row>
    <row r="174" spans="1:9" ht="15" customHeight="1" x14ac:dyDescent="0.25">
      <c r="A174" t="s">
        <v>3</v>
      </c>
      <c r="B174" t="s">
        <v>1056</v>
      </c>
      <c r="C174" s="1009">
        <f t="shared" si="2"/>
        <v>45196</v>
      </c>
      <c r="D174" s="2">
        <f>'New Deboning Shoulder'!Q9</f>
        <v>0</v>
      </c>
      <c r="E174">
        <v>1570</v>
      </c>
      <c r="H174" t="s">
        <v>58</v>
      </c>
      <c r="I174" t="s">
        <v>1194</v>
      </c>
    </row>
    <row r="175" spans="1:9" ht="15" customHeight="1" x14ac:dyDescent="0.25">
      <c r="A175" t="s">
        <v>4</v>
      </c>
      <c r="B175" t="s">
        <v>1057</v>
      </c>
      <c r="C175" s="1009">
        <f t="shared" si="2"/>
        <v>45196</v>
      </c>
      <c r="D175" s="2">
        <f>'New Deboning Shoulder'!Q9</f>
        <v>0</v>
      </c>
      <c r="E175">
        <v>1570</v>
      </c>
      <c r="H175" t="s">
        <v>265</v>
      </c>
      <c r="I175" t="s">
        <v>1194</v>
      </c>
    </row>
    <row r="176" spans="1:9" ht="15" customHeight="1" x14ac:dyDescent="0.25">
      <c r="A176" t="s">
        <v>5</v>
      </c>
      <c r="B176" t="s">
        <v>1058</v>
      </c>
      <c r="C176" s="1009">
        <f t="shared" si="2"/>
        <v>45196</v>
      </c>
      <c r="D176" s="2">
        <f>'New Deboning Shoulder'!V9</f>
        <v>0</v>
      </c>
      <c r="E176">
        <v>1570</v>
      </c>
      <c r="H176" t="s">
        <v>59</v>
      </c>
      <c r="I176" t="s">
        <v>1194</v>
      </c>
    </row>
    <row r="177" spans="1:9" ht="15" customHeight="1" x14ac:dyDescent="0.25">
      <c r="A177" t="s">
        <v>6</v>
      </c>
      <c r="B177" t="s">
        <v>1059</v>
      </c>
      <c r="C177" s="1009">
        <f t="shared" si="2"/>
        <v>45196</v>
      </c>
      <c r="D177" s="2">
        <f>'New Deboning Shoulder'!U9</f>
        <v>0</v>
      </c>
      <c r="E177">
        <v>1570</v>
      </c>
      <c r="H177" t="s">
        <v>60</v>
      </c>
      <c r="I177" t="s">
        <v>1194</v>
      </c>
    </row>
    <row r="178" spans="1:9" ht="15" customHeight="1" x14ac:dyDescent="0.25">
      <c r="A178" t="s">
        <v>7</v>
      </c>
      <c r="B178" t="s">
        <v>1060</v>
      </c>
      <c r="C178" s="1009">
        <f t="shared" si="2"/>
        <v>45196</v>
      </c>
      <c r="D178" s="2">
        <f>'New Deboning Shoulder'!R9</f>
        <v>0</v>
      </c>
      <c r="E178">
        <v>1570</v>
      </c>
      <c r="H178" t="s">
        <v>570</v>
      </c>
      <c r="I178" t="s">
        <v>1194</v>
      </c>
    </row>
    <row r="179" spans="1:9" ht="15" customHeight="1" x14ac:dyDescent="0.25">
      <c r="A179" t="s">
        <v>260</v>
      </c>
      <c r="B179" t="s">
        <v>1061</v>
      </c>
      <c r="C179" s="1009">
        <f t="shared" si="2"/>
        <v>45196</v>
      </c>
      <c r="D179" s="2">
        <f>'New Deboning Shoulder'!W9</f>
        <v>0</v>
      </c>
      <c r="E179">
        <v>1570</v>
      </c>
      <c r="H179" t="s">
        <v>261</v>
      </c>
      <c r="I179" t="s">
        <v>1194</v>
      </c>
    </row>
    <row r="180" spans="1:9" ht="15" customHeight="1" x14ac:dyDescent="0.25">
      <c r="A180" t="s">
        <v>56</v>
      </c>
      <c r="B180" t="s">
        <v>1062</v>
      </c>
      <c r="C180" s="1009">
        <f t="shared" si="2"/>
        <v>45196</v>
      </c>
      <c r="D180" s="2">
        <f>'New Deboning Shoulder'!X9</f>
        <v>0</v>
      </c>
      <c r="E180">
        <v>1570</v>
      </c>
      <c r="H180" t="s">
        <v>246</v>
      </c>
      <c r="I180" t="s">
        <v>961</v>
      </c>
    </row>
    <row r="181" spans="1:9" ht="15" customHeight="1" x14ac:dyDescent="0.25">
      <c r="A181" t="s">
        <v>45</v>
      </c>
      <c r="B181" t="s">
        <v>1063</v>
      </c>
      <c r="C181" s="1009">
        <f t="shared" si="2"/>
        <v>45196</v>
      </c>
      <c r="D181" s="2">
        <f>'New Deboning Shoulder'!$L$10</f>
        <v>2178.7342960288806</v>
      </c>
      <c r="E181">
        <v>1570</v>
      </c>
      <c r="F181">
        <f>'New Deboning Shoulder'!K10</f>
        <v>216</v>
      </c>
      <c r="H181" t="s">
        <v>543</v>
      </c>
      <c r="I181" t="s">
        <v>140</v>
      </c>
    </row>
    <row r="182" spans="1:9" ht="15" customHeight="1" x14ac:dyDescent="0.25">
      <c r="A182" t="s">
        <v>15</v>
      </c>
      <c r="B182" t="s">
        <v>603</v>
      </c>
      <c r="C182" s="1009">
        <f t="shared" si="2"/>
        <v>45196</v>
      </c>
      <c r="D182" s="2">
        <f>'New Deboning Shoulder'!$M$10</f>
        <v>339.7</v>
      </c>
      <c r="E182">
        <v>1570</v>
      </c>
      <c r="F182">
        <f>'New Deboning Shoulder'!K10</f>
        <v>216</v>
      </c>
      <c r="H182" t="s">
        <v>572</v>
      </c>
      <c r="I182" t="s">
        <v>244</v>
      </c>
    </row>
    <row r="183" spans="1:9" ht="15" customHeight="1" x14ac:dyDescent="0.25">
      <c r="A183" t="s">
        <v>1</v>
      </c>
      <c r="B183" t="s">
        <v>1064</v>
      </c>
      <c r="C183" s="1009">
        <f t="shared" si="2"/>
        <v>45196</v>
      </c>
      <c r="D183" s="2">
        <f>'New Deboning Shoulder'!S10</f>
        <v>297.8154854448544</v>
      </c>
      <c r="E183">
        <v>1570</v>
      </c>
      <c r="H183" t="s">
        <v>569</v>
      </c>
      <c r="I183" t="s">
        <v>1194</v>
      </c>
    </row>
    <row r="184" spans="1:9" ht="15" customHeight="1" x14ac:dyDescent="0.25">
      <c r="A184" t="s">
        <v>2</v>
      </c>
      <c r="B184" t="s">
        <v>1065</v>
      </c>
      <c r="C184" s="1009">
        <f t="shared" si="2"/>
        <v>45196</v>
      </c>
      <c r="D184" s="2">
        <f>'New Deboning Shoulder'!P10</f>
        <v>11.897872528441512</v>
      </c>
      <c r="E184">
        <v>1570</v>
      </c>
      <c r="H184" t="s">
        <v>182</v>
      </c>
      <c r="I184" t="s">
        <v>1194</v>
      </c>
    </row>
    <row r="185" spans="1:9" ht="15" customHeight="1" x14ac:dyDescent="0.25">
      <c r="A185" t="s">
        <v>3</v>
      </c>
      <c r="B185" t="s">
        <v>1066</v>
      </c>
      <c r="C185" s="1009">
        <f t="shared" si="2"/>
        <v>45196</v>
      </c>
      <c r="D185" s="2">
        <f>'New Deboning Shoulder'!T10</f>
        <v>480.70807180155833</v>
      </c>
      <c r="E185">
        <v>1570</v>
      </c>
      <c r="H185" t="s">
        <v>58</v>
      </c>
      <c r="I185" t="s">
        <v>1194</v>
      </c>
    </row>
    <row r="186" spans="1:9" ht="15" customHeight="1" x14ac:dyDescent="0.25">
      <c r="A186" t="s">
        <v>4</v>
      </c>
      <c r="B186" t="s">
        <v>1067</v>
      </c>
      <c r="C186" s="1009">
        <f t="shared" si="2"/>
        <v>45196</v>
      </c>
      <c r="D186" s="2">
        <f>'New Deboning Shoulder'!Q10</f>
        <v>122.95016054231579</v>
      </c>
      <c r="E186">
        <v>1570</v>
      </c>
      <c r="H186" t="s">
        <v>265</v>
      </c>
      <c r="I186" t="s">
        <v>1194</v>
      </c>
    </row>
    <row r="187" spans="1:9" ht="15" customHeight="1" x14ac:dyDescent="0.25">
      <c r="A187" t="s">
        <v>5</v>
      </c>
      <c r="B187" t="s">
        <v>1068</v>
      </c>
      <c r="C187" s="1009">
        <f t="shared" si="2"/>
        <v>45196</v>
      </c>
      <c r="D187" s="2">
        <f>'New Deboning Shoulder'!V10</f>
        <v>126.805283073868</v>
      </c>
      <c r="E187">
        <v>1570</v>
      </c>
      <c r="H187" t="s">
        <v>59</v>
      </c>
      <c r="I187" t="s">
        <v>1194</v>
      </c>
    </row>
    <row r="188" spans="1:9" ht="15" customHeight="1" x14ac:dyDescent="0.25">
      <c r="A188" t="s">
        <v>6</v>
      </c>
      <c r="B188" t="s">
        <v>1069</v>
      </c>
      <c r="C188" s="1009">
        <f t="shared" si="2"/>
        <v>45196</v>
      </c>
      <c r="D188" s="2">
        <f>'New Deboning Shoulder'!U10</f>
        <v>602.03656708508765</v>
      </c>
      <c r="E188">
        <v>1570</v>
      </c>
      <c r="H188" t="s">
        <v>60</v>
      </c>
      <c r="I188" t="s">
        <v>1194</v>
      </c>
    </row>
    <row r="189" spans="1:9" ht="15" customHeight="1" x14ac:dyDescent="0.25">
      <c r="A189" t="s">
        <v>260</v>
      </c>
      <c r="B189" t="s">
        <v>1070</v>
      </c>
      <c r="C189" s="1009">
        <f t="shared" si="2"/>
        <v>45196</v>
      </c>
      <c r="D189" s="2">
        <f>'New Deboning Shoulder'!W10</f>
        <v>98.850276928614107</v>
      </c>
      <c r="E189">
        <v>1570</v>
      </c>
      <c r="H189" t="s">
        <v>261</v>
      </c>
      <c r="I189" t="s">
        <v>1194</v>
      </c>
    </row>
    <row r="190" spans="1:9" ht="15" customHeight="1" x14ac:dyDescent="0.25">
      <c r="A190" t="s">
        <v>56</v>
      </c>
      <c r="B190" t="s">
        <v>1071</v>
      </c>
      <c r="C190" s="1009">
        <f t="shared" si="2"/>
        <v>45196</v>
      </c>
      <c r="D190" s="2">
        <f>'New Deboning Shoulder'!X10</f>
        <v>0</v>
      </c>
      <c r="E190">
        <v>1570</v>
      </c>
      <c r="H190" t="s">
        <v>246</v>
      </c>
      <c r="I190" t="s">
        <v>961</v>
      </c>
    </row>
    <row r="191" spans="1:9" ht="15" customHeight="1" x14ac:dyDescent="0.25">
      <c r="A191" t="s">
        <v>45</v>
      </c>
      <c r="B191" t="s">
        <v>1072</v>
      </c>
      <c r="C191" s="1009">
        <f t="shared" si="2"/>
        <v>45196</v>
      </c>
      <c r="D191" s="2">
        <f>'New Deboning Shoulder'!$L$11</f>
        <v>0</v>
      </c>
      <c r="E191">
        <v>1570</v>
      </c>
      <c r="F191">
        <f>'New Deboning Shoulder'!K11</f>
        <v>0</v>
      </c>
      <c r="H191" t="s">
        <v>543</v>
      </c>
      <c r="I191" t="s">
        <v>140</v>
      </c>
    </row>
    <row r="192" spans="1:9" ht="15" customHeight="1" x14ac:dyDescent="0.25">
      <c r="A192" t="s">
        <v>19</v>
      </c>
      <c r="B192" t="s">
        <v>601</v>
      </c>
      <c r="C192" s="1009">
        <f t="shared" si="2"/>
        <v>45196</v>
      </c>
      <c r="D192" s="2">
        <f>'New Deboning Shoulder'!$M$11</f>
        <v>0</v>
      </c>
      <c r="E192">
        <v>1570</v>
      </c>
      <c r="F192">
        <f>'New Deboning Shoulder'!K11</f>
        <v>0</v>
      </c>
      <c r="H192" t="s">
        <v>568</v>
      </c>
      <c r="I192" t="s">
        <v>244</v>
      </c>
    </row>
    <row r="193" spans="1:9" ht="15" customHeight="1" x14ac:dyDescent="0.25">
      <c r="A193" t="s">
        <v>1</v>
      </c>
      <c r="B193" t="s">
        <v>1073</v>
      </c>
      <c r="C193" s="1009">
        <f t="shared" si="2"/>
        <v>45196</v>
      </c>
      <c r="D193" s="2">
        <f>'New Deboning Shoulder'!S11</f>
        <v>0</v>
      </c>
      <c r="E193">
        <v>1570</v>
      </c>
      <c r="H193" t="s">
        <v>569</v>
      </c>
      <c r="I193" t="s">
        <v>1194</v>
      </c>
    </row>
    <row r="194" spans="1:9" ht="15" customHeight="1" x14ac:dyDescent="0.25">
      <c r="A194" t="s">
        <v>2</v>
      </c>
      <c r="B194" t="s">
        <v>1074</v>
      </c>
      <c r="C194" s="1009">
        <f t="shared" si="2"/>
        <v>45196</v>
      </c>
      <c r="D194" s="2">
        <f>'New Deboning Shoulder'!P11</f>
        <v>0</v>
      </c>
      <c r="E194">
        <v>1570</v>
      </c>
      <c r="H194" t="s">
        <v>182</v>
      </c>
      <c r="I194" t="s">
        <v>1194</v>
      </c>
    </row>
    <row r="195" spans="1:9" ht="15" customHeight="1" x14ac:dyDescent="0.25">
      <c r="A195" t="s">
        <v>3</v>
      </c>
      <c r="B195" t="s">
        <v>1075</v>
      </c>
      <c r="C195" s="1009">
        <f t="shared" si="2"/>
        <v>45196</v>
      </c>
      <c r="D195" s="2">
        <f>'New Deboning Shoulder'!T11</f>
        <v>0</v>
      </c>
      <c r="E195">
        <v>1570</v>
      </c>
      <c r="H195" t="s">
        <v>58</v>
      </c>
      <c r="I195" t="s">
        <v>1194</v>
      </c>
    </row>
    <row r="196" spans="1:9" ht="15" customHeight="1" x14ac:dyDescent="0.25">
      <c r="A196" t="s">
        <v>4</v>
      </c>
      <c r="B196" t="s">
        <v>1076</v>
      </c>
      <c r="C196" s="1009">
        <f t="shared" si="2"/>
        <v>45196</v>
      </c>
      <c r="D196" s="2">
        <f>'New Deboning Shoulder'!Q11</f>
        <v>0</v>
      </c>
      <c r="E196">
        <v>1570</v>
      </c>
      <c r="H196" t="s">
        <v>265</v>
      </c>
      <c r="I196" t="s">
        <v>1194</v>
      </c>
    </row>
    <row r="197" spans="1:9" ht="15" customHeight="1" x14ac:dyDescent="0.25">
      <c r="A197" t="s">
        <v>5</v>
      </c>
      <c r="B197" t="s">
        <v>1077</v>
      </c>
      <c r="C197" s="1009">
        <f t="shared" si="2"/>
        <v>45196</v>
      </c>
      <c r="D197" s="2">
        <f>'New Deboning Shoulder'!V11</f>
        <v>0</v>
      </c>
      <c r="E197">
        <v>1570</v>
      </c>
      <c r="H197" t="s">
        <v>59</v>
      </c>
      <c r="I197" t="s">
        <v>1194</v>
      </c>
    </row>
    <row r="198" spans="1:9" ht="15" customHeight="1" x14ac:dyDescent="0.25">
      <c r="A198" t="s">
        <v>6</v>
      </c>
      <c r="B198" t="s">
        <v>1078</v>
      </c>
      <c r="C198" s="1009">
        <f t="shared" si="2"/>
        <v>45196</v>
      </c>
      <c r="D198" s="2">
        <f>'New Deboning Shoulder'!U11</f>
        <v>0</v>
      </c>
      <c r="E198">
        <v>1570</v>
      </c>
      <c r="H198" t="s">
        <v>60</v>
      </c>
      <c r="I198" t="s">
        <v>1194</v>
      </c>
    </row>
    <row r="199" spans="1:9" ht="15" customHeight="1" x14ac:dyDescent="0.25">
      <c r="A199" t="s">
        <v>260</v>
      </c>
      <c r="B199" t="s">
        <v>1079</v>
      </c>
      <c r="C199" s="1009">
        <f t="shared" si="2"/>
        <v>45196</v>
      </c>
      <c r="D199" s="2">
        <f>'New Deboning Shoulder'!W11</f>
        <v>0</v>
      </c>
      <c r="E199">
        <v>1570</v>
      </c>
      <c r="H199" t="s">
        <v>261</v>
      </c>
      <c r="I199" t="s">
        <v>1194</v>
      </c>
    </row>
    <row r="200" spans="1:9" ht="15" customHeight="1" x14ac:dyDescent="0.25">
      <c r="A200" t="s">
        <v>56</v>
      </c>
      <c r="B200" t="s">
        <v>1080</v>
      </c>
      <c r="C200" s="1009">
        <f t="shared" si="2"/>
        <v>45196</v>
      </c>
      <c r="D200" s="2">
        <f>'New Deboning Shoulder'!X11</f>
        <v>0</v>
      </c>
      <c r="E200">
        <v>1570</v>
      </c>
      <c r="H200" t="s">
        <v>246</v>
      </c>
      <c r="I200" t="s">
        <v>961</v>
      </c>
    </row>
    <row r="201" spans="1:9" ht="15" customHeight="1" x14ac:dyDescent="0.25">
      <c r="A201" t="s">
        <v>45</v>
      </c>
      <c r="B201" t="s">
        <v>1081</v>
      </c>
      <c r="C201" s="1009">
        <f t="shared" si="2"/>
        <v>45196</v>
      </c>
      <c r="D201" s="2">
        <f>'New Deboning Shoulder'!$L$12</f>
        <v>0</v>
      </c>
      <c r="E201">
        <v>1570</v>
      </c>
      <c r="F201">
        <f>'New Deboning Shoulder'!K12</f>
        <v>0</v>
      </c>
      <c r="H201" t="s">
        <v>543</v>
      </c>
      <c r="I201" t="s">
        <v>140</v>
      </c>
    </row>
    <row r="202" spans="1:9" ht="15" customHeight="1" x14ac:dyDescent="0.25">
      <c r="A202" t="s">
        <v>19</v>
      </c>
      <c r="B202" t="s">
        <v>48</v>
      </c>
      <c r="C202" s="1009">
        <f t="shared" si="2"/>
        <v>45196</v>
      </c>
      <c r="D202" s="2">
        <f>'New Deboning Shoulder'!$M$12</f>
        <v>0</v>
      </c>
      <c r="E202">
        <v>1570</v>
      </c>
      <c r="F202">
        <f>'New Deboning Shoulder'!K12</f>
        <v>0</v>
      </c>
      <c r="H202" t="s">
        <v>568</v>
      </c>
      <c r="I202" t="s">
        <v>244</v>
      </c>
    </row>
    <row r="203" spans="1:9" ht="15" customHeight="1" x14ac:dyDescent="0.25">
      <c r="A203" t="s">
        <v>1</v>
      </c>
      <c r="B203" t="s">
        <v>1082</v>
      </c>
      <c r="C203" s="1009">
        <f t="shared" si="2"/>
        <v>45196</v>
      </c>
      <c r="D203" s="2">
        <f>'New Deboning Shoulder'!S12</f>
        <v>0</v>
      </c>
      <c r="E203">
        <v>1570</v>
      </c>
      <c r="H203" t="s">
        <v>569</v>
      </c>
      <c r="I203" t="s">
        <v>1194</v>
      </c>
    </row>
    <row r="204" spans="1:9" ht="15" customHeight="1" x14ac:dyDescent="0.25">
      <c r="A204" t="s">
        <v>2</v>
      </c>
      <c r="B204" t="s">
        <v>1083</v>
      </c>
      <c r="C204" s="1009">
        <f t="shared" si="2"/>
        <v>45196</v>
      </c>
      <c r="D204" s="2">
        <f>'New Deboning Shoulder'!P12</f>
        <v>0</v>
      </c>
      <c r="E204">
        <v>1570</v>
      </c>
      <c r="H204" t="s">
        <v>182</v>
      </c>
      <c r="I204" t="s">
        <v>1194</v>
      </c>
    </row>
    <row r="205" spans="1:9" ht="15" customHeight="1" x14ac:dyDescent="0.25">
      <c r="A205" t="s">
        <v>3</v>
      </c>
      <c r="B205" t="s">
        <v>1084</v>
      </c>
      <c r="C205" s="1009">
        <f t="shared" si="2"/>
        <v>45196</v>
      </c>
      <c r="D205" s="2">
        <f>'New Deboning Shoulder'!T12</f>
        <v>0</v>
      </c>
      <c r="E205">
        <v>1570</v>
      </c>
      <c r="H205" t="s">
        <v>58</v>
      </c>
      <c r="I205" t="s">
        <v>1194</v>
      </c>
    </row>
    <row r="206" spans="1:9" ht="15" customHeight="1" x14ac:dyDescent="0.25">
      <c r="A206" t="s">
        <v>4</v>
      </c>
      <c r="B206" t="s">
        <v>1085</v>
      </c>
      <c r="C206" s="1009">
        <f t="shared" si="2"/>
        <v>45196</v>
      </c>
      <c r="D206" s="2">
        <f>'New Deboning Shoulder'!Q12</f>
        <v>0</v>
      </c>
      <c r="E206">
        <v>1570</v>
      </c>
      <c r="H206" t="s">
        <v>265</v>
      </c>
      <c r="I206" t="s">
        <v>1194</v>
      </c>
    </row>
    <row r="207" spans="1:9" ht="15" customHeight="1" x14ac:dyDescent="0.25">
      <c r="A207" t="s">
        <v>5</v>
      </c>
      <c r="B207" t="s">
        <v>1086</v>
      </c>
      <c r="C207" s="1009">
        <f t="shared" si="2"/>
        <v>45196</v>
      </c>
      <c r="D207" s="2">
        <f>'New Deboning Shoulder'!V12</f>
        <v>0</v>
      </c>
      <c r="E207">
        <v>1570</v>
      </c>
      <c r="H207" t="s">
        <v>59</v>
      </c>
      <c r="I207" t="s">
        <v>1194</v>
      </c>
    </row>
    <row r="208" spans="1:9" ht="15" customHeight="1" x14ac:dyDescent="0.25">
      <c r="A208" t="s">
        <v>6</v>
      </c>
      <c r="B208" t="s">
        <v>1087</v>
      </c>
      <c r="C208" s="1009">
        <f t="shared" si="2"/>
        <v>45196</v>
      </c>
      <c r="D208" s="2">
        <f>'New Deboning Shoulder'!U12</f>
        <v>0</v>
      </c>
      <c r="E208">
        <v>1570</v>
      </c>
      <c r="H208" t="s">
        <v>60</v>
      </c>
      <c r="I208" t="s">
        <v>1194</v>
      </c>
    </row>
    <row r="209" spans="1:9" ht="15" customHeight="1" x14ac:dyDescent="0.25">
      <c r="A209" t="s">
        <v>7</v>
      </c>
      <c r="B209" t="s">
        <v>1088</v>
      </c>
      <c r="C209" s="1009">
        <f t="shared" si="2"/>
        <v>45196</v>
      </c>
      <c r="D209" s="2">
        <f>'New Deboning Shoulder'!R12</f>
        <v>0</v>
      </c>
      <c r="E209">
        <v>1570</v>
      </c>
      <c r="H209" t="s">
        <v>570</v>
      </c>
      <c r="I209" t="s">
        <v>1194</v>
      </c>
    </row>
    <row r="210" spans="1:9" ht="15" customHeight="1" x14ac:dyDescent="0.25">
      <c r="A210" t="s">
        <v>260</v>
      </c>
      <c r="B210" t="s">
        <v>1089</v>
      </c>
      <c r="C210" s="1009">
        <f t="shared" si="2"/>
        <v>45196</v>
      </c>
      <c r="D210" s="2">
        <f>'New Deboning Shoulder'!W12</f>
        <v>0</v>
      </c>
      <c r="E210">
        <v>1570</v>
      </c>
      <c r="H210" t="s">
        <v>261</v>
      </c>
      <c r="I210" t="s">
        <v>1194</v>
      </c>
    </row>
    <row r="211" spans="1:9" ht="15" customHeight="1" x14ac:dyDescent="0.25">
      <c r="A211" t="s">
        <v>56</v>
      </c>
      <c r="B211" t="s">
        <v>1090</v>
      </c>
      <c r="C211" s="1009">
        <f t="shared" si="2"/>
        <v>45196</v>
      </c>
      <c r="D211" s="2">
        <f>'New Deboning Shoulder'!X12</f>
        <v>0</v>
      </c>
      <c r="E211">
        <v>1570</v>
      </c>
      <c r="H211" t="s">
        <v>246</v>
      </c>
      <c r="I211" t="s">
        <v>961</v>
      </c>
    </row>
    <row r="212" spans="1:9" ht="15" customHeight="1" x14ac:dyDescent="0.25">
      <c r="A212" t="s">
        <v>45</v>
      </c>
      <c r="C212" s="1009">
        <f t="shared" si="2"/>
        <v>45196</v>
      </c>
      <c r="D212" s="2">
        <f>0</f>
        <v>0</v>
      </c>
      <c r="E212">
        <v>1570</v>
      </c>
      <c r="H212" t="s">
        <v>543</v>
      </c>
      <c r="I212" t="s">
        <v>140</v>
      </c>
    </row>
    <row r="213" spans="1:9" ht="15" customHeight="1" x14ac:dyDescent="0.25">
      <c r="A213" t="s">
        <v>19</v>
      </c>
      <c r="C213" s="1009">
        <f t="shared" si="2"/>
        <v>45196</v>
      </c>
      <c r="D213" s="2">
        <f>0</f>
        <v>0</v>
      </c>
      <c r="E213">
        <v>1570</v>
      </c>
      <c r="H213" t="s">
        <v>568</v>
      </c>
      <c r="I213" t="s">
        <v>140</v>
      </c>
    </row>
    <row r="214" spans="1:9" ht="15" customHeight="1" x14ac:dyDescent="0.25">
      <c r="A214" t="s">
        <v>1</v>
      </c>
      <c r="C214" s="1009">
        <f t="shared" si="2"/>
        <v>45196</v>
      </c>
      <c r="D214" s="2">
        <f>0</f>
        <v>0</v>
      </c>
      <c r="E214">
        <v>1570</v>
      </c>
      <c r="H214" t="s">
        <v>569</v>
      </c>
      <c r="I214" t="s">
        <v>140</v>
      </c>
    </row>
    <row r="215" spans="1:9" ht="15" customHeight="1" x14ac:dyDescent="0.25">
      <c r="A215" t="s">
        <v>2</v>
      </c>
      <c r="C215" s="1009">
        <f t="shared" si="2"/>
        <v>45196</v>
      </c>
      <c r="D215" s="2">
        <f>0</f>
        <v>0</v>
      </c>
      <c r="E215">
        <v>1570</v>
      </c>
      <c r="H215" t="s">
        <v>182</v>
      </c>
      <c r="I215" t="s">
        <v>140</v>
      </c>
    </row>
    <row r="216" spans="1:9" ht="15" customHeight="1" x14ac:dyDescent="0.25">
      <c r="A216" t="s">
        <v>3</v>
      </c>
      <c r="C216" s="1009">
        <f t="shared" si="2"/>
        <v>45196</v>
      </c>
      <c r="D216" s="2">
        <f>0</f>
        <v>0</v>
      </c>
      <c r="E216">
        <v>1570</v>
      </c>
      <c r="H216" t="s">
        <v>58</v>
      </c>
      <c r="I216" t="s">
        <v>140</v>
      </c>
    </row>
    <row r="217" spans="1:9" ht="15" customHeight="1" x14ac:dyDescent="0.25">
      <c r="A217" t="s">
        <v>4</v>
      </c>
      <c r="C217" s="1009">
        <f t="shared" si="2"/>
        <v>45196</v>
      </c>
      <c r="D217" s="2">
        <f>0</f>
        <v>0</v>
      </c>
      <c r="E217">
        <v>1570</v>
      </c>
      <c r="H217" t="s">
        <v>265</v>
      </c>
      <c r="I217" t="s">
        <v>140</v>
      </c>
    </row>
    <row r="218" spans="1:9" ht="15" customHeight="1" x14ac:dyDescent="0.25">
      <c r="A218" t="s">
        <v>5</v>
      </c>
      <c r="C218" s="1009">
        <f t="shared" si="2"/>
        <v>45196</v>
      </c>
      <c r="D218" s="2">
        <f>0</f>
        <v>0</v>
      </c>
      <c r="E218">
        <v>1570</v>
      </c>
      <c r="H218" t="s">
        <v>59</v>
      </c>
      <c r="I218" t="s">
        <v>140</v>
      </c>
    </row>
    <row r="219" spans="1:9" ht="15" customHeight="1" x14ac:dyDescent="0.25">
      <c r="A219" t="s">
        <v>6</v>
      </c>
      <c r="C219" s="1009">
        <f t="shared" si="2"/>
        <v>45196</v>
      </c>
      <c r="D219" s="2">
        <f>0</f>
        <v>0</v>
      </c>
      <c r="E219">
        <v>1570</v>
      </c>
      <c r="H219" t="s">
        <v>60</v>
      </c>
      <c r="I219" t="s">
        <v>140</v>
      </c>
    </row>
    <row r="220" spans="1:9" ht="15" customHeight="1" x14ac:dyDescent="0.25">
      <c r="A220" t="s">
        <v>7</v>
      </c>
      <c r="C220" s="1009">
        <f t="shared" si="2"/>
        <v>45196</v>
      </c>
      <c r="D220" s="2">
        <f>0</f>
        <v>0</v>
      </c>
      <c r="E220">
        <v>1570</v>
      </c>
      <c r="H220" t="s">
        <v>570</v>
      </c>
      <c r="I220" t="s">
        <v>140</v>
      </c>
    </row>
    <row r="221" spans="1:9" ht="15" customHeight="1" x14ac:dyDescent="0.25">
      <c r="A221" t="s">
        <v>260</v>
      </c>
      <c r="C221" s="1009">
        <f t="shared" si="2"/>
        <v>45196</v>
      </c>
      <c r="D221" s="2">
        <f>0</f>
        <v>0</v>
      </c>
      <c r="E221">
        <v>1570</v>
      </c>
      <c r="H221" t="s">
        <v>261</v>
      </c>
      <c r="I221" t="s">
        <v>140</v>
      </c>
    </row>
    <row r="222" spans="1:9" ht="15" customHeight="1" x14ac:dyDescent="0.25">
      <c r="A222" t="s">
        <v>56</v>
      </c>
      <c r="C222" s="1009">
        <f t="shared" si="2"/>
        <v>45196</v>
      </c>
      <c r="D222" s="2">
        <f>0</f>
        <v>0</v>
      </c>
      <c r="E222">
        <v>1570</v>
      </c>
      <c r="H222" t="s">
        <v>246</v>
      </c>
      <c r="I222" t="s">
        <v>140</v>
      </c>
    </row>
    <row r="223" spans="1:9" ht="15" customHeight="1" x14ac:dyDescent="0.25">
      <c r="A223" t="s">
        <v>45</v>
      </c>
      <c r="B223" t="s">
        <v>916</v>
      </c>
      <c r="C223" s="1009">
        <f t="shared" si="2"/>
        <v>45196</v>
      </c>
      <c r="D223" s="2">
        <f>'New Deboning Shoulder'!$L$13</f>
        <v>4821.4583032490973</v>
      </c>
      <c r="E223">
        <v>1570</v>
      </c>
      <c r="F223">
        <f>'New Deboning Shoulder'!K13</f>
        <v>478</v>
      </c>
      <c r="H223" t="s">
        <v>543</v>
      </c>
      <c r="I223" t="s">
        <v>140</v>
      </c>
    </row>
    <row r="224" spans="1:9" ht="15" customHeight="1" x14ac:dyDescent="0.25">
      <c r="A224" t="s">
        <v>23</v>
      </c>
      <c r="B224" t="s">
        <v>49</v>
      </c>
      <c r="C224" s="1009">
        <f t="shared" si="2"/>
        <v>45196</v>
      </c>
      <c r="D224" s="896">
        <f>'New Deboning Shoulder'!$M$13</f>
        <v>2307.6</v>
      </c>
      <c r="E224">
        <v>1570</v>
      </c>
      <c r="F224">
        <f>'New Deboning Shoulder'!K13</f>
        <v>478</v>
      </c>
      <c r="H224" t="s">
        <v>27</v>
      </c>
      <c r="I224" t="s">
        <v>244</v>
      </c>
    </row>
    <row r="225" spans="1:9" ht="15" customHeight="1" x14ac:dyDescent="0.25">
      <c r="A225" t="s">
        <v>1</v>
      </c>
      <c r="B225" t="s">
        <v>917</v>
      </c>
      <c r="C225" s="1009">
        <f t="shared" si="2"/>
        <v>45196</v>
      </c>
      <c r="D225" s="896">
        <f>'New Deboning Shoulder'!S13</f>
        <v>561.4972148066721</v>
      </c>
      <c r="E225">
        <v>1570</v>
      </c>
      <c r="H225" t="s">
        <v>569</v>
      </c>
      <c r="I225" t="s">
        <v>1194</v>
      </c>
    </row>
    <row r="226" spans="1:9" ht="15" customHeight="1" x14ac:dyDescent="0.25">
      <c r="A226" t="s">
        <v>2</v>
      </c>
      <c r="B226" t="s">
        <v>918</v>
      </c>
      <c r="C226" s="1009">
        <f t="shared" si="2"/>
        <v>45196</v>
      </c>
      <c r="D226" s="896">
        <f>'New Deboning Shoulder'!P13</f>
        <v>0.74878812572574827</v>
      </c>
      <c r="E226">
        <v>1570</v>
      </c>
      <c r="H226" t="s">
        <v>182</v>
      </c>
      <c r="I226" t="s">
        <v>1194</v>
      </c>
    </row>
    <row r="227" spans="1:9" ht="15" customHeight="1" x14ac:dyDescent="0.25">
      <c r="A227" t="s">
        <v>3</v>
      </c>
      <c r="B227" t="s">
        <v>919</v>
      </c>
      <c r="C227" s="1009">
        <f t="shared" si="2"/>
        <v>45196</v>
      </c>
      <c r="D227" s="896">
        <f>'New Deboning Shoulder'!T13</f>
        <v>162.59421165756356</v>
      </c>
      <c r="E227">
        <v>1570</v>
      </c>
      <c r="H227" t="s">
        <v>58</v>
      </c>
      <c r="I227" t="s">
        <v>1194</v>
      </c>
    </row>
    <row r="228" spans="1:9" ht="15" customHeight="1" x14ac:dyDescent="0.25">
      <c r="A228" t="s">
        <v>4</v>
      </c>
      <c r="B228" t="s">
        <v>920</v>
      </c>
      <c r="C228" s="1009">
        <f t="shared" si="2"/>
        <v>45196</v>
      </c>
      <c r="D228" s="896">
        <f>'New Deboning Shoulder'!Q13</f>
        <v>363.83400401242818</v>
      </c>
      <c r="E228">
        <v>1570</v>
      </c>
      <c r="H228" t="s">
        <v>265</v>
      </c>
      <c r="I228" t="s">
        <v>1194</v>
      </c>
    </row>
    <row r="229" spans="1:9" ht="15" customHeight="1" x14ac:dyDescent="0.25">
      <c r="A229" t="s">
        <v>5</v>
      </c>
      <c r="B229" t="s">
        <v>921</v>
      </c>
      <c r="C229" s="1009">
        <f t="shared" si="2"/>
        <v>45196</v>
      </c>
      <c r="D229" s="2">
        <f>'New Deboning Shoulder'!V13</f>
        <v>415.33199343464457</v>
      </c>
      <c r="E229">
        <v>1570</v>
      </c>
      <c r="H229" t="s">
        <v>59</v>
      </c>
      <c r="I229" t="s">
        <v>1194</v>
      </c>
    </row>
    <row r="230" spans="1:9" ht="15" customHeight="1" x14ac:dyDescent="0.25">
      <c r="A230" t="s">
        <v>6</v>
      </c>
      <c r="B230" t="s">
        <v>922</v>
      </c>
      <c r="C230" s="1009">
        <f t="shared" si="2"/>
        <v>45196</v>
      </c>
      <c r="D230" s="2">
        <f>'New Deboning Shoulder'!U13</f>
        <v>820.67836860334194</v>
      </c>
      <c r="E230">
        <v>1570</v>
      </c>
      <c r="H230" t="s">
        <v>60</v>
      </c>
      <c r="I230" t="s">
        <v>1194</v>
      </c>
    </row>
    <row r="231" spans="1:9" ht="15" customHeight="1" x14ac:dyDescent="0.25">
      <c r="A231" t="s">
        <v>260</v>
      </c>
      <c r="B231" t="s">
        <v>923</v>
      </c>
      <c r="C231" s="1009">
        <f t="shared" si="2"/>
        <v>45196</v>
      </c>
      <c r="D231" s="2">
        <f>'New Deboning Shoulder'!W13</f>
        <v>189.17372260872156</v>
      </c>
      <c r="E231">
        <v>1570</v>
      </c>
      <c r="H231" t="s">
        <v>261</v>
      </c>
      <c r="I231" t="s">
        <v>1194</v>
      </c>
    </row>
    <row r="232" spans="1:9" ht="15" customHeight="1" x14ac:dyDescent="0.25">
      <c r="A232" t="s">
        <v>56</v>
      </c>
      <c r="B232" t="s">
        <v>924</v>
      </c>
      <c r="C232" s="1009">
        <f t="shared" si="2"/>
        <v>45196</v>
      </c>
      <c r="D232" s="2">
        <f>'New Deboning Shoulder'!X13</f>
        <v>0</v>
      </c>
      <c r="E232">
        <v>1570</v>
      </c>
      <c r="H232" t="s">
        <v>246</v>
      </c>
      <c r="I232" t="s">
        <v>961</v>
      </c>
    </row>
    <row r="233" spans="1:9" ht="15" customHeight="1" x14ac:dyDescent="0.25">
      <c r="A233" t="s">
        <v>45</v>
      </c>
      <c r="C233" s="1009">
        <f t="shared" ref="C233:C295" si="3">DeboningDate</f>
        <v>45196</v>
      </c>
      <c r="D233" s="2">
        <f>0</f>
        <v>0</v>
      </c>
      <c r="E233">
        <v>1570</v>
      </c>
      <c r="H233" t="s">
        <v>543</v>
      </c>
      <c r="I233" t="s">
        <v>140</v>
      </c>
    </row>
    <row r="234" spans="1:9" ht="15" customHeight="1" x14ac:dyDescent="0.25">
      <c r="A234" t="s">
        <v>23</v>
      </c>
      <c r="C234" s="1009">
        <f t="shared" si="3"/>
        <v>45196</v>
      </c>
      <c r="D234" s="2">
        <f>0</f>
        <v>0</v>
      </c>
      <c r="E234">
        <v>1570</v>
      </c>
      <c r="H234" t="s">
        <v>27</v>
      </c>
      <c r="I234" t="s">
        <v>140</v>
      </c>
    </row>
    <row r="235" spans="1:9" ht="15" customHeight="1" x14ac:dyDescent="0.25">
      <c r="A235" t="s">
        <v>1</v>
      </c>
      <c r="C235" s="1009">
        <f t="shared" si="3"/>
        <v>45196</v>
      </c>
      <c r="D235" s="2">
        <f>0</f>
        <v>0</v>
      </c>
      <c r="E235">
        <v>1570</v>
      </c>
      <c r="H235" t="s">
        <v>569</v>
      </c>
      <c r="I235" t="s">
        <v>140</v>
      </c>
    </row>
    <row r="236" spans="1:9" ht="15" customHeight="1" x14ac:dyDescent="0.25">
      <c r="A236" t="s">
        <v>2</v>
      </c>
      <c r="C236" s="1009">
        <f t="shared" si="3"/>
        <v>45196</v>
      </c>
      <c r="D236" s="2">
        <f>0</f>
        <v>0</v>
      </c>
      <c r="E236">
        <v>1570</v>
      </c>
      <c r="H236" t="s">
        <v>182</v>
      </c>
      <c r="I236" t="s">
        <v>140</v>
      </c>
    </row>
    <row r="237" spans="1:9" ht="15" customHeight="1" x14ac:dyDescent="0.25">
      <c r="A237" t="s">
        <v>3</v>
      </c>
      <c r="C237" s="1009">
        <f t="shared" si="3"/>
        <v>45196</v>
      </c>
      <c r="D237" s="2">
        <f>0</f>
        <v>0</v>
      </c>
      <c r="E237">
        <v>1570</v>
      </c>
      <c r="H237" t="s">
        <v>58</v>
      </c>
      <c r="I237" t="s">
        <v>140</v>
      </c>
    </row>
    <row r="238" spans="1:9" ht="15" customHeight="1" x14ac:dyDescent="0.25">
      <c r="A238" t="s">
        <v>4</v>
      </c>
      <c r="C238" s="1009">
        <f t="shared" si="3"/>
        <v>45196</v>
      </c>
      <c r="D238" s="2">
        <f>0</f>
        <v>0</v>
      </c>
      <c r="E238">
        <v>1570</v>
      </c>
      <c r="H238" t="s">
        <v>265</v>
      </c>
      <c r="I238" t="s">
        <v>140</v>
      </c>
    </row>
    <row r="239" spans="1:9" ht="15" customHeight="1" x14ac:dyDescent="0.25">
      <c r="A239" t="s">
        <v>5</v>
      </c>
      <c r="C239" s="1009">
        <f t="shared" si="3"/>
        <v>45196</v>
      </c>
      <c r="D239" s="2">
        <f>0</f>
        <v>0</v>
      </c>
      <c r="E239">
        <v>1570</v>
      </c>
      <c r="H239" t="s">
        <v>59</v>
      </c>
      <c r="I239" t="s">
        <v>140</v>
      </c>
    </row>
    <row r="240" spans="1:9" ht="15" customHeight="1" x14ac:dyDescent="0.25">
      <c r="A240" t="s">
        <v>6</v>
      </c>
      <c r="C240" s="1009">
        <f t="shared" si="3"/>
        <v>45196</v>
      </c>
      <c r="D240" s="2">
        <f>0</f>
        <v>0</v>
      </c>
      <c r="E240">
        <v>1570</v>
      </c>
      <c r="H240" t="s">
        <v>60</v>
      </c>
      <c r="I240" t="s">
        <v>140</v>
      </c>
    </row>
    <row r="241" spans="1:9" ht="15" customHeight="1" x14ac:dyDescent="0.25">
      <c r="A241" t="s">
        <v>7</v>
      </c>
      <c r="C241" s="1009">
        <f t="shared" si="3"/>
        <v>45196</v>
      </c>
      <c r="D241" s="2">
        <f>0</f>
        <v>0</v>
      </c>
      <c r="E241">
        <v>1570</v>
      </c>
      <c r="H241" t="s">
        <v>570</v>
      </c>
      <c r="I241" t="s">
        <v>140</v>
      </c>
    </row>
    <row r="242" spans="1:9" ht="15" customHeight="1" x14ac:dyDescent="0.25">
      <c r="A242" t="s">
        <v>260</v>
      </c>
      <c r="C242" s="1009">
        <f t="shared" si="3"/>
        <v>45196</v>
      </c>
      <c r="D242" s="2">
        <f>0</f>
        <v>0</v>
      </c>
      <c r="E242">
        <v>1570</v>
      </c>
      <c r="H242" t="s">
        <v>261</v>
      </c>
      <c r="I242" t="s">
        <v>140</v>
      </c>
    </row>
    <row r="243" spans="1:9" ht="15" customHeight="1" x14ac:dyDescent="0.25">
      <c r="A243" t="s">
        <v>56</v>
      </c>
      <c r="C243" s="1009">
        <f t="shared" si="3"/>
        <v>45196</v>
      </c>
      <c r="D243" s="2">
        <f>0</f>
        <v>0</v>
      </c>
      <c r="E243">
        <v>1570</v>
      </c>
      <c r="H243" t="s">
        <v>246</v>
      </c>
      <c r="I243" t="s">
        <v>140</v>
      </c>
    </row>
    <row r="244" spans="1:9" ht="15" customHeight="1" x14ac:dyDescent="0.25">
      <c r="A244" t="s">
        <v>45</v>
      </c>
      <c r="B244" t="s">
        <v>925</v>
      </c>
      <c r="C244" s="1009">
        <f t="shared" si="3"/>
        <v>45196</v>
      </c>
      <c r="D244" s="2">
        <f>'New Deboning Shoulder'!$L$18</f>
        <v>0</v>
      </c>
      <c r="E244">
        <v>1570</v>
      </c>
      <c r="F244">
        <f>'New Deboning Shoulder'!K18</f>
        <v>0</v>
      </c>
      <c r="H244" t="s">
        <v>543</v>
      </c>
      <c r="I244" t="s">
        <v>140</v>
      </c>
    </row>
    <row r="245" spans="1:9" ht="15" customHeight="1" x14ac:dyDescent="0.25">
      <c r="A245" t="s">
        <v>25</v>
      </c>
      <c r="B245" t="s">
        <v>602</v>
      </c>
      <c r="C245" s="1009">
        <f t="shared" si="3"/>
        <v>45196</v>
      </c>
      <c r="D245" s="2">
        <f>'New Deboning Shoulder'!$M$18</f>
        <v>0</v>
      </c>
      <c r="E245">
        <v>1570</v>
      </c>
      <c r="F245">
        <f>'New Deboning Shoulder'!K18</f>
        <v>0</v>
      </c>
      <c r="H245" t="s">
        <v>26</v>
      </c>
      <c r="I245" t="s">
        <v>244</v>
      </c>
    </row>
    <row r="246" spans="1:9" ht="15" customHeight="1" x14ac:dyDescent="0.25">
      <c r="A246" t="s">
        <v>1</v>
      </c>
      <c r="B246" t="s">
        <v>926</v>
      </c>
      <c r="C246" s="1009">
        <f t="shared" si="3"/>
        <v>45196</v>
      </c>
      <c r="D246" s="2">
        <f>'New Deboning Shoulder'!S18</f>
        <v>0</v>
      </c>
      <c r="E246">
        <v>1570</v>
      </c>
      <c r="H246" t="s">
        <v>569</v>
      </c>
      <c r="I246" t="s">
        <v>1194</v>
      </c>
    </row>
    <row r="247" spans="1:9" ht="15" customHeight="1" x14ac:dyDescent="0.25">
      <c r="A247" t="s">
        <v>2</v>
      </c>
      <c r="B247" t="s">
        <v>927</v>
      </c>
      <c r="C247" s="1009">
        <f t="shared" si="3"/>
        <v>45196</v>
      </c>
      <c r="D247" s="2">
        <f>'New Deboning Shoulder'!P18</f>
        <v>0</v>
      </c>
      <c r="E247">
        <v>1570</v>
      </c>
      <c r="H247" t="s">
        <v>182</v>
      </c>
      <c r="I247" t="s">
        <v>1194</v>
      </c>
    </row>
    <row r="248" spans="1:9" ht="15" customHeight="1" x14ac:dyDescent="0.25">
      <c r="A248" t="s">
        <v>3</v>
      </c>
      <c r="B248" t="s">
        <v>928</v>
      </c>
      <c r="C248" s="1009">
        <f t="shared" si="3"/>
        <v>45196</v>
      </c>
      <c r="D248" s="2">
        <f>'New Deboning Shoulder'!T18</f>
        <v>0</v>
      </c>
      <c r="E248">
        <v>1570</v>
      </c>
      <c r="H248" t="s">
        <v>58</v>
      </c>
      <c r="I248" t="s">
        <v>1194</v>
      </c>
    </row>
    <row r="249" spans="1:9" ht="15" customHeight="1" x14ac:dyDescent="0.25">
      <c r="A249" t="s">
        <v>4</v>
      </c>
      <c r="B249" t="s">
        <v>929</v>
      </c>
      <c r="C249" s="1009">
        <f t="shared" si="3"/>
        <v>45196</v>
      </c>
      <c r="D249" s="2">
        <f>'New Deboning Shoulder'!Q18</f>
        <v>0</v>
      </c>
      <c r="E249">
        <v>1570</v>
      </c>
      <c r="H249" t="s">
        <v>265</v>
      </c>
      <c r="I249" t="s">
        <v>1194</v>
      </c>
    </row>
    <row r="250" spans="1:9" ht="15" customHeight="1" x14ac:dyDescent="0.25">
      <c r="A250" t="s">
        <v>5</v>
      </c>
      <c r="B250" t="s">
        <v>930</v>
      </c>
      <c r="C250" s="1009">
        <f t="shared" si="3"/>
        <v>45196</v>
      </c>
      <c r="D250" s="2">
        <f>'New Deboning Shoulder'!V18</f>
        <v>0</v>
      </c>
      <c r="E250">
        <v>1570</v>
      </c>
      <c r="H250" t="s">
        <v>59</v>
      </c>
      <c r="I250" t="s">
        <v>1194</v>
      </c>
    </row>
    <row r="251" spans="1:9" ht="15" customHeight="1" x14ac:dyDescent="0.25">
      <c r="A251" t="s">
        <v>6</v>
      </c>
      <c r="B251" t="s">
        <v>931</v>
      </c>
      <c r="C251" s="1009">
        <f t="shared" si="3"/>
        <v>45196</v>
      </c>
      <c r="D251" s="2">
        <f>'New Deboning Shoulder'!U18</f>
        <v>0</v>
      </c>
      <c r="E251">
        <v>1570</v>
      </c>
      <c r="H251" t="s">
        <v>60</v>
      </c>
      <c r="I251" t="s">
        <v>1194</v>
      </c>
    </row>
    <row r="252" spans="1:9" ht="15" customHeight="1" x14ac:dyDescent="0.25">
      <c r="A252" t="s">
        <v>260</v>
      </c>
      <c r="B252" t="s">
        <v>932</v>
      </c>
      <c r="C252" s="1009">
        <f t="shared" si="3"/>
        <v>45196</v>
      </c>
      <c r="D252" s="2">
        <f>'New Deboning Shoulder'!W18</f>
        <v>0</v>
      </c>
      <c r="E252">
        <v>1570</v>
      </c>
      <c r="H252" t="s">
        <v>261</v>
      </c>
      <c r="I252" t="s">
        <v>1194</v>
      </c>
    </row>
    <row r="253" spans="1:9" ht="15" customHeight="1" x14ac:dyDescent="0.25">
      <c r="A253" t="s">
        <v>56</v>
      </c>
      <c r="B253" t="s">
        <v>933</v>
      </c>
      <c r="C253" s="1009">
        <f t="shared" si="3"/>
        <v>45196</v>
      </c>
      <c r="D253" s="2">
        <f>'New Deboning Shoulder'!X18</f>
        <v>0</v>
      </c>
      <c r="E253">
        <v>1570</v>
      </c>
      <c r="H253" t="s">
        <v>246</v>
      </c>
      <c r="I253" t="s">
        <v>961</v>
      </c>
    </row>
    <row r="254" spans="1:9" ht="15" customHeight="1" x14ac:dyDescent="0.25">
      <c r="A254" t="s">
        <v>45</v>
      </c>
      <c r="B254" t="s">
        <v>1091</v>
      </c>
      <c r="C254" s="1009">
        <f t="shared" si="3"/>
        <v>45196</v>
      </c>
      <c r="D254" s="2">
        <f>'New Deboning Shoulder'!$L$19</f>
        <v>1119.6273465703971</v>
      </c>
      <c r="E254">
        <v>1570</v>
      </c>
      <c r="F254">
        <f>'New Deboning Shoulder'!K19</f>
        <v>111</v>
      </c>
      <c r="H254" t="s">
        <v>543</v>
      </c>
      <c r="I254" t="s">
        <v>140</v>
      </c>
    </row>
    <row r="255" spans="1:9" ht="15" customHeight="1" x14ac:dyDescent="0.25">
      <c r="A255" t="s">
        <v>25</v>
      </c>
      <c r="B255" t="s">
        <v>50</v>
      </c>
      <c r="C255" s="1009">
        <f t="shared" si="3"/>
        <v>45196</v>
      </c>
      <c r="D255" s="2">
        <f>'New Deboning Shoulder'!$M$19</f>
        <v>333.1</v>
      </c>
      <c r="E255">
        <v>1570</v>
      </c>
      <c r="F255">
        <f>'New Deboning Shoulder'!K19</f>
        <v>111</v>
      </c>
      <c r="H255" t="s">
        <v>26</v>
      </c>
      <c r="I255" t="s">
        <v>244</v>
      </c>
    </row>
    <row r="256" spans="1:9" ht="15" customHeight="1" x14ac:dyDescent="0.25">
      <c r="A256" t="s">
        <v>1</v>
      </c>
      <c r="B256" t="s">
        <v>1092</v>
      </c>
      <c r="C256" s="1009">
        <f t="shared" si="3"/>
        <v>45196</v>
      </c>
      <c r="D256" s="2">
        <f>'New Deboning Shoulder'!S19</f>
        <v>132.4832413341355</v>
      </c>
      <c r="E256">
        <v>1570</v>
      </c>
      <c r="H256" t="s">
        <v>569</v>
      </c>
      <c r="I256" t="s">
        <v>1194</v>
      </c>
    </row>
    <row r="257" spans="1:9" ht="15" customHeight="1" x14ac:dyDescent="0.25">
      <c r="A257" t="s">
        <v>2</v>
      </c>
      <c r="B257" t="s">
        <v>1093</v>
      </c>
      <c r="C257" s="1009">
        <f t="shared" si="3"/>
        <v>45196</v>
      </c>
      <c r="D257" s="2">
        <f>'New Deboning Shoulder'!P19</f>
        <v>0.3187044832145205</v>
      </c>
      <c r="E257">
        <v>1570</v>
      </c>
      <c r="H257" t="s">
        <v>182</v>
      </c>
      <c r="I257" t="s">
        <v>1194</v>
      </c>
    </row>
    <row r="258" spans="1:9" ht="15" customHeight="1" x14ac:dyDescent="0.25">
      <c r="A258" t="s">
        <v>3</v>
      </c>
      <c r="B258" t="s">
        <v>1094</v>
      </c>
      <c r="C258" s="1009">
        <f t="shared" si="3"/>
        <v>45196</v>
      </c>
      <c r="D258" s="2">
        <f>'New Deboning Shoulder'!T19</f>
        <v>146.73966006997193</v>
      </c>
      <c r="E258">
        <v>1570</v>
      </c>
      <c r="H258" t="s">
        <v>58</v>
      </c>
      <c r="I258" t="s">
        <v>1194</v>
      </c>
    </row>
    <row r="259" spans="1:9" ht="15" customHeight="1" x14ac:dyDescent="0.25">
      <c r="A259" t="s">
        <v>4</v>
      </c>
      <c r="B259" t="s">
        <v>1095</v>
      </c>
      <c r="C259" s="1009">
        <f t="shared" si="3"/>
        <v>45196</v>
      </c>
      <c r="D259" s="2">
        <f>'New Deboning Shoulder'!Q19</f>
        <v>48.201363046039582</v>
      </c>
      <c r="E259">
        <v>1570</v>
      </c>
      <c r="H259" t="s">
        <v>265</v>
      </c>
      <c r="I259" t="s">
        <v>1194</v>
      </c>
    </row>
    <row r="260" spans="1:9" ht="15" customHeight="1" x14ac:dyDescent="0.25">
      <c r="A260" t="s">
        <v>5</v>
      </c>
      <c r="B260" t="s">
        <v>1096</v>
      </c>
      <c r="C260" s="1009">
        <f t="shared" si="3"/>
        <v>45196</v>
      </c>
      <c r="D260" s="2">
        <f>'New Deboning Shoulder'!V19</f>
        <v>109.11226254353119</v>
      </c>
      <c r="E260">
        <v>1570</v>
      </c>
      <c r="H260" t="s">
        <v>59</v>
      </c>
      <c r="I260" t="s">
        <v>1194</v>
      </c>
    </row>
    <row r="261" spans="1:9" ht="15" customHeight="1" x14ac:dyDescent="0.25">
      <c r="A261" t="s">
        <v>6</v>
      </c>
      <c r="B261" t="s">
        <v>1097</v>
      </c>
      <c r="C261" s="1009">
        <f t="shared" si="3"/>
        <v>45196</v>
      </c>
      <c r="D261" s="2">
        <f>'New Deboning Shoulder'!U19</f>
        <v>301.17903758701806</v>
      </c>
      <c r="E261">
        <v>1570</v>
      </c>
      <c r="H261" t="s">
        <v>60</v>
      </c>
      <c r="I261" t="s">
        <v>1194</v>
      </c>
    </row>
    <row r="262" spans="1:9" ht="15" customHeight="1" x14ac:dyDescent="0.25">
      <c r="A262" t="s">
        <v>7</v>
      </c>
      <c r="B262" t="s">
        <v>1098</v>
      </c>
      <c r="C262" s="1009">
        <f t="shared" si="3"/>
        <v>45196</v>
      </c>
      <c r="D262" s="2">
        <f>'New Deboning Shoulder'!R19</f>
        <v>0</v>
      </c>
      <c r="E262">
        <v>1570</v>
      </c>
      <c r="H262" t="s">
        <v>570</v>
      </c>
      <c r="I262" t="s">
        <v>1194</v>
      </c>
    </row>
    <row r="263" spans="1:9" ht="15" customHeight="1" x14ac:dyDescent="0.25">
      <c r="A263" t="s">
        <v>260</v>
      </c>
      <c r="B263" t="s">
        <v>1099</v>
      </c>
      <c r="C263" s="1009">
        <f t="shared" si="3"/>
        <v>45196</v>
      </c>
      <c r="D263" s="2">
        <f>'New Deboning Shoulder'!W19</f>
        <v>48.493077506486358</v>
      </c>
      <c r="E263">
        <v>1570</v>
      </c>
      <c r="H263" t="s">
        <v>261</v>
      </c>
      <c r="I263" t="s">
        <v>1194</v>
      </c>
    </row>
    <row r="264" spans="1:9" ht="15" customHeight="1" x14ac:dyDescent="0.25">
      <c r="A264" t="s">
        <v>56</v>
      </c>
      <c r="B264" t="s">
        <v>1100</v>
      </c>
      <c r="C264" s="1009">
        <f t="shared" si="3"/>
        <v>45196</v>
      </c>
      <c r="D264" s="2">
        <f>'New Deboning Shoulder'!X19</f>
        <v>0</v>
      </c>
      <c r="E264">
        <v>1570</v>
      </c>
      <c r="H264" t="s">
        <v>246</v>
      </c>
      <c r="I264" t="s">
        <v>961</v>
      </c>
    </row>
    <row r="265" spans="1:9" ht="15" customHeight="1" x14ac:dyDescent="0.25">
      <c r="A265" t="s">
        <v>45</v>
      </c>
      <c r="B265" t="s">
        <v>977</v>
      </c>
      <c r="C265" s="1009">
        <f t="shared" si="3"/>
        <v>45196</v>
      </c>
      <c r="D265" s="2">
        <f>'New Deboning Shoulder'!$L$14</f>
        <v>0</v>
      </c>
      <c r="E265">
        <v>1570</v>
      </c>
      <c r="F265">
        <f>'New Deboning Shoulder'!K14</f>
        <v>0</v>
      </c>
      <c r="H265" t="s">
        <v>543</v>
      </c>
      <c r="I265" t="s">
        <v>140</v>
      </c>
    </row>
    <row r="266" spans="1:9" ht="15" customHeight="1" x14ac:dyDescent="0.25">
      <c r="A266" t="s">
        <v>29</v>
      </c>
      <c r="B266" t="s">
        <v>51</v>
      </c>
      <c r="C266" s="1009">
        <f t="shared" si="3"/>
        <v>45196</v>
      </c>
      <c r="D266" s="2">
        <f>'New Deboning Shoulder'!$M$14</f>
        <v>0</v>
      </c>
      <c r="E266">
        <v>1570</v>
      </c>
      <c r="F266">
        <f>'New Deboning Shoulder'!K14</f>
        <v>0</v>
      </c>
      <c r="H266" t="s">
        <v>30</v>
      </c>
      <c r="I266" t="s">
        <v>244</v>
      </c>
    </row>
    <row r="267" spans="1:9" ht="15" customHeight="1" x14ac:dyDescent="0.25">
      <c r="A267" t="s">
        <v>1</v>
      </c>
      <c r="B267" t="s">
        <v>978</v>
      </c>
      <c r="C267" s="1009">
        <f t="shared" si="3"/>
        <v>45196</v>
      </c>
      <c r="D267" s="2">
        <f>'New Deboning Shoulder'!S14</f>
        <v>0</v>
      </c>
      <c r="E267">
        <v>1570</v>
      </c>
      <c r="H267" t="s">
        <v>569</v>
      </c>
      <c r="I267" t="s">
        <v>1194</v>
      </c>
    </row>
    <row r="268" spans="1:9" ht="15" customHeight="1" x14ac:dyDescent="0.25">
      <c r="A268" t="s">
        <v>2</v>
      </c>
      <c r="B268" t="s">
        <v>979</v>
      </c>
      <c r="C268" s="1009">
        <f t="shared" si="3"/>
        <v>45196</v>
      </c>
      <c r="D268" s="2">
        <f>'New Deboning Shoulder'!P14</f>
        <v>0</v>
      </c>
      <c r="E268">
        <v>1570</v>
      </c>
      <c r="H268" t="s">
        <v>182</v>
      </c>
      <c r="I268" t="s">
        <v>1194</v>
      </c>
    </row>
    <row r="269" spans="1:9" ht="15" customHeight="1" x14ac:dyDescent="0.25">
      <c r="A269" t="s">
        <v>3</v>
      </c>
      <c r="B269" t="s">
        <v>980</v>
      </c>
      <c r="C269" s="1009">
        <f t="shared" si="3"/>
        <v>45196</v>
      </c>
      <c r="D269" s="2">
        <f>'New Deboning Shoulder'!T14</f>
        <v>0</v>
      </c>
      <c r="E269">
        <v>1570</v>
      </c>
      <c r="H269" t="s">
        <v>58</v>
      </c>
      <c r="I269" t="s">
        <v>1194</v>
      </c>
    </row>
    <row r="270" spans="1:9" ht="15" customHeight="1" x14ac:dyDescent="0.25">
      <c r="A270" t="s">
        <v>4</v>
      </c>
      <c r="B270" t="s">
        <v>981</v>
      </c>
      <c r="C270" s="1009">
        <f t="shared" si="3"/>
        <v>45196</v>
      </c>
      <c r="D270" s="2">
        <f>'New Deboning Shoulder'!$Q$14</f>
        <v>0</v>
      </c>
      <c r="E270">
        <v>1570</v>
      </c>
      <c r="H270" t="s">
        <v>265</v>
      </c>
      <c r="I270" t="s">
        <v>1194</v>
      </c>
    </row>
    <row r="271" spans="1:9" ht="15" customHeight="1" x14ac:dyDescent="0.25">
      <c r="A271" t="s">
        <v>5</v>
      </c>
      <c r="B271" t="s">
        <v>982</v>
      </c>
      <c r="C271" s="1009">
        <f t="shared" si="3"/>
        <v>45196</v>
      </c>
      <c r="D271" s="2">
        <f>'New Deboning Shoulder'!V14</f>
        <v>0</v>
      </c>
      <c r="E271">
        <v>1570</v>
      </c>
      <c r="H271" t="s">
        <v>59</v>
      </c>
      <c r="I271" t="s">
        <v>1194</v>
      </c>
    </row>
    <row r="272" spans="1:9" ht="15" customHeight="1" x14ac:dyDescent="0.25">
      <c r="A272" t="s">
        <v>6</v>
      </c>
      <c r="B272" t="s">
        <v>983</v>
      </c>
      <c r="C272" s="1009">
        <f t="shared" si="3"/>
        <v>45196</v>
      </c>
      <c r="D272" s="2">
        <f>'New Deboning Shoulder'!U14</f>
        <v>0</v>
      </c>
      <c r="E272">
        <v>1570</v>
      </c>
      <c r="H272" t="s">
        <v>60</v>
      </c>
      <c r="I272" t="s">
        <v>1194</v>
      </c>
    </row>
    <row r="273" spans="1:9" ht="15" customHeight="1" x14ac:dyDescent="0.25">
      <c r="A273" t="s">
        <v>260</v>
      </c>
      <c r="B273" t="s">
        <v>984</v>
      </c>
      <c r="C273" s="1009">
        <f t="shared" si="3"/>
        <v>45196</v>
      </c>
      <c r="D273" s="2">
        <f>'New Deboning Shoulder'!W14</f>
        <v>0</v>
      </c>
      <c r="E273">
        <v>1570</v>
      </c>
      <c r="H273" t="s">
        <v>261</v>
      </c>
      <c r="I273" t="s">
        <v>1194</v>
      </c>
    </row>
    <row r="274" spans="1:9" ht="15" customHeight="1" x14ac:dyDescent="0.25">
      <c r="A274" t="s">
        <v>56</v>
      </c>
      <c r="B274" t="s">
        <v>985</v>
      </c>
      <c r="C274" s="1009">
        <f t="shared" si="3"/>
        <v>45196</v>
      </c>
      <c r="D274" s="2">
        <f>'New Deboning Shoulder'!X14</f>
        <v>0</v>
      </c>
      <c r="E274">
        <v>1570</v>
      </c>
      <c r="H274" t="s">
        <v>246</v>
      </c>
      <c r="I274" t="s">
        <v>961</v>
      </c>
    </row>
    <row r="275" spans="1:9" ht="15" customHeight="1" x14ac:dyDescent="0.25">
      <c r="A275" t="s">
        <v>45</v>
      </c>
      <c r="B275" t="s">
        <v>1101</v>
      </c>
      <c r="C275" s="1009">
        <f t="shared" si="3"/>
        <v>45196</v>
      </c>
      <c r="D275" s="2">
        <f>'New Deboning Shoulder'!$L$15</f>
        <v>2463.7760830324914</v>
      </c>
      <c r="E275">
        <v>1570</v>
      </c>
      <c r="F275">
        <f>'New Deboning Shoulder'!K15</f>
        <v>243</v>
      </c>
      <c r="H275" t="s">
        <v>543</v>
      </c>
      <c r="I275" t="s">
        <v>140</v>
      </c>
    </row>
    <row r="276" spans="1:9" ht="15" customHeight="1" x14ac:dyDescent="0.25">
      <c r="A276" t="s">
        <v>32</v>
      </c>
      <c r="B276" t="s">
        <v>52</v>
      </c>
      <c r="C276" s="1009">
        <f t="shared" si="3"/>
        <v>45196</v>
      </c>
      <c r="D276" s="2">
        <f>'New Deboning Shoulder'!$M$15</f>
        <v>1300.5999999999999</v>
      </c>
      <c r="E276">
        <v>1570</v>
      </c>
      <c r="F276">
        <f>'New Deboning Shoulder'!K15</f>
        <v>243</v>
      </c>
      <c r="H276" t="s">
        <v>33</v>
      </c>
      <c r="I276" t="s">
        <v>244</v>
      </c>
    </row>
    <row r="277" spans="1:9" ht="15" customHeight="1" x14ac:dyDescent="0.25">
      <c r="A277" t="s">
        <v>1</v>
      </c>
      <c r="B277" t="s">
        <v>1102</v>
      </c>
      <c r="C277" s="1009">
        <f t="shared" si="3"/>
        <v>45196</v>
      </c>
      <c r="D277" s="2">
        <f>'New Deboning Shoulder'!S15</f>
        <v>217.80383825296605</v>
      </c>
      <c r="E277">
        <v>1570</v>
      </c>
      <c r="H277" t="s">
        <v>569</v>
      </c>
      <c r="I277" t="s">
        <v>1194</v>
      </c>
    </row>
    <row r="278" spans="1:9" ht="15" customHeight="1" x14ac:dyDescent="0.25">
      <c r="A278" t="s">
        <v>2</v>
      </c>
      <c r="B278" t="s">
        <v>1103</v>
      </c>
      <c r="C278" s="1009">
        <f t="shared" si="3"/>
        <v>45196</v>
      </c>
      <c r="D278" s="2">
        <f>'New Deboning Shoulder'!P15</f>
        <v>0.82777514265786412</v>
      </c>
      <c r="E278">
        <v>1570</v>
      </c>
      <c r="H278" t="s">
        <v>182</v>
      </c>
      <c r="I278" t="s">
        <v>1194</v>
      </c>
    </row>
    <row r="279" spans="1:9" ht="15" customHeight="1" x14ac:dyDescent="0.25">
      <c r="A279" t="s">
        <v>3</v>
      </c>
      <c r="B279" t="s">
        <v>1104</v>
      </c>
      <c r="C279" s="1009">
        <f t="shared" si="3"/>
        <v>45196</v>
      </c>
      <c r="D279" s="2">
        <f>'New Deboning Shoulder'!T15</f>
        <v>38.121663292551688</v>
      </c>
      <c r="E279">
        <v>1570</v>
      </c>
      <c r="H279" t="s">
        <v>58</v>
      </c>
      <c r="I279" t="s">
        <v>1194</v>
      </c>
    </row>
    <row r="280" spans="1:9" ht="15" customHeight="1" x14ac:dyDescent="0.25">
      <c r="A280" t="s">
        <v>4</v>
      </c>
      <c r="B280" t="s">
        <v>986</v>
      </c>
      <c r="C280" s="1009">
        <f t="shared" si="3"/>
        <v>45196</v>
      </c>
      <c r="D280" s="2">
        <f>'New Deboning Shoulder'!Q15</f>
        <v>149.89252733391339</v>
      </c>
      <c r="E280">
        <v>1570</v>
      </c>
      <c r="H280" t="s">
        <v>265</v>
      </c>
      <c r="I280" t="s">
        <v>1194</v>
      </c>
    </row>
    <row r="281" spans="1:9" ht="15" customHeight="1" x14ac:dyDescent="0.25">
      <c r="A281" t="s">
        <v>5</v>
      </c>
      <c r="B281" t="s">
        <v>1105</v>
      </c>
      <c r="C281" s="1009">
        <f t="shared" si="3"/>
        <v>45196</v>
      </c>
      <c r="D281" s="2">
        <f>'New Deboning Shoulder'!V15</f>
        <v>61.535844608990928</v>
      </c>
      <c r="E281">
        <v>1570</v>
      </c>
      <c r="H281" t="s">
        <v>59</v>
      </c>
      <c r="I281" t="s">
        <v>1194</v>
      </c>
    </row>
    <row r="282" spans="1:9" ht="15" customHeight="1" x14ac:dyDescent="0.25">
      <c r="A282" t="s">
        <v>6</v>
      </c>
      <c r="B282" t="s">
        <v>1106</v>
      </c>
      <c r="C282" s="1009">
        <f t="shared" si="3"/>
        <v>45196</v>
      </c>
      <c r="D282" s="2">
        <f>'New Deboning Shoulder'!U15</f>
        <v>483.63614763296897</v>
      </c>
      <c r="E282">
        <v>1570</v>
      </c>
      <c r="H282" t="s">
        <v>60</v>
      </c>
      <c r="I282" t="s">
        <v>1194</v>
      </c>
    </row>
    <row r="283" spans="1:9" ht="15" customHeight="1" x14ac:dyDescent="0.25">
      <c r="A283" t="s">
        <v>260</v>
      </c>
      <c r="B283" t="s">
        <v>1107</v>
      </c>
      <c r="C283" s="1009">
        <f t="shared" si="3"/>
        <v>45196</v>
      </c>
      <c r="D283" s="2">
        <f>'New Deboning Shoulder'!W15</f>
        <v>89.866899541784591</v>
      </c>
      <c r="E283">
        <v>1570</v>
      </c>
      <c r="H283" t="s">
        <v>261</v>
      </c>
      <c r="I283" t="s">
        <v>1194</v>
      </c>
    </row>
    <row r="284" spans="1:9" ht="15" customHeight="1" x14ac:dyDescent="0.25">
      <c r="A284" t="s">
        <v>56</v>
      </c>
      <c r="B284" t="s">
        <v>1108</v>
      </c>
      <c r="C284" s="1009">
        <f t="shared" si="3"/>
        <v>45196</v>
      </c>
      <c r="D284" s="2">
        <f>'New Deboning Shoulder'!X15</f>
        <v>0</v>
      </c>
      <c r="E284">
        <v>1570</v>
      </c>
      <c r="H284" t="s">
        <v>246</v>
      </c>
      <c r="I284" t="s">
        <v>961</v>
      </c>
    </row>
    <row r="285" spans="1:9" ht="15" customHeight="1" x14ac:dyDescent="0.25">
      <c r="A285" t="s">
        <v>45</v>
      </c>
      <c r="B285" t="s">
        <v>1109</v>
      </c>
      <c r="C285" s="1009">
        <f t="shared" si="3"/>
        <v>45196</v>
      </c>
      <c r="D285" s="2">
        <f>'New Deboning Shoulder'!$L$16</f>
        <v>403.46931407942236</v>
      </c>
      <c r="E285">
        <v>1570</v>
      </c>
      <c r="F285">
        <f>'New Deboning Shoulder'!K16</f>
        <v>40</v>
      </c>
      <c r="H285" t="s">
        <v>543</v>
      </c>
      <c r="I285" t="s">
        <v>140</v>
      </c>
    </row>
    <row r="286" spans="1:9" ht="15" customHeight="1" x14ac:dyDescent="0.25">
      <c r="A286" t="s">
        <v>35</v>
      </c>
      <c r="B286" t="s">
        <v>53</v>
      </c>
      <c r="C286" s="1009">
        <f t="shared" si="3"/>
        <v>45196</v>
      </c>
      <c r="D286" s="2">
        <f>'New Deboning Shoulder'!$M$16</f>
        <v>103.4</v>
      </c>
      <c r="E286">
        <v>1570</v>
      </c>
      <c r="F286">
        <f>'New Deboning Shoulder'!K16</f>
        <v>40</v>
      </c>
      <c r="H286" t="s">
        <v>36</v>
      </c>
      <c r="I286" t="s">
        <v>244</v>
      </c>
    </row>
    <row r="287" spans="1:9" ht="15" customHeight="1" x14ac:dyDescent="0.25">
      <c r="A287" t="s">
        <v>1</v>
      </c>
      <c r="B287" t="s">
        <v>1110</v>
      </c>
      <c r="C287" s="1009">
        <f t="shared" si="3"/>
        <v>45196</v>
      </c>
      <c r="D287" s="2">
        <f>'New Deboning Shoulder'!S16</f>
        <v>22.394639316393462</v>
      </c>
      <c r="E287">
        <v>1570</v>
      </c>
      <c r="H287" t="s">
        <v>569</v>
      </c>
      <c r="I287" t="s">
        <v>1194</v>
      </c>
    </row>
    <row r="288" spans="1:9" ht="15" customHeight="1" x14ac:dyDescent="0.25">
      <c r="A288" t="s">
        <v>2</v>
      </c>
      <c r="B288" t="s">
        <v>1111</v>
      </c>
      <c r="C288" s="1009">
        <f t="shared" si="3"/>
        <v>45196</v>
      </c>
      <c r="D288" s="2">
        <f>'New Deboning Shoulder'!P16</f>
        <v>0.77215421971728637</v>
      </c>
      <c r="E288">
        <v>1570</v>
      </c>
      <c r="H288" t="s">
        <v>182</v>
      </c>
      <c r="I288" t="s">
        <v>1194</v>
      </c>
    </row>
    <row r="289" spans="1:9" ht="15" customHeight="1" x14ac:dyDescent="0.25">
      <c r="A289" t="s">
        <v>3</v>
      </c>
      <c r="B289" t="s">
        <v>1112</v>
      </c>
      <c r="C289" s="1009">
        <f t="shared" si="3"/>
        <v>45196</v>
      </c>
      <c r="D289" s="2">
        <f>'New Deboning Shoulder'!T16</f>
        <v>79.21686795819943</v>
      </c>
      <c r="E289">
        <v>1570</v>
      </c>
      <c r="H289" t="s">
        <v>58</v>
      </c>
      <c r="I289" t="s">
        <v>1194</v>
      </c>
    </row>
    <row r="290" spans="1:9" ht="15" customHeight="1" x14ac:dyDescent="0.25">
      <c r="A290" t="s">
        <v>4</v>
      </c>
      <c r="B290" t="s">
        <v>1113</v>
      </c>
      <c r="C290" s="1009">
        <f t="shared" si="3"/>
        <v>45196</v>
      </c>
      <c r="D290" s="2">
        <f>'New Deboning Shoulder'!Q16</f>
        <v>20.438263823651585</v>
      </c>
      <c r="E290">
        <v>1570</v>
      </c>
      <c r="H290" t="s">
        <v>265</v>
      </c>
      <c r="I290" t="s">
        <v>1194</v>
      </c>
    </row>
    <row r="291" spans="1:9" ht="15" customHeight="1" x14ac:dyDescent="0.25">
      <c r="A291" t="s">
        <v>5</v>
      </c>
      <c r="B291" t="s">
        <v>1114</v>
      </c>
      <c r="C291" s="1009">
        <f t="shared" si="3"/>
        <v>45196</v>
      </c>
      <c r="D291" s="2">
        <f>'New Deboning Shoulder'!V16</f>
        <v>28.73504667536379</v>
      </c>
      <c r="E291">
        <v>1570</v>
      </c>
      <c r="H291" t="s">
        <v>59</v>
      </c>
      <c r="I291" t="s">
        <v>1194</v>
      </c>
    </row>
    <row r="292" spans="1:9" ht="15" customHeight="1" x14ac:dyDescent="0.25">
      <c r="A292" t="s">
        <v>6</v>
      </c>
      <c r="B292" t="s">
        <v>1115</v>
      </c>
      <c r="C292" s="1009">
        <f t="shared" si="3"/>
        <v>45196</v>
      </c>
      <c r="D292" s="2">
        <f>'New Deboning Shoulder'!U16</f>
        <v>114.97963894871219</v>
      </c>
      <c r="E292">
        <v>1570</v>
      </c>
      <c r="H292" t="s">
        <v>60</v>
      </c>
      <c r="I292" t="s">
        <v>1194</v>
      </c>
    </row>
    <row r="293" spans="1:9" ht="15" customHeight="1" x14ac:dyDescent="0.25">
      <c r="A293" t="s">
        <v>260</v>
      </c>
      <c r="B293" t="s">
        <v>1116</v>
      </c>
      <c r="C293" s="1009">
        <f t="shared" si="3"/>
        <v>45196</v>
      </c>
      <c r="D293" s="2">
        <f>'New Deboning Shoulder'!W16</f>
        <v>17.294668988183602</v>
      </c>
      <c r="E293">
        <v>1570</v>
      </c>
      <c r="H293" t="s">
        <v>627</v>
      </c>
      <c r="I293" t="s">
        <v>1194</v>
      </c>
    </row>
    <row r="294" spans="1:9" ht="15" customHeight="1" x14ac:dyDescent="0.25">
      <c r="A294" t="s">
        <v>56</v>
      </c>
      <c r="B294" t="s">
        <v>1117</v>
      </c>
      <c r="C294" s="1009">
        <f t="shared" si="3"/>
        <v>45196</v>
      </c>
      <c r="D294" s="2">
        <f>'New Deboning Shoulder'!X16</f>
        <v>0</v>
      </c>
      <c r="E294">
        <v>1570</v>
      </c>
      <c r="H294" t="s">
        <v>246</v>
      </c>
      <c r="I294" t="s">
        <v>140</v>
      </c>
    </row>
    <row r="295" spans="1:9" s="24" customFormat="1" ht="15" customHeight="1" x14ac:dyDescent="0.25">
      <c r="A295" s="24" t="s">
        <v>141</v>
      </c>
      <c r="B295" s="24" t="s">
        <v>1119</v>
      </c>
      <c r="C295" s="1010">
        <f t="shared" si="3"/>
        <v>45196</v>
      </c>
      <c r="D295" s="896">
        <f>'New Deboning Middles'!L8</f>
        <v>0</v>
      </c>
      <c r="E295" s="24">
        <v>1570</v>
      </c>
      <c r="F295" s="24">
        <f>'New Deboning Middles'!K8</f>
        <v>0</v>
      </c>
      <c r="H295" s="24" t="s">
        <v>262</v>
      </c>
      <c r="I295" s="24" t="s">
        <v>140</v>
      </c>
    </row>
    <row r="296" spans="1:9" s="24" customFormat="1" ht="15" customHeight="1" x14ac:dyDescent="0.25">
      <c r="A296" s="24" t="s">
        <v>138</v>
      </c>
      <c r="B296" s="24" t="s">
        <v>1120</v>
      </c>
      <c r="C296" s="1010">
        <f t="shared" ref="C296:C359" si="4">DeboningDate</f>
        <v>45196</v>
      </c>
      <c r="D296" s="896">
        <f>'New Deboning Middles'!M8</f>
        <v>0</v>
      </c>
      <c r="E296" s="24">
        <v>1570</v>
      </c>
      <c r="F296" s="24">
        <f>'New Deboning Middles'!K8</f>
        <v>0</v>
      </c>
      <c r="H296" s="24" t="s">
        <v>269</v>
      </c>
      <c r="I296" s="24" t="s">
        <v>140</v>
      </c>
    </row>
    <row r="297" spans="1:9" s="24" customFormat="1" ht="15" customHeight="1" x14ac:dyDescent="0.25">
      <c r="A297" s="24" t="s">
        <v>149</v>
      </c>
      <c r="B297" s="24" t="s">
        <v>1121</v>
      </c>
      <c r="C297" s="1010">
        <f t="shared" si="4"/>
        <v>45196</v>
      </c>
      <c r="D297" s="896">
        <f>'New Deboning Middles'!Q8</f>
        <v>0</v>
      </c>
      <c r="E297" s="24">
        <v>1570</v>
      </c>
      <c r="H297" s="24" t="s">
        <v>206</v>
      </c>
      <c r="I297" s="24" t="s">
        <v>140</v>
      </c>
    </row>
    <row r="298" spans="1:9" s="24" customFormat="1" ht="15" customHeight="1" x14ac:dyDescent="0.25">
      <c r="A298" s="24" t="s">
        <v>3</v>
      </c>
      <c r="B298" s="24" t="s">
        <v>1122</v>
      </c>
      <c r="C298" s="1010">
        <f t="shared" si="4"/>
        <v>45196</v>
      </c>
      <c r="D298" s="1012">
        <f>'New Deboning Middles'!Z8</f>
        <v>0</v>
      </c>
      <c r="E298" s="24">
        <v>1570</v>
      </c>
      <c r="H298" s="24" t="s">
        <v>58</v>
      </c>
      <c r="I298" s="24" t="s">
        <v>140</v>
      </c>
    </row>
    <row r="299" spans="1:9" s="24" customFormat="1" ht="15" customHeight="1" x14ac:dyDescent="0.25">
      <c r="A299" s="24" t="s">
        <v>4</v>
      </c>
      <c r="B299" s="24" t="s">
        <v>1123</v>
      </c>
      <c r="C299" s="1010">
        <f t="shared" si="4"/>
        <v>45196</v>
      </c>
      <c r="D299" s="1012">
        <f>'New Deboning Middles'!W8</f>
        <v>0</v>
      </c>
      <c r="E299" s="24">
        <v>1570</v>
      </c>
      <c r="H299" s="24" t="s">
        <v>265</v>
      </c>
      <c r="I299" s="24" t="s">
        <v>140</v>
      </c>
    </row>
    <row r="300" spans="1:9" s="24" customFormat="1" ht="15" customHeight="1" x14ac:dyDescent="0.25">
      <c r="A300" s="24" t="s">
        <v>6</v>
      </c>
      <c r="B300" s="24" t="s">
        <v>1124</v>
      </c>
      <c r="C300" s="1010">
        <f t="shared" si="4"/>
        <v>45196</v>
      </c>
      <c r="D300" s="1012">
        <f>'New Deboning Middles'!X8</f>
        <v>0</v>
      </c>
      <c r="E300" s="24">
        <v>1570</v>
      </c>
      <c r="H300" s="24" t="s">
        <v>60</v>
      </c>
      <c r="I300" s="24" t="s">
        <v>140</v>
      </c>
    </row>
    <row r="301" spans="1:9" s="24" customFormat="1" ht="15" customHeight="1" x14ac:dyDescent="0.25">
      <c r="A301" s="24" t="s">
        <v>260</v>
      </c>
      <c r="B301" s="24" t="s">
        <v>1125</v>
      </c>
      <c r="C301" s="1010">
        <f t="shared" si="4"/>
        <v>45196</v>
      </c>
      <c r="D301" s="1012">
        <f>'New Deboning Middles'!AC8</f>
        <v>0</v>
      </c>
      <c r="E301" s="24">
        <v>1570</v>
      </c>
      <c r="H301" s="24" t="s">
        <v>627</v>
      </c>
      <c r="I301" s="24" t="s">
        <v>140</v>
      </c>
    </row>
    <row r="302" spans="1:9" s="24" customFormat="1" ht="15" customHeight="1" x14ac:dyDescent="0.25">
      <c r="A302" s="24" t="s">
        <v>56</v>
      </c>
      <c r="B302" s="24" t="s">
        <v>1126</v>
      </c>
      <c r="C302" s="1010">
        <f t="shared" si="4"/>
        <v>45196</v>
      </c>
      <c r="D302" s="1012">
        <f>'New Deboning Middles'!AD8</f>
        <v>0</v>
      </c>
      <c r="E302" s="24">
        <v>1570</v>
      </c>
      <c r="H302" s="24" t="s">
        <v>246</v>
      </c>
      <c r="I302" s="24" t="s">
        <v>140</v>
      </c>
    </row>
    <row r="303" spans="1:9" ht="15" customHeight="1" x14ac:dyDescent="0.25">
      <c r="A303" t="s">
        <v>141</v>
      </c>
      <c r="B303" t="s">
        <v>645</v>
      </c>
      <c r="C303" s="1009">
        <f t="shared" si="4"/>
        <v>45196</v>
      </c>
      <c r="D303" s="2">
        <f>'New Deboning Middles'!L9</f>
        <v>0</v>
      </c>
      <c r="E303">
        <v>1570</v>
      </c>
      <c r="F303">
        <f>'New Deboning Middles'!K9</f>
        <v>0</v>
      </c>
      <c r="H303" t="s">
        <v>262</v>
      </c>
      <c r="I303" t="s">
        <v>140</v>
      </c>
    </row>
    <row r="304" spans="1:9" ht="15" customHeight="1" x14ac:dyDescent="0.25">
      <c r="A304" t="s">
        <v>138</v>
      </c>
      <c r="B304" t="s">
        <v>157</v>
      </c>
      <c r="C304" s="1009">
        <f t="shared" si="4"/>
        <v>45196</v>
      </c>
      <c r="D304" s="2">
        <f>'New Deboning Middles'!M9</f>
        <v>0</v>
      </c>
      <c r="E304">
        <v>1570</v>
      </c>
      <c r="F304">
        <f>'New Deboning Middles'!K9</f>
        <v>0</v>
      </c>
      <c r="H304" t="s">
        <v>269</v>
      </c>
      <c r="I304" t="s">
        <v>244</v>
      </c>
    </row>
    <row r="305" spans="1:9" ht="15" customHeight="1" x14ac:dyDescent="0.25">
      <c r="A305" t="s">
        <v>142</v>
      </c>
      <c r="B305" t="s">
        <v>646</v>
      </c>
      <c r="C305" s="1009">
        <f t="shared" si="4"/>
        <v>45196</v>
      </c>
      <c r="D305" s="2">
        <f>'New Deboning Middles'!Y9</f>
        <v>0</v>
      </c>
      <c r="E305">
        <v>1570</v>
      </c>
      <c r="H305" t="s">
        <v>263</v>
      </c>
      <c r="I305" t="s">
        <v>1194</v>
      </c>
    </row>
    <row r="306" spans="1:9" ht="15" customHeight="1" x14ac:dyDescent="0.25">
      <c r="A306" t="s">
        <v>147</v>
      </c>
      <c r="B306" t="s">
        <v>647</v>
      </c>
      <c r="C306" s="1009">
        <f t="shared" si="4"/>
        <v>45196</v>
      </c>
      <c r="D306" s="2">
        <f>'New Deboning Middles'!R9</f>
        <v>0</v>
      </c>
      <c r="E306">
        <v>1570</v>
      </c>
      <c r="H306" t="s">
        <v>207</v>
      </c>
      <c r="I306" t="s">
        <v>1194</v>
      </c>
    </row>
    <row r="307" spans="1:9" ht="15" customHeight="1" x14ac:dyDescent="0.25">
      <c r="A307" t="s">
        <v>3</v>
      </c>
      <c r="B307" t="s">
        <v>648</v>
      </c>
      <c r="C307" s="1009">
        <f t="shared" si="4"/>
        <v>45196</v>
      </c>
      <c r="D307" s="2">
        <f>'New Deboning Middles'!Z9</f>
        <v>0</v>
      </c>
      <c r="E307">
        <v>1570</v>
      </c>
      <c r="H307" t="s">
        <v>58</v>
      </c>
      <c r="I307" t="s">
        <v>1194</v>
      </c>
    </row>
    <row r="308" spans="1:9" ht="15" customHeight="1" x14ac:dyDescent="0.25">
      <c r="A308" t="s">
        <v>4</v>
      </c>
      <c r="B308" t="s">
        <v>649</v>
      </c>
      <c r="C308" s="1009">
        <f t="shared" si="4"/>
        <v>45196</v>
      </c>
      <c r="D308" s="2">
        <f>'New Deboning Middles'!W9</f>
        <v>0</v>
      </c>
      <c r="E308">
        <v>1570</v>
      </c>
      <c r="H308" t="s">
        <v>265</v>
      </c>
      <c r="I308" t="s">
        <v>1194</v>
      </c>
    </row>
    <row r="309" spans="1:9" ht="15" customHeight="1" x14ac:dyDescent="0.25">
      <c r="A309" t="s">
        <v>6</v>
      </c>
      <c r="B309" t="s">
        <v>650</v>
      </c>
      <c r="C309" s="1009">
        <f t="shared" si="4"/>
        <v>45196</v>
      </c>
      <c r="D309" s="2">
        <f>'New Deboning Middles'!X9</f>
        <v>0</v>
      </c>
      <c r="E309">
        <v>1570</v>
      </c>
      <c r="H309" t="s">
        <v>60</v>
      </c>
      <c r="I309" t="s">
        <v>1194</v>
      </c>
    </row>
    <row r="310" spans="1:9" ht="15" customHeight="1" x14ac:dyDescent="0.25">
      <c r="A310" t="s">
        <v>260</v>
      </c>
      <c r="B310" t="s">
        <v>651</v>
      </c>
      <c r="C310" s="1009">
        <f t="shared" si="4"/>
        <v>45196</v>
      </c>
      <c r="D310" s="2">
        <f>'New Deboning Middles'!AC8</f>
        <v>0</v>
      </c>
      <c r="E310">
        <v>1570</v>
      </c>
      <c r="H310" t="s">
        <v>627</v>
      </c>
      <c r="I310" t="s">
        <v>1194</v>
      </c>
    </row>
    <row r="311" spans="1:9" ht="15" customHeight="1" x14ac:dyDescent="0.25">
      <c r="A311" t="s">
        <v>56</v>
      </c>
      <c r="B311" t="s">
        <v>1127</v>
      </c>
      <c r="C311" s="1009">
        <f t="shared" si="4"/>
        <v>45196</v>
      </c>
      <c r="D311" s="2">
        <f>'New Deboning Middles'!AD9</f>
        <v>0</v>
      </c>
      <c r="E311">
        <v>1570</v>
      </c>
      <c r="H311" t="s">
        <v>246</v>
      </c>
      <c r="I311" t="s">
        <v>140</v>
      </c>
    </row>
    <row r="312" spans="1:9" ht="15" customHeight="1" x14ac:dyDescent="0.25">
      <c r="A312" t="s">
        <v>141</v>
      </c>
      <c r="B312" t="s">
        <v>1129</v>
      </c>
      <c r="C312" s="1009">
        <f t="shared" si="4"/>
        <v>45196</v>
      </c>
      <c r="D312" s="2">
        <f>'New Deboning Middles'!L10</f>
        <v>0</v>
      </c>
      <c r="E312">
        <v>1570</v>
      </c>
      <c r="F312">
        <f>'New Deboning Middles'!K10</f>
        <v>0</v>
      </c>
      <c r="H312" t="s">
        <v>262</v>
      </c>
      <c r="I312" t="s">
        <v>140</v>
      </c>
    </row>
    <row r="313" spans="1:9" ht="15" customHeight="1" x14ac:dyDescent="0.25">
      <c r="A313" t="s">
        <v>138</v>
      </c>
      <c r="B313" t="s">
        <v>1130</v>
      </c>
      <c r="C313" s="1009">
        <f t="shared" si="4"/>
        <v>45196</v>
      </c>
      <c r="D313" s="2">
        <f>'New Deboning Middles'!M10</f>
        <v>0</v>
      </c>
      <c r="E313">
        <v>1570</v>
      </c>
      <c r="F313">
        <f>'New Deboning Middles'!M10</f>
        <v>0</v>
      </c>
      <c r="H313" t="s">
        <v>269</v>
      </c>
      <c r="I313" t="s">
        <v>140</v>
      </c>
    </row>
    <row r="314" spans="1:9" ht="15" customHeight="1" x14ac:dyDescent="0.25">
      <c r="A314" t="s">
        <v>142</v>
      </c>
      <c r="B314" t="s">
        <v>1131</v>
      </c>
      <c r="C314" s="1009">
        <f t="shared" si="4"/>
        <v>45196</v>
      </c>
      <c r="D314" s="2">
        <f>'New Deboning Middles'!Y10</f>
        <v>0</v>
      </c>
      <c r="E314">
        <v>1570</v>
      </c>
      <c r="H314" t="s">
        <v>263</v>
      </c>
      <c r="I314" t="s">
        <v>140</v>
      </c>
    </row>
    <row r="315" spans="1:9" ht="15" customHeight="1" x14ac:dyDescent="0.25">
      <c r="A315" t="s">
        <v>151</v>
      </c>
      <c r="B315" t="s">
        <v>1132</v>
      </c>
      <c r="C315" s="1009">
        <f t="shared" si="4"/>
        <v>45196</v>
      </c>
      <c r="D315" s="2">
        <f>'New Deboning Middles'!T10</f>
        <v>0</v>
      </c>
      <c r="E315">
        <v>1570</v>
      </c>
      <c r="H315" t="s">
        <v>209</v>
      </c>
      <c r="I315" t="s">
        <v>140</v>
      </c>
    </row>
    <row r="316" spans="1:9" ht="15" customHeight="1" x14ac:dyDescent="0.25">
      <c r="A316" t="s">
        <v>3</v>
      </c>
      <c r="B316" t="s">
        <v>1133</v>
      </c>
      <c r="C316" s="1009">
        <f t="shared" si="4"/>
        <v>45196</v>
      </c>
      <c r="D316" s="2">
        <f>'New Deboning Middles'!Z10</f>
        <v>0</v>
      </c>
      <c r="E316">
        <v>1570</v>
      </c>
      <c r="H316" t="s">
        <v>58</v>
      </c>
      <c r="I316" t="s">
        <v>140</v>
      </c>
    </row>
    <row r="317" spans="1:9" ht="15" customHeight="1" x14ac:dyDescent="0.25">
      <c r="A317" t="s">
        <v>4</v>
      </c>
      <c r="B317" t="s">
        <v>1134</v>
      </c>
      <c r="C317" s="1009">
        <f t="shared" si="4"/>
        <v>45196</v>
      </c>
      <c r="D317" s="2">
        <f>'New Deboning Middles'!W10</f>
        <v>0</v>
      </c>
      <c r="E317">
        <v>1570</v>
      </c>
      <c r="H317" t="s">
        <v>265</v>
      </c>
      <c r="I317" t="s">
        <v>140</v>
      </c>
    </row>
    <row r="318" spans="1:9" ht="15" customHeight="1" x14ac:dyDescent="0.25">
      <c r="A318" t="s">
        <v>5</v>
      </c>
      <c r="B318" t="s">
        <v>1135</v>
      </c>
      <c r="C318" s="1009">
        <f t="shared" si="4"/>
        <v>45196</v>
      </c>
      <c r="D318" s="2">
        <f>'New Deboning Middles'!AA10</f>
        <v>0</v>
      </c>
      <c r="E318">
        <v>1570</v>
      </c>
      <c r="H318" t="s">
        <v>59</v>
      </c>
      <c r="I318" t="s">
        <v>140</v>
      </c>
    </row>
    <row r="319" spans="1:9" ht="15" customHeight="1" x14ac:dyDescent="0.25">
      <c r="A319" t="s">
        <v>6</v>
      </c>
      <c r="B319" t="s">
        <v>1136</v>
      </c>
      <c r="C319" s="1009">
        <f t="shared" si="4"/>
        <v>45196</v>
      </c>
      <c r="D319" s="2">
        <f>'New Deboning Middles'!X10</f>
        <v>0</v>
      </c>
      <c r="E319">
        <v>1570</v>
      </c>
      <c r="H319" t="s">
        <v>60</v>
      </c>
      <c r="I319" t="s">
        <v>140</v>
      </c>
    </row>
    <row r="320" spans="1:9" ht="15" customHeight="1" x14ac:dyDescent="0.25">
      <c r="A320" t="s">
        <v>260</v>
      </c>
      <c r="B320" t="s">
        <v>1137</v>
      </c>
      <c r="C320" s="1009">
        <f t="shared" si="4"/>
        <v>45196</v>
      </c>
      <c r="D320" s="2">
        <f>'New Deboning Middles'!AC10</f>
        <v>0</v>
      </c>
      <c r="E320">
        <v>1570</v>
      </c>
      <c r="H320" t="s">
        <v>627</v>
      </c>
      <c r="I320" t="s">
        <v>140</v>
      </c>
    </row>
    <row r="321" spans="1:9" ht="15" customHeight="1" x14ac:dyDescent="0.25">
      <c r="A321" t="s">
        <v>56</v>
      </c>
      <c r="B321" t="s">
        <v>1138</v>
      </c>
      <c r="C321" s="1009">
        <f t="shared" si="4"/>
        <v>45196</v>
      </c>
      <c r="D321" s="2">
        <f>'New Deboning Middles'!AD10</f>
        <v>0</v>
      </c>
      <c r="E321">
        <v>1570</v>
      </c>
      <c r="H321" t="s">
        <v>246</v>
      </c>
      <c r="I321" t="s">
        <v>140</v>
      </c>
    </row>
    <row r="322" spans="1:9" ht="15" customHeight="1" x14ac:dyDescent="0.25">
      <c r="A322" t="s">
        <v>141</v>
      </c>
      <c r="B322" t="s">
        <v>652</v>
      </c>
      <c r="C322" s="1009">
        <f t="shared" si="4"/>
        <v>45196</v>
      </c>
      <c r="D322" s="2">
        <f>'New Deboning Middles'!L11</f>
        <v>3190.4061371841153</v>
      </c>
      <c r="E322">
        <v>1570</v>
      </c>
      <c r="F322">
        <f>'New Deboning Middles'!K11</f>
        <v>332</v>
      </c>
      <c r="H322" t="s">
        <v>262</v>
      </c>
      <c r="I322" t="s">
        <v>140</v>
      </c>
    </row>
    <row r="323" spans="1:9" ht="15" customHeight="1" x14ac:dyDescent="0.25">
      <c r="A323" t="s">
        <v>138</v>
      </c>
      <c r="B323" t="s">
        <v>167</v>
      </c>
      <c r="C323" s="1009">
        <f t="shared" si="4"/>
        <v>45196</v>
      </c>
      <c r="D323" s="2">
        <f>'New Deboning Middles'!M11</f>
        <v>718</v>
      </c>
      <c r="E323">
        <v>1570</v>
      </c>
      <c r="F323">
        <f>'New Deboning Middles'!K11</f>
        <v>332</v>
      </c>
      <c r="H323" t="s">
        <v>269</v>
      </c>
      <c r="I323" t="s">
        <v>244</v>
      </c>
    </row>
    <row r="324" spans="1:9" ht="15" customHeight="1" x14ac:dyDescent="0.25">
      <c r="A324" t="s">
        <v>142</v>
      </c>
      <c r="B324" t="s">
        <v>653</v>
      </c>
      <c r="C324" s="1009">
        <f t="shared" si="4"/>
        <v>45196</v>
      </c>
      <c r="D324" s="2">
        <f>'New Deboning Middles'!Y11</f>
        <v>310.86667441385572</v>
      </c>
      <c r="E324">
        <v>1570</v>
      </c>
      <c r="H324" t="s">
        <v>263</v>
      </c>
      <c r="I324" t="s">
        <v>1194</v>
      </c>
    </row>
    <row r="325" spans="1:9" ht="15" customHeight="1" x14ac:dyDescent="0.25">
      <c r="A325" t="s">
        <v>144</v>
      </c>
      <c r="B325" t="s">
        <v>654</v>
      </c>
      <c r="C325" s="1009">
        <f t="shared" si="4"/>
        <v>45196</v>
      </c>
      <c r="D325" s="2">
        <f>'New Deboning Middles'!U11</f>
        <v>0</v>
      </c>
      <c r="E325">
        <v>1570</v>
      </c>
      <c r="H325" t="s">
        <v>211</v>
      </c>
      <c r="I325" t="s">
        <v>1194</v>
      </c>
    </row>
    <row r="326" spans="1:9" ht="15" customHeight="1" x14ac:dyDescent="0.25">
      <c r="A326" t="s">
        <v>3</v>
      </c>
      <c r="B326" t="s">
        <v>655</v>
      </c>
      <c r="C326" s="1009">
        <f t="shared" si="4"/>
        <v>45196</v>
      </c>
      <c r="D326" s="2">
        <f>'New Deboning Middles'!Z11</f>
        <v>82.476047449820044</v>
      </c>
      <c r="E326">
        <v>1570</v>
      </c>
      <c r="H326" t="s">
        <v>58</v>
      </c>
      <c r="I326" t="s">
        <v>1194</v>
      </c>
    </row>
    <row r="327" spans="1:9" ht="15" customHeight="1" x14ac:dyDescent="0.25">
      <c r="A327" t="s">
        <v>4</v>
      </c>
      <c r="B327" t="s">
        <v>656</v>
      </c>
      <c r="C327" s="1009">
        <f t="shared" si="4"/>
        <v>45196</v>
      </c>
      <c r="D327" s="2">
        <f>'New Deboning Middles'!W11</f>
        <v>582.79669516559466</v>
      </c>
      <c r="E327">
        <v>1570</v>
      </c>
      <c r="H327" t="s">
        <v>265</v>
      </c>
      <c r="I327" t="s">
        <v>1194</v>
      </c>
    </row>
    <row r="328" spans="1:9" ht="15" customHeight="1" x14ac:dyDescent="0.25">
      <c r="A328" t="s">
        <v>5</v>
      </c>
      <c r="B328" t="s">
        <v>657</v>
      </c>
      <c r="C328" s="1009">
        <f t="shared" si="4"/>
        <v>45196</v>
      </c>
      <c r="D328" s="2">
        <f>'New Deboning Middles'!AA11</f>
        <v>0</v>
      </c>
      <c r="E328">
        <v>1570</v>
      </c>
      <c r="H328" t="s">
        <v>59</v>
      </c>
      <c r="I328" t="s">
        <v>1194</v>
      </c>
    </row>
    <row r="329" spans="1:9" ht="15" customHeight="1" x14ac:dyDescent="0.25">
      <c r="A329" t="s">
        <v>260</v>
      </c>
      <c r="B329" t="s">
        <v>658</v>
      </c>
      <c r="C329" s="1009">
        <f t="shared" si="4"/>
        <v>45196</v>
      </c>
      <c r="D329" s="2">
        <f>'New Deboning Middles'!AC11</f>
        <v>146.92065287883514</v>
      </c>
      <c r="E329">
        <v>1570</v>
      </c>
      <c r="H329" t="s">
        <v>627</v>
      </c>
      <c r="I329" t="s">
        <v>1194</v>
      </c>
    </row>
    <row r="330" spans="1:9" ht="15" customHeight="1" x14ac:dyDescent="0.25">
      <c r="A330" t="s">
        <v>6</v>
      </c>
      <c r="B330" t="s">
        <v>659</v>
      </c>
      <c r="C330" s="1009">
        <f t="shared" si="4"/>
        <v>45196</v>
      </c>
      <c r="D330" s="2">
        <f>'New Deboning Middles'!X11</f>
        <v>954.77910158509792</v>
      </c>
      <c r="E330">
        <v>1570</v>
      </c>
      <c r="H330" t="s">
        <v>60</v>
      </c>
      <c r="I330" t="s">
        <v>140</v>
      </c>
    </row>
    <row r="331" spans="1:9" ht="15" customHeight="1" x14ac:dyDescent="0.25">
      <c r="A331" t="s">
        <v>56</v>
      </c>
      <c r="B331" t="s">
        <v>1139</v>
      </c>
      <c r="C331" s="1009">
        <f t="shared" si="4"/>
        <v>45196</v>
      </c>
      <c r="D331" s="2">
        <f>'New Deboning Middles'!AD11</f>
        <v>0</v>
      </c>
      <c r="E331">
        <v>1570</v>
      </c>
      <c r="H331" t="s">
        <v>246</v>
      </c>
      <c r="I331" t="s">
        <v>961</v>
      </c>
    </row>
    <row r="332" spans="1:9" ht="15" customHeight="1" x14ac:dyDescent="0.25">
      <c r="A332" t="s">
        <v>141</v>
      </c>
      <c r="B332" t="s">
        <v>660</v>
      </c>
      <c r="C332" s="1009">
        <f t="shared" si="4"/>
        <v>45196</v>
      </c>
      <c r="D332" s="2">
        <f>'New Deboning Middles'!L12</f>
        <v>0</v>
      </c>
      <c r="E332">
        <v>1570</v>
      </c>
      <c r="F332">
        <f>'New Deboning Middles'!K12</f>
        <v>0</v>
      </c>
      <c r="H332" t="s">
        <v>262</v>
      </c>
      <c r="I332" t="s">
        <v>140</v>
      </c>
    </row>
    <row r="333" spans="1:9" ht="15" customHeight="1" x14ac:dyDescent="0.25">
      <c r="A333" t="s">
        <v>114</v>
      </c>
      <c r="B333" t="s">
        <v>150</v>
      </c>
      <c r="C333" s="1009">
        <f t="shared" si="4"/>
        <v>45196</v>
      </c>
      <c r="D333" s="2">
        <f>'New Deboning Middles'!M12</f>
        <v>0</v>
      </c>
      <c r="E333">
        <v>1570</v>
      </c>
      <c r="F333">
        <f>'New Deboning Middles'!K12</f>
        <v>0</v>
      </c>
      <c r="H333" t="s">
        <v>276</v>
      </c>
      <c r="I333" t="s">
        <v>244</v>
      </c>
    </row>
    <row r="334" spans="1:9" ht="15" customHeight="1" x14ac:dyDescent="0.25">
      <c r="A334" t="s">
        <v>143</v>
      </c>
      <c r="B334" t="s">
        <v>661</v>
      </c>
      <c r="C334" s="1009">
        <f t="shared" si="4"/>
        <v>45196</v>
      </c>
      <c r="D334" s="2">
        <f>'New Deboning Middles'!AB12</f>
        <v>0</v>
      </c>
      <c r="E334">
        <v>1570</v>
      </c>
      <c r="H334" t="s">
        <v>264</v>
      </c>
      <c r="I334" t="s">
        <v>1194</v>
      </c>
    </row>
    <row r="335" spans="1:9" ht="15" customHeight="1" x14ac:dyDescent="0.25">
      <c r="A335" t="s">
        <v>149</v>
      </c>
      <c r="B335" t="s">
        <v>662</v>
      </c>
      <c r="C335" s="1009">
        <f t="shared" si="4"/>
        <v>45196</v>
      </c>
      <c r="D335" s="2">
        <f>'New Deboning Middles'!Q12</f>
        <v>0</v>
      </c>
      <c r="E335">
        <v>1570</v>
      </c>
      <c r="H335" t="s">
        <v>206</v>
      </c>
      <c r="I335" t="s">
        <v>1194</v>
      </c>
    </row>
    <row r="336" spans="1:9" ht="15" customHeight="1" x14ac:dyDescent="0.25">
      <c r="A336" t="s">
        <v>3</v>
      </c>
      <c r="B336" t="s">
        <v>663</v>
      </c>
      <c r="C336" s="1009">
        <f t="shared" si="4"/>
        <v>45196</v>
      </c>
      <c r="D336" s="896">
        <f>'New Deboning Middles'!Z12</f>
        <v>0</v>
      </c>
      <c r="E336">
        <v>1570</v>
      </c>
      <c r="H336" t="s">
        <v>58</v>
      </c>
      <c r="I336" t="s">
        <v>1194</v>
      </c>
    </row>
    <row r="337" spans="1:9" ht="15" customHeight="1" x14ac:dyDescent="0.25">
      <c r="A337" t="s">
        <v>4</v>
      </c>
      <c r="B337" t="s">
        <v>664</v>
      </c>
      <c r="C337" s="1009">
        <f t="shared" si="4"/>
        <v>45196</v>
      </c>
      <c r="D337" s="896">
        <f>'New Deboning Middles'!W12</f>
        <v>0</v>
      </c>
      <c r="E337">
        <v>1570</v>
      </c>
      <c r="H337" t="s">
        <v>265</v>
      </c>
      <c r="I337" t="s">
        <v>1194</v>
      </c>
    </row>
    <row r="338" spans="1:9" ht="15" customHeight="1" x14ac:dyDescent="0.25">
      <c r="A338" t="s">
        <v>5</v>
      </c>
      <c r="B338" t="s">
        <v>665</v>
      </c>
      <c r="C338" s="1009">
        <f t="shared" si="4"/>
        <v>45196</v>
      </c>
      <c r="D338" s="2">
        <f>'New Deboning Middles'!AA12</f>
        <v>0</v>
      </c>
      <c r="E338">
        <v>1570</v>
      </c>
      <c r="H338" t="s">
        <v>59</v>
      </c>
      <c r="I338" t="s">
        <v>1194</v>
      </c>
    </row>
    <row r="339" spans="1:9" ht="15" customHeight="1" x14ac:dyDescent="0.25">
      <c r="A339" t="s">
        <v>6</v>
      </c>
      <c r="B339" t="s">
        <v>666</v>
      </c>
      <c r="C339" s="1009">
        <f t="shared" si="4"/>
        <v>45196</v>
      </c>
      <c r="D339" s="896">
        <f>'New Deboning Middles'!X12</f>
        <v>0</v>
      </c>
      <c r="E339">
        <v>1570</v>
      </c>
      <c r="H339" t="s">
        <v>60</v>
      </c>
      <c r="I339" t="s">
        <v>1194</v>
      </c>
    </row>
    <row r="340" spans="1:9" ht="15" customHeight="1" x14ac:dyDescent="0.25">
      <c r="A340" t="s">
        <v>260</v>
      </c>
      <c r="B340" t="s">
        <v>667</v>
      </c>
      <c r="C340" s="1009">
        <f t="shared" si="4"/>
        <v>45196</v>
      </c>
      <c r="D340" s="896">
        <f>'New Deboning Middles'!AC12</f>
        <v>0</v>
      </c>
      <c r="E340">
        <v>1570</v>
      </c>
      <c r="H340" t="s">
        <v>261</v>
      </c>
      <c r="I340" t="s">
        <v>1194</v>
      </c>
    </row>
    <row r="341" spans="1:9" ht="15" customHeight="1" x14ac:dyDescent="0.25">
      <c r="A341" t="s">
        <v>56</v>
      </c>
      <c r="B341" t="s">
        <v>1140</v>
      </c>
      <c r="C341" s="1009">
        <f t="shared" si="4"/>
        <v>45196</v>
      </c>
      <c r="D341" s="1012">
        <f>'New Deboning Middles'!AD12</f>
        <v>0</v>
      </c>
      <c r="E341">
        <v>1570</v>
      </c>
      <c r="H341" t="s">
        <v>246</v>
      </c>
      <c r="I341" t="s">
        <v>961</v>
      </c>
    </row>
    <row r="342" spans="1:9" ht="15" customHeight="1" x14ac:dyDescent="0.25">
      <c r="A342" t="s">
        <v>141</v>
      </c>
      <c r="B342" t="s">
        <v>668</v>
      </c>
      <c r="C342" s="1009">
        <f t="shared" si="4"/>
        <v>45196</v>
      </c>
      <c r="D342" s="2">
        <f>'New Deboning Middles'!L13</f>
        <v>0</v>
      </c>
      <c r="E342">
        <v>1570</v>
      </c>
      <c r="F342">
        <f>'New Deboning Middles'!K13</f>
        <v>0</v>
      </c>
      <c r="H342" t="s">
        <v>262</v>
      </c>
      <c r="I342" t="s">
        <v>140</v>
      </c>
    </row>
    <row r="343" spans="1:9" ht="15" customHeight="1" x14ac:dyDescent="0.25">
      <c r="A343" t="s">
        <v>114</v>
      </c>
      <c r="B343" t="s">
        <v>148</v>
      </c>
      <c r="C343" s="1009">
        <f t="shared" si="4"/>
        <v>45196</v>
      </c>
      <c r="D343" s="2">
        <f>'New Deboning Middles'!M13</f>
        <v>0</v>
      </c>
      <c r="E343">
        <v>1570</v>
      </c>
      <c r="F343">
        <f>'New Deboning Middles'!K13</f>
        <v>0</v>
      </c>
      <c r="H343" t="s">
        <v>276</v>
      </c>
      <c r="I343" t="s">
        <v>140</v>
      </c>
    </row>
    <row r="344" spans="1:9" ht="15" customHeight="1" x14ac:dyDescent="0.25">
      <c r="A344" t="s">
        <v>142</v>
      </c>
      <c r="B344" t="s">
        <v>669</v>
      </c>
      <c r="C344" s="1009">
        <f t="shared" si="4"/>
        <v>45196</v>
      </c>
      <c r="D344" s="2">
        <f>'New Deboning Middles'!Y13</f>
        <v>0</v>
      </c>
      <c r="E344">
        <v>1570</v>
      </c>
      <c r="H344" t="s">
        <v>263</v>
      </c>
      <c r="I344" t="s">
        <v>1194</v>
      </c>
    </row>
    <row r="345" spans="1:9" ht="15" customHeight="1" x14ac:dyDescent="0.25">
      <c r="A345" t="s">
        <v>143</v>
      </c>
      <c r="B345" t="s">
        <v>670</v>
      </c>
      <c r="C345" s="1009">
        <f t="shared" si="4"/>
        <v>45196</v>
      </c>
      <c r="D345" s="2">
        <f>'New Deboning Middles'!AB13</f>
        <v>0</v>
      </c>
      <c r="E345">
        <v>1570</v>
      </c>
      <c r="H345" t="s">
        <v>264</v>
      </c>
      <c r="I345" t="s">
        <v>1194</v>
      </c>
    </row>
    <row r="346" spans="1:9" ht="15" customHeight="1" x14ac:dyDescent="0.25">
      <c r="A346" t="s">
        <v>147</v>
      </c>
      <c r="B346" t="s">
        <v>671</v>
      </c>
      <c r="C346" s="1009">
        <f t="shared" si="4"/>
        <v>45196</v>
      </c>
      <c r="D346" s="2">
        <f>'New Deboning Middles'!R13</f>
        <v>0</v>
      </c>
      <c r="E346">
        <v>1570</v>
      </c>
      <c r="H346" t="s">
        <v>207</v>
      </c>
      <c r="I346" t="s">
        <v>1194</v>
      </c>
    </row>
    <row r="347" spans="1:9" ht="15" customHeight="1" x14ac:dyDescent="0.25">
      <c r="A347" t="s">
        <v>3</v>
      </c>
      <c r="B347" t="s">
        <v>672</v>
      </c>
      <c r="C347" s="1009">
        <f t="shared" si="4"/>
        <v>45196</v>
      </c>
      <c r="D347" s="2">
        <f>'New Deboning Middles'!Z13</f>
        <v>0</v>
      </c>
      <c r="E347">
        <v>1570</v>
      </c>
      <c r="H347" t="s">
        <v>58</v>
      </c>
      <c r="I347" t="s">
        <v>1194</v>
      </c>
    </row>
    <row r="348" spans="1:9" ht="15" customHeight="1" x14ac:dyDescent="0.25">
      <c r="A348" t="s">
        <v>4</v>
      </c>
      <c r="B348" t="s">
        <v>673</v>
      </c>
      <c r="C348" s="1009">
        <f t="shared" si="4"/>
        <v>45196</v>
      </c>
      <c r="D348" s="2">
        <f>'New Deboning Middles'!W13</f>
        <v>0</v>
      </c>
      <c r="E348">
        <v>1570</v>
      </c>
      <c r="H348" t="s">
        <v>265</v>
      </c>
      <c r="I348" t="s">
        <v>1194</v>
      </c>
    </row>
    <row r="349" spans="1:9" ht="15" customHeight="1" x14ac:dyDescent="0.25">
      <c r="A349" t="s">
        <v>5</v>
      </c>
      <c r="B349" t="s">
        <v>674</v>
      </c>
      <c r="C349" s="1009">
        <f t="shared" si="4"/>
        <v>45196</v>
      </c>
      <c r="D349" s="2">
        <f>'New Deboning Middles'!AA13</f>
        <v>0</v>
      </c>
      <c r="E349">
        <v>1570</v>
      </c>
      <c r="H349" t="s">
        <v>59</v>
      </c>
      <c r="I349" t="s">
        <v>1194</v>
      </c>
    </row>
    <row r="350" spans="1:9" ht="15" customHeight="1" x14ac:dyDescent="0.25">
      <c r="A350" t="s">
        <v>6</v>
      </c>
      <c r="B350" t="s">
        <v>675</v>
      </c>
      <c r="C350" s="1009">
        <f t="shared" si="4"/>
        <v>45196</v>
      </c>
      <c r="D350" s="2">
        <f>'New Deboning Middles'!X13</f>
        <v>0</v>
      </c>
      <c r="E350">
        <v>1570</v>
      </c>
      <c r="H350" t="s">
        <v>60</v>
      </c>
      <c r="I350" t="s">
        <v>1194</v>
      </c>
    </row>
    <row r="351" spans="1:9" ht="15" customHeight="1" x14ac:dyDescent="0.25">
      <c r="A351" t="s">
        <v>260</v>
      </c>
      <c r="B351" t="s">
        <v>676</v>
      </c>
      <c r="C351" s="1009">
        <f t="shared" si="4"/>
        <v>45196</v>
      </c>
      <c r="D351" s="2">
        <f>'New Deboning Middles'!AC13</f>
        <v>0</v>
      </c>
      <c r="E351">
        <v>1570</v>
      </c>
      <c r="H351" t="s">
        <v>261</v>
      </c>
      <c r="I351" t="s">
        <v>1194</v>
      </c>
    </row>
    <row r="352" spans="1:9" ht="15" customHeight="1" x14ac:dyDescent="0.25">
      <c r="A352" t="s">
        <v>56</v>
      </c>
      <c r="B352" t="s">
        <v>1141</v>
      </c>
      <c r="C352" s="1009">
        <f t="shared" si="4"/>
        <v>45196</v>
      </c>
      <c r="D352" s="2">
        <f>'New Deboning Middles'!AD13</f>
        <v>0</v>
      </c>
      <c r="E352">
        <v>1570</v>
      </c>
      <c r="H352" t="s">
        <v>246</v>
      </c>
      <c r="I352" t="s">
        <v>961</v>
      </c>
    </row>
    <row r="353" spans="1:9" ht="15" customHeight="1" x14ac:dyDescent="0.25">
      <c r="A353" t="s">
        <v>141</v>
      </c>
      <c r="B353" t="s">
        <v>677</v>
      </c>
      <c r="C353" s="1009">
        <f t="shared" si="4"/>
        <v>45196</v>
      </c>
      <c r="D353" s="2">
        <f>'New Deboning Middles'!L14</f>
        <v>0</v>
      </c>
      <c r="E353">
        <v>1570</v>
      </c>
      <c r="F353">
        <f>'New Deboning Middles'!K14</f>
        <v>0</v>
      </c>
      <c r="H353" t="s">
        <v>262</v>
      </c>
      <c r="I353" t="s">
        <v>140</v>
      </c>
    </row>
    <row r="354" spans="1:9" ht="15" customHeight="1" x14ac:dyDescent="0.25">
      <c r="A354" t="s">
        <v>114</v>
      </c>
      <c r="B354" t="s">
        <v>612</v>
      </c>
      <c r="C354" s="1009">
        <f t="shared" si="4"/>
        <v>45196</v>
      </c>
      <c r="D354" s="2">
        <f>'New Deboning Middles'!M14</f>
        <v>0</v>
      </c>
      <c r="E354">
        <v>1570</v>
      </c>
      <c r="F354">
        <f>'New Deboning Middles'!K14</f>
        <v>0</v>
      </c>
      <c r="H354" t="s">
        <v>276</v>
      </c>
      <c r="I354" t="s">
        <v>140</v>
      </c>
    </row>
    <row r="355" spans="1:9" ht="15" customHeight="1" x14ac:dyDescent="0.25">
      <c r="A355" t="s">
        <v>142</v>
      </c>
      <c r="B355" t="s">
        <v>678</v>
      </c>
      <c r="C355" s="1009">
        <f t="shared" si="4"/>
        <v>45196</v>
      </c>
      <c r="D355" s="2">
        <f>'New Deboning Middles'!Y14</f>
        <v>0</v>
      </c>
      <c r="E355">
        <v>1570</v>
      </c>
      <c r="H355" t="s">
        <v>263</v>
      </c>
      <c r="I355" t="s">
        <v>140</v>
      </c>
    </row>
    <row r="356" spans="1:9" ht="15" customHeight="1" x14ac:dyDescent="0.25">
      <c r="A356" t="s">
        <v>143</v>
      </c>
      <c r="B356" t="s">
        <v>679</v>
      </c>
      <c r="C356" s="1009">
        <f t="shared" si="4"/>
        <v>45196</v>
      </c>
      <c r="D356" s="2">
        <f>'New Deboning Middles'!AB14</f>
        <v>0</v>
      </c>
      <c r="E356">
        <v>1570</v>
      </c>
      <c r="H356" t="s">
        <v>264</v>
      </c>
      <c r="I356" t="s">
        <v>140</v>
      </c>
    </row>
    <row r="357" spans="1:9" ht="15" customHeight="1" x14ac:dyDescent="0.25">
      <c r="A357" t="s">
        <v>147</v>
      </c>
      <c r="B357" t="s">
        <v>680</v>
      </c>
      <c r="C357" s="1009">
        <f t="shared" si="4"/>
        <v>45196</v>
      </c>
      <c r="D357" s="2">
        <f>'New Deboning Middles'!R14</f>
        <v>0</v>
      </c>
      <c r="E357">
        <v>1570</v>
      </c>
      <c r="H357" t="s">
        <v>207</v>
      </c>
      <c r="I357" t="s">
        <v>140</v>
      </c>
    </row>
    <row r="358" spans="1:9" ht="15" customHeight="1" x14ac:dyDescent="0.25">
      <c r="A358" t="s">
        <v>3</v>
      </c>
      <c r="B358" t="s">
        <v>681</v>
      </c>
      <c r="C358" s="1009">
        <f t="shared" si="4"/>
        <v>45196</v>
      </c>
      <c r="D358" s="2">
        <f>'New Deboning Middles'!Z14</f>
        <v>0</v>
      </c>
      <c r="E358">
        <v>1570</v>
      </c>
      <c r="H358" t="s">
        <v>58</v>
      </c>
      <c r="I358" t="s">
        <v>140</v>
      </c>
    </row>
    <row r="359" spans="1:9" ht="15" customHeight="1" x14ac:dyDescent="0.25">
      <c r="A359" t="s">
        <v>4</v>
      </c>
      <c r="B359" t="s">
        <v>682</v>
      </c>
      <c r="C359" s="1009">
        <f t="shared" si="4"/>
        <v>45196</v>
      </c>
      <c r="D359" s="2">
        <f>'New Deboning Middles'!W14</f>
        <v>0</v>
      </c>
      <c r="E359">
        <v>1570</v>
      </c>
      <c r="H359" t="s">
        <v>265</v>
      </c>
      <c r="I359" t="s">
        <v>140</v>
      </c>
    </row>
    <row r="360" spans="1:9" ht="15" customHeight="1" x14ac:dyDescent="0.25">
      <c r="A360" t="s">
        <v>5</v>
      </c>
      <c r="B360" t="s">
        <v>683</v>
      </c>
      <c r="C360" s="1009">
        <f t="shared" ref="C360:C423" si="5">DeboningDate</f>
        <v>45196</v>
      </c>
      <c r="D360" s="2">
        <f>'New Deboning Middles'!AA14</f>
        <v>0</v>
      </c>
      <c r="E360">
        <v>1570</v>
      </c>
      <c r="H360" t="s">
        <v>59</v>
      </c>
      <c r="I360" t="s">
        <v>140</v>
      </c>
    </row>
    <row r="361" spans="1:9" ht="15" customHeight="1" x14ac:dyDescent="0.25">
      <c r="A361" t="s">
        <v>6</v>
      </c>
      <c r="B361" t="s">
        <v>684</v>
      </c>
      <c r="C361" s="1009">
        <f t="shared" si="5"/>
        <v>45196</v>
      </c>
      <c r="D361" s="2">
        <f>'New Deboning Middles'!X14</f>
        <v>0</v>
      </c>
      <c r="E361">
        <v>1570</v>
      </c>
      <c r="H361" t="s">
        <v>60</v>
      </c>
      <c r="I361" t="s">
        <v>140</v>
      </c>
    </row>
    <row r="362" spans="1:9" ht="15" customHeight="1" x14ac:dyDescent="0.25">
      <c r="A362" t="s">
        <v>141</v>
      </c>
      <c r="B362" t="s">
        <v>685</v>
      </c>
      <c r="C362" s="1009">
        <f t="shared" si="5"/>
        <v>45196</v>
      </c>
      <c r="D362" s="2">
        <f>'New Deboning Middles'!L15</f>
        <v>0</v>
      </c>
      <c r="E362">
        <v>1570</v>
      </c>
      <c r="F362">
        <f>'New Deboning Middles'!K15</f>
        <v>0</v>
      </c>
      <c r="H362" t="s">
        <v>262</v>
      </c>
      <c r="I362" t="s">
        <v>140</v>
      </c>
    </row>
    <row r="363" spans="1:9" ht="15" customHeight="1" x14ac:dyDescent="0.25">
      <c r="A363" t="s">
        <v>114</v>
      </c>
      <c r="B363" t="s">
        <v>152</v>
      </c>
      <c r="C363" s="1009">
        <f t="shared" si="5"/>
        <v>45196</v>
      </c>
      <c r="D363" s="2">
        <f>'New Deboning Middles'!M15</f>
        <v>0</v>
      </c>
      <c r="E363">
        <v>1570</v>
      </c>
      <c r="F363">
        <f>'New Deboning Middles'!K15</f>
        <v>0</v>
      </c>
      <c r="H363" t="s">
        <v>276</v>
      </c>
      <c r="I363" t="s">
        <v>244</v>
      </c>
    </row>
    <row r="364" spans="1:9" ht="15" customHeight="1" x14ac:dyDescent="0.25">
      <c r="A364" t="s">
        <v>142</v>
      </c>
      <c r="B364" t="s">
        <v>686</v>
      </c>
      <c r="C364" s="1009">
        <f t="shared" si="5"/>
        <v>45196</v>
      </c>
      <c r="D364" s="2">
        <f>'New Deboning Middles'!Y15</f>
        <v>0</v>
      </c>
      <c r="E364">
        <v>1570</v>
      </c>
      <c r="H364" t="s">
        <v>263</v>
      </c>
      <c r="I364" t="s">
        <v>1194</v>
      </c>
    </row>
    <row r="365" spans="1:9" ht="15" customHeight="1" x14ac:dyDescent="0.25">
      <c r="A365" t="s">
        <v>143</v>
      </c>
      <c r="B365" t="s">
        <v>687</v>
      </c>
      <c r="C365" s="1009">
        <f t="shared" si="5"/>
        <v>45196</v>
      </c>
      <c r="D365" s="2">
        <f>'New Deboning Middles'!AB15</f>
        <v>0</v>
      </c>
      <c r="E365">
        <v>1570</v>
      </c>
      <c r="H365" t="s">
        <v>264</v>
      </c>
      <c r="I365" t="s">
        <v>1194</v>
      </c>
    </row>
    <row r="366" spans="1:9" ht="15" customHeight="1" x14ac:dyDescent="0.25">
      <c r="A366" t="s">
        <v>151</v>
      </c>
      <c r="B366" t="s">
        <v>688</v>
      </c>
      <c r="C366" s="1009">
        <f t="shared" si="5"/>
        <v>45196</v>
      </c>
      <c r="D366" s="2">
        <f>'New Deboning Middles'!T15</f>
        <v>0</v>
      </c>
      <c r="E366">
        <v>1570</v>
      </c>
      <c r="H366" t="s">
        <v>209</v>
      </c>
      <c r="I366" t="s">
        <v>1194</v>
      </c>
    </row>
    <row r="367" spans="1:9" ht="15" customHeight="1" x14ac:dyDescent="0.25">
      <c r="A367" t="s">
        <v>3</v>
      </c>
      <c r="B367" t="s">
        <v>689</v>
      </c>
      <c r="C367" s="1009">
        <f t="shared" si="5"/>
        <v>45196</v>
      </c>
      <c r="D367" s="2">
        <f>'New Deboning Middles'!Z15</f>
        <v>0</v>
      </c>
      <c r="E367">
        <v>1570</v>
      </c>
      <c r="H367" t="s">
        <v>58</v>
      </c>
      <c r="I367" t="s">
        <v>1194</v>
      </c>
    </row>
    <row r="368" spans="1:9" ht="15" customHeight="1" x14ac:dyDescent="0.25">
      <c r="A368" t="s">
        <v>4</v>
      </c>
      <c r="B368" t="s">
        <v>690</v>
      </c>
      <c r="C368" s="1009">
        <f t="shared" si="5"/>
        <v>45196</v>
      </c>
      <c r="D368" s="2">
        <f>'New Deboning Middles'!W15</f>
        <v>0</v>
      </c>
      <c r="E368">
        <v>1570</v>
      </c>
      <c r="H368" t="s">
        <v>265</v>
      </c>
      <c r="I368" t="s">
        <v>1194</v>
      </c>
    </row>
    <row r="369" spans="1:9" ht="15" customHeight="1" x14ac:dyDescent="0.25">
      <c r="A369" t="s">
        <v>5</v>
      </c>
      <c r="B369" t="s">
        <v>691</v>
      </c>
      <c r="C369" s="1009">
        <f t="shared" si="5"/>
        <v>45196</v>
      </c>
      <c r="D369" s="2">
        <f>'New Deboning Middles'!AA15</f>
        <v>0</v>
      </c>
      <c r="E369">
        <v>1570</v>
      </c>
      <c r="H369" t="s">
        <v>59</v>
      </c>
      <c r="I369" t="s">
        <v>1194</v>
      </c>
    </row>
    <row r="370" spans="1:9" ht="15" customHeight="1" x14ac:dyDescent="0.25">
      <c r="A370" t="s">
        <v>6</v>
      </c>
      <c r="B370" t="s">
        <v>692</v>
      </c>
      <c r="C370" s="1009">
        <f t="shared" si="5"/>
        <v>45196</v>
      </c>
      <c r="D370" s="2">
        <f>'New Deboning Middles'!X15</f>
        <v>0</v>
      </c>
      <c r="E370">
        <v>1570</v>
      </c>
      <c r="H370" t="s">
        <v>60</v>
      </c>
      <c r="I370" t="s">
        <v>1194</v>
      </c>
    </row>
    <row r="371" spans="1:9" ht="15" customHeight="1" x14ac:dyDescent="0.25">
      <c r="A371" t="s">
        <v>260</v>
      </c>
      <c r="B371" t="s">
        <v>693</v>
      </c>
      <c r="C371" s="1009">
        <f t="shared" si="5"/>
        <v>45196</v>
      </c>
      <c r="D371" s="2">
        <f>'New Deboning Middles'!AC15</f>
        <v>0</v>
      </c>
      <c r="E371">
        <v>1570</v>
      </c>
      <c r="H371" t="s">
        <v>261</v>
      </c>
      <c r="I371" t="s">
        <v>1194</v>
      </c>
    </row>
    <row r="372" spans="1:9" ht="15" customHeight="1" x14ac:dyDescent="0.25">
      <c r="A372" t="s">
        <v>56</v>
      </c>
      <c r="B372" t="s">
        <v>1142</v>
      </c>
      <c r="C372" s="1009">
        <f t="shared" si="5"/>
        <v>45196</v>
      </c>
      <c r="D372" s="2">
        <f>'New Deboning Middles'!AD15</f>
        <v>0</v>
      </c>
      <c r="E372">
        <v>1570</v>
      </c>
      <c r="H372" t="s">
        <v>246</v>
      </c>
      <c r="I372" t="s">
        <v>140</v>
      </c>
    </row>
    <row r="373" spans="1:9" ht="15" customHeight="1" x14ac:dyDescent="0.25">
      <c r="A373" t="s">
        <v>141</v>
      </c>
      <c r="B373" t="s">
        <v>694</v>
      </c>
      <c r="C373" s="1009">
        <f t="shared" si="5"/>
        <v>45196</v>
      </c>
      <c r="D373" s="2">
        <f>'New Deboning Middles'!L16</f>
        <v>0</v>
      </c>
      <c r="E373">
        <v>1570</v>
      </c>
      <c r="F373">
        <f>'New Deboning Middles'!K16</f>
        <v>0</v>
      </c>
      <c r="H373" t="s">
        <v>262</v>
      </c>
      <c r="I373" t="s">
        <v>140</v>
      </c>
    </row>
    <row r="374" spans="1:9" ht="15" customHeight="1" x14ac:dyDescent="0.25">
      <c r="A374" t="s">
        <v>114</v>
      </c>
      <c r="B374" t="s">
        <v>146</v>
      </c>
      <c r="C374" s="1009">
        <f t="shared" si="5"/>
        <v>45196</v>
      </c>
      <c r="D374" s="2">
        <f>'New Deboning Middles'!M16</f>
        <v>0</v>
      </c>
      <c r="E374">
        <v>1570</v>
      </c>
      <c r="F374">
        <f>'New Deboning Middles'!K16</f>
        <v>0</v>
      </c>
      <c r="H374" t="s">
        <v>276</v>
      </c>
      <c r="I374" t="s">
        <v>244</v>
      </c>
    </row>
    <row r="375" spans="1:9" ht="15" customHeight="1" x14ac:dyDescent="0.25">
      <c r="A375" t="s">
        <v>142</v>
      </c>
      <c r="B375" t="s">
        <v>695</v>
      </c>
      <c r="C375" s="1009">
        <f t="shared" si="5"/>
        <v>45196</v>
      </c>
      <c r="D375" s="2">
        <f>'New Deboning Middles'!Y16</f>
        <v>0</v>
      </c>
      <c r="E375">
        <v>1570</v>
      </c>
      <c r="H375" t="s">
        <v>263</v>
      </c>
      <c r="I375" t="s">
        <v>1194</v>
      </c>
    </row>
    <row r="376" spans="1:9" ht="15" customHeight="1" x14ac:dyDescent="0.25">
      <c r="A376" t="s">
        <v>143</v>
      </c>
      <c r="B376" t="s">
        <v>696</v>
      </c>
      <c r="C376" s="1009">
        <f t="shared" si="5"/>
        <v>45196</v>
      </c>
      <c r="D376" s="2">
        <f>'New Deboning Middles'!AB16</f>
        <v>0</v>
      </c>
      <c r="E376">
        <v>1570</v>
      </c>
      <c r="H376" t="s">
        <v>264</v>
      </c>
      <c r="I376" t="s">
        <v>1194</v>
      </c>
    </row>
    <row r="377" spans="1:9" ht="15" customHeight="1" x14ac:dyDescent="0.25">
      <c r="A377" t="s">
        <v>144</v>
      </c>
      <c r="B377" t="s">
        <v>697</v>
      </c>
      <c r="C377" s="1009">
        <f t="shared" si="5"/>
        <v>45196</v>
      </c>
      <c r="D377" s="2">
        <f>'New Deboning Middles'!U16</f>
        <v>0</v>
      </c>
      <c r="E377">
        <v>1570</v>
      </c>
      <c r="H377" t="s">
        <v>211</v>
      </c>
      <c r="I377" t="s">
        <v>1194</v>
      </c>
    </row>
    <row r="378" spans="1:9" ht="15" customHeight="1" x14ac:dyDescent="0.25">
      <c r="A378" t="s">
        <v>3</v>
      </c>
      <c r="B378" t="s">
        <v>698</v>
      </c>
      <c r="C378" s="1009">
        <f t="shared" si="5"/>
        <v>45196</v>
      </c>
      <c r="D378" s="2">
        <f>'New Deboning Middles'!Z16</f>
        <v>0</v>
      </c>
      <c r="E378">
        <v>1570</v>
      </c>
      <c r="H378" t="s">
        <v>58</v>
      </c>
      <c r="I378" t="s">
        <v>1194</v>
      </c>
    </row>
    <row r="379" spans="1:9" ht="15" customHeight="1" x14ac:dyDescent="0.25">
      <c r="A379" t="s">
        <v>4</v>
      </c>
      <c r="B379" t="s">
        <v>699</v>
      </c>
      <c r="C379" s="1009">
        <f t="shared" si="5"/>
        <v>45196</v>
      </c>
      <c r="D379" s="2">
        <f>'New Deboning Middles'!W16</f>
        <v>0</v>
      </c>
      <c r="E379">
        <v>1570</v>
      </c>
      <c r="H379" t="s">
        <v>265</v>
      </c>
      <c r="I379" t="s">
        <v>1194</v>
      </c>
    </row>
    <row r="380" spans="1:9" ht="15" customHeight="1" x14ac:dyDescent="0.25">
      <c r="A380" t="s">
        <v>5</v>
      </c>
      <c r="B380" t="s">
        <v>700</v>
      </c>
      <c r="C380" s="1009">
        <f t="shared" si="5"/>
        <v>45196</v>
      </c>
      <c r="D380" s="2">
        <f>'New Deboning Middles'!AA16</f>
        <v>0</v>
      </c>
      <c r="E380">
        <v>1570</v>
      </c>
      <c r="H380" t="s">
        <v>59</v>
      </c>
      <c r="I380" t="s">
        <v>1194</v>
      </c>
    </row>
    <row r="381" spans="1:9" ht="15" customHeight="1" x14ac:dyDescent="0.25">
      <c r="A381" t="s">
        <v>6</v>
      </c>
      <c r="B381" t="s">
        <v>701</v>
      </c>
      <c r="C381" s="1009">
        <f t="shared" si="5"/>
        <v>45196</v>
      </c>
      <c r="D381" s="2">
        <f>'New Deboning Middles'!X16</f>
        <v>0</v>
      </c>
      <c r="E381">
        <v>1570</v>
      </c>
      <c r="H381" t="s">
        <v>60</v>
      </c>
      <c r="I381" t="s">
        <v>1194</v>
      </c>
    </row>
    <row r="382" spans="1:9" ht="15" customHeight="1" x14ac:dyDescent="0.25">
      <c r="A382" t="s">
        <v>260</v>
      </c>
      <c r="B382" t="s">
        <v>702</v>
      </c>
      <c r="C382" s="1009">
        <f t="shared" si="5"/>
        <v>45196</v>
      </c>
      <c r="D382" s="2">
        <f>'New Deboning Middles'!AC16</f>
        <v>0</v>
      </c>
      <c r="E382">
        <v>1570</v>
      </c>
      <c r="H382" t="s">
        <v>261</v>
      </c>
      <c r="I382" t="s">
        <v>1194</v>
      </c>
    </row>
    <row r="383" spans="1:9" ht="15" customHeight="1" x14ac:dyDescent="0.25">
      <c r="A383" t="s">
        <v>56</v>
      </c>
      <c r="B383" t="s">
        <v>1143</v>
      </c>
      <c r="C383" s="1009">
        <f t="shared" si="5"/>
        <v>45196</v>
      </c>
      <c r="D383" s="2">
        <f>'New Deboning Middles'!AD16</f>
        <v>0</v>
      </c>
      <c r="E383">
        <v>1570</v>
      </c>
      <c r="H383" t="s">
        <v>246</v>
      </c>
      <c r="I383" t="s">
        <v>961</v>
      </c>
    </row>
    <row r="384" spans="1:9" ht="15" customHeight="1" x14ac:dyDescent="0.25">
      <c r="A384" t="s">
        <v>141</v>
      </c>
      <c r="B384" t="s">
        <v>703</v>
      </c>
      <c r="C384" s="1009">
        <f t="shared" si="5"/>
        <v>45196</v>
      </c>
      <c r="D384" s="2">
        <f>'New Deboning Middles'!L17</f>
        <v>0</v>
      </c>
      <c r="E384">
        <v>1570</v>
      </c>
      <c r="F384">
        <f>'New Deboning Middles'!K17</f>
        <v>0</v>
      </c>
      <c r="H384" t="s">
        <v>262</v>
      </c>
      <c r="I384" t="s">
        <v>140</v>
      </c>
    </row>
    <row r="385" spans="1:9" ht="15" customHeight="1" x14ac:dyDescent="0.25">
      <c r="A385" t="s">
        <v>114</v>
      </c>
      <c r="B385" t="s">
        <v>605</v>
      </c>
      <c r="C385" s="1009">
        <f t="shared" si="5"/>
        <v>45196</v>
      </c>
      <c r="D385" s="2">
        <f>'New Deboning Middles'!M17</f>
        <v>0</v>
      </c>
      <c r="E385">
        <v>1570</v>
      </c>
      <c r="F385">
        <f>'New Deboning Middles'!K17</f>
        <v>0</v>
      </c>
      <c r="H385" t="s">
        <v>276</v>
      </c>
      <c r="I385" t="s">
        <v>244</v>
      </c>
    </row>
    <row r="386" spans="1:9" ht="15" customHeight="1" x14ac:dyDescent="0.25">
      <c r="A386" t="s">
        <v>142</v>
      </c>
      <c r="B386" t="s">
        <v>704</v>
      </c>
      <c r="C386" s="1009">
        <f t="shared" si="5"/>
        <v>45196</v>
      </c>
      <c r="D386" s="2">
        <f>'New Deboning Middles'!Y17</f>
        <v>0</v>
      </c>
      <c r="E386">
        <v>1570</v>
      </c>
      <c r="H386" t="s">
        <v>263</v>
      </c>
      <c r="I386" t="s">
        <v>1194</v>
      </c>
    </row>
    <row r="387" spans="1:9" ht="15" customHeight="1" x14ac:dyDescent="0.25">
      <c r="A387" t="s">
        <v>143</v>
      </c>
      <c r="B387" t="s">
        <v>705</v>
      </c>
      <c r="C387" s="1009">
        <f t="shared" si="5"/>
        <v>45196</v>
      </c>
      <c r="D387" s="2">
        <f>'New Deboning Middles'!AB17</f>
        <v>0</v>
      </c>
      <c r="E387">
        <v>1570</v>
      </c>
      <c r="H387" t="s">
        <v>264</v>
      </c>
      <c r="I387" t="s">
        <v>1194</v>
      </c>
    </row>
    <row r="388" spans="1:9" ht="15" customHeight="1" x14ac:dyDescent="0.25">
      <c r="A388" t="s">
        <v>144</v>
      </c>
      <c r="B388" t="s">
        <v>706</v>
      </c>
      <c r="C388" s="1009">
        <f t="shared" si="5"/>
        <v>45196</v>
      </c>
      <c r="D388" s="2">
        <f>'New Deboning Middles'!U17</f>
        <v>0</v>
      </c>
      <c r="E388">
        <v>1570</v>
      </c>
      <c r="H388" t="s">
        <v>211</v>
      </c>
      <c r="I388" t="s">
        <v>140</v>
      </c>
    </row>
    <row r="389" spans="1:9" ht="15" customHeight="1" x14ac:dyDescent="0.25">
      <c r="A389" t="s">
        <v>3</v>
      </c>
      <c r="B389" t="s">
        <v>707</v>
      </c>
      <c r="C389" s="1009">
        <f t="shared" si="5"/>
        <v>45196</v>
      </c>
      <c r="D389" s="2">
        <f>'New Deboning Middles'!Z17</f>
        <v>0</v>
      </c>
      <c r="E389">
        <v>1570</v>
      </c>
      <c r="H389" t="s">
        <v>58</v>
      </c>
      <c r="I389" t="s">
        <v>1194</v>
      </c>
    </row>
    <row r="390" spans="1:9" ht="15" customHeight="1" x14ac:dyDescent="0.25">
      <c r="A390" t="s">
        <v>4</v>
      </c>
      <c r="B390" t="s">
        <v>708</v>
      </c>
      <c r="C390" s="1009">
        <f t="shared" si="5"/>
        <v>45196</v>
      </c>
      <c r="D390" s="2">
        <f>'New Deboning Middles'!W17</f>
        <v>0</v>
      </c>
      <c r="E390">
        <v>1570</v>
      </c>
      <c r="H390" t="s">
        <v>265</v>
      </c>
      <c r="I390" t="s">
        <v>1194</v>
      </c>
    </row>
    <row r="391" spans="1:9" ht="15" customHeight="1" x14ac:dyDescent="0.25">
      <c r="A391" t="s">
        <v>5</v>
      </c>
      <c r="B391" t="s">
        <v>709</v>
      </c>
      <c r="C391" s="1009">
        <f t="shared" si="5"/>
        <v>45196</v>
      </c>
      <c r="D391" s="2">
        <f>'New Deboning Middles'!AA17</f>
        <v>0</v>
      </c>
      <c r="E391">
        <v>1570</v>
      </c>
      <c r="H391" t="s">
        <v>59</v>
      </c>
      <c r="I391" t="s">
        <v>1194</v>
      </c>
    </row>
    <row r="392" spans="1:9" ht="15" customHeight="1" x14ac:dyDescent="0.25">
      <c r="A392" t="s">
        <v>6</v>
      </c>
      <c r="B392" t="s">
        <v>710</v>
      </c>
      <c r="C392" s="1009">
        <f t="shared" si="5"/>
        <v>45196</v>
      </c>
      <c r="D392" s="2">
        <f>'New Deboning Middles'!X17</f>
        <v>0</v>
      </c>
      <c r="E392">
        <v>1570</v>
      </c>
      <c r="H392" t="s">
        <v>60</v>
      </c>
      <c r="I392" t="s">
        <v>1194</v>
      </c>
    </row>
    <row r="393" spans="1:9" ht="15" customHeight="1" x14ac:dyDescent="0.25">
      <c r="A393" t="s">
        <v>141</v>
      </c>
      <c r="C393" s="1009">
        <f t="shared" si="5"/>
        <v>45196</v>
      </c>
      <c r="D393" s="2">
        <f>'New Deboning Middles'!L18</f>
        <v>0</v>
      </c>
      <c r="E393">
        <v>1570</v>
      </c>
      <c r="F393">
        <f>'New Deboning Middles'!K18</f>
        <v>0</v>
      </c>
      <c r="H393" t="s">
        <v>262</v>
      </c>
      <c r="I393" t="s">
        <v>140</v>
      </c>
    </row>
    <row r="394" spans="1:9" ht="15" customHeight="1" x14ac:dyDescent="0.25">
      <c r="A394" t="s">
        <v>119</v>
      </c>
      <c r="C394" s="1009">
        <f t="shared" si="5"/>
        <v>45196</v>
      </c>
      <c r="D394" s="2">
        <f>'New Deboning Middles'!M18</f>
        <v>0</v>
      </c>
      <c r="E394">
        <v>1570</v>
      </c>
      <c r="F394">
        <f>'New Deboning Middles'!K18</f>
        <v>0</v>
      </c>
      <c r="H394" t="s">
        <v>274</v>
      </c>
      <c r="I394" t="s">
        <v>140</v>
      </c>
    </row>
    <row r="395" spans="1:9" ht="15" customHeight="1" x14ac:dyDescent="0.25">
      <c r="A395" t="s">
        <v>142</v>
      </c>
      <c r="C395" s="1009">
        <f t="shared" si="5"/>
        <v>45196</v>
      </c>
      <c r="D395" s="2">
        <f>'New Deboning Middles'!Y18</f>
        <v>0</v>
      </c>
      <c r="E395">
        <v>1570</v>
      </c>
      <c r="H395" t="s">
        <v>263</v>
      </c>
      <c r="I395" t="s">
        <v>140</v>
      </c>
    </row>
    <row r="396" spans="1:9" ht="15" customHeight="1" x14ac:dyDescent="0.25">
      <c r="A396" t="s">
        <v>143</v>
      </c>
      <c r="C396" s="1009">
        <f t="shared" si="5"/>
        <v>45196</v>
      </c>
      <c r="D396" s="2">
        <f>'New Deboning Middles'!AB18</f>
        <v>0</v>
      </c>
      <c r="E396">
        <v>1570</v>
      </c>
      <c r="H396" t="s">
        <v>213</v>
      </c>
      <c r="I396" t="s">
        <v>140</v>
      </c>
    </row>
    <row r="397" spans="1:9" ht="15" customHeight="1" x14ac:dyDescent="0.25">
      <c r="A397" t="s">
        <v>149</v>
      </c>
      <c r="C397" s="1009">
        <f t="shared" si="5"/>
        <v>45196</v>
      </c>
      <c r="D397" s="2">
        <f>'New Deboning Middles'!Q18</f>
        <v>0</v>
      </c>
      <c r="E397">
        <v>1570</v>
      </c>
      <c r="H397" t="s">
        <v>206</v>
      </c>
      <c r="I397" t="s">
        <v>140</v>
      </c>
    </row>
    <row r="398" spans="1:9" ht="15" customHeight="1" x14ac:dyDescent="0.25">
      <c r="A398" t="s">
        <v>3</v>
      </c>
      <c r="C398" s="1009">
        <f t="shared" si="5"/>
        <v>45196</v>
      </c>
      <c r="D398" s="2">
        <f>'New Deboning Middles'!Z18</f>
        <v>0</v>
      </c>
      <c r="E398">
        <v>1570</v>
      </c>
      <c r="H398" t="s">
        <v>58</v>
      </c>
      <c r="I398" t="s">
        <v>140</v>
      </c>
    </row>
    <row r="399" spans="1:9" ht="15" customHeight="1" x14ac:dyDescent="0.25">
      <c r="A399" t="s">
        <v>4</v>
      </c>
      <c r="C399" s="1009">
        <f t="shared" si="5"/>
        <v>45196</v>
      </c>
      <c r="D399" s="2">
        <f>'New Deboning Middles'!W18</f>
        <v>0</v>
      </c>
      <c r="E399">
        <v>1570</v>
      </c>
      <c r="H399" t="s">
        <v>265</v>
      </c>
      <c r="I399" t="s">
        <v>140</v>
      </c>
    </row>
    <row r="400" spans="1:9" ht="15" customHeight="1" x14ac:dyDescent="0.25">
      <c r="A400" t="s">
        <v>5</v>
      </c>
      <c r="C400" s="1009">
        <f t="shared" si="5"/>
        <v>45196</v>
      </c>
      <c r="D400" s="2">
        <f>'New Deboning Middles'!AA18</f>
        <v>0</v>
      </c>
      <c r="E400">
        <v>1570</v>
      </c>
      <c r="H400" t="s">
        <v>59</v>
      </c>
      <c r="I400" t="s">
        <v>140</v>
      </c>
    </row>
    <row r="401" spans="1:9" ht="15" customHeight="1" x14ac:dyDescent="0.25">
      <c r="A401" t="s">
        <v>6</v>
      </c>
      <c r="C401" s="1009">
        <f t="shared" si="5"/>
        <v>45196</v>
      </c>
      <c r="D401" s="2">
        <f>'New Deboning Middles'!X18</f>
        <v>0</v>
      </c>
      <c r="E401">
        <v>1570</v>
      </c>
      <c r="H401" t="s">
        <v>60</v>
      </c>
      <c r="I401" t="s">
        <v>140</v>
      </c>
    </row>
    <row r="402" spans="1:9" ht="15" customHeight="1" x14ac:dyDescent="0.25">
      <c r="A402" t="s">
        <v>260</v>
      </c>
      <c r="C402" s="1009">
        <f t="shared" si="5"/>
        <v>45196</v>
      </c>
      <c r="D402" s="2">
        <f>'New Deboning Middles'!AC18</f>
        <v>0</v>
      </c>
      <c r="E402">
        <v>1570</v>
      </c>
      <c r="H402" t="s">
        <v>261</v>
      </c>
      <c r="I402" t="s">
        <v>140</v>
      </c>
    </row>
    <row r="403" spans="1:9" ht="15" customHeight="1" x14ac:dyDescent="0.25">
      <c r="A403" t="s">
        <v>56</v>
      </c>
      <c r="C403" s="1009">
        <f t="shared" si="5"/>
        <v>45196</v>
      </c>
      <c r="D403" s="2">
        <f>'New Deboning Middles'!AD18</f>
        <v>0</v>
      </c>
      <c r="E403">
        <v>1570</v>
      </c>
      <c r="H403" t="s">
        <v>246</v>
      </c>
      <c r="I403" t="s">
        <v>140</v>
      </c>
    </row>
    <row r="404" spans="1:9" ht="15" customHeight="1" x14ac:dyDescent="0.25">
      <c r="A404" t="s">
        <v>141</v>
      </c>
      <c r="C404" s="1009">
        <f t="shared" si="5"/>
        <v>45196</v>
      </c>
      <c r="D404" s="2">
        <f>'New Deboning Middles'!L19</f>
        <v>0</v>
      </c>
      <c r="E404">
        <v>1570</v>
      </c>
      <c r="F404">
        <f>'New Deboning Middles'!K19</f>
        <v>0</v>
      </c>
      <c r="H404" t="s">
        <v>262</v>
      </c>
      <c r="I404" t="s">
        <v>140</v>
      </c>
    </row>
    <row r="405" spans="1:9" ht="15" customHeight="1" x14ac:dyDescent="0.25">
      <c r="A405" t="s">
        <v>119</v>
      </c>
      <c r="C405" s="1009">
        <f t="shared" si="5"/>
        <v>45196</v>
      </c>
      <c r="D405" s="2">
        <f>'New Deboning Middles'!M19</f>
        <v>0</v>
      </c>
      <c r="E405">
        <v>1570</v>
      </c>
      <c r="F405">
        <f>'New Deboning Middles'!K19</f>
        <v>0</v>
      </c>
      <c r="H405" t="s">
        <v>274</v>
      </c>
      <c r="I405" t="s">
        <v>140</v>
      </c>
    </row>
    <row r="406" spans="1:9" ht="15" customHeight="1" x14ac:dyDescent="0.25">
      <c r="A406" t="s">
        <v>142</v>
      </c>
      <c r="C406" s="1009">
        <f t="shared" si="5"/>
        <v>45196</v>
      </c>
      <c r="D406" s="2">
        <f>'New Deboning Middles'!Y19</f>
        <v>0</v>
      </c>
      <c r="E406">
        <v>1570</v>
      </c>
      <c r="H406" t="s">
        <v>263</v>
      </c>
      <c r="I406" t="s">
        <v>140</v>
      </c>
    </row>
    <row r="407" spans="1:9" ht="15" customHeight="1" x14ac:dyDescent="0.25">
      <c r="A407" t="s">
        <v>143</v>
      </c>
      <c r="C407" s="1009">
        <f t="shared" si="5"/>
        <v>45196</v>
      </c>
      <c r="D407" s="2">
        <f>'New Deboning Middles'!AB19</f>
        <v>0</v>
      </c>
      <c r="E407">
        <v>1570</v>
      </c>
      <c r="H407" t="s">
        <v>213</v>
      </c>
      <c r="I407" t="s">
        <v>140</v>
      </c>
    </row>
    <row r="408" spans="1:9" ht="15" customHeight="1" x14ac:dyDescent="0.25">
      <c r="A408" t="s">
        <v>147</v>
      </c>
      <c r="C408" s="1009">
        <f t="shared" si="5"/>
        <v>45196</v>
      </c>
      <c r="D408" s="2">
        <f>'New Deboning Middles'!R19</f>
        <v>0</v>
      </c>
      <c r="E408">
        <v>1570</v>
      </c>
      <c r="H408" t="s">
        <v>207</v>
      </c>
      <c r="I408" t="s">
        <v>140</v>
      </c>
    </row>
    <row r="409" spans="1:9" ht="15" customHeight="1" x14ac:dyDescent="0.25">
      <c r="A409" t="s">
        <v>3</v>
      </c>
      <c r="C409" s="1009">
        <f t="shared" si="5"/>
        <v>45196</v>
      </c>
      <c r="D409" s="2">
        <f>'New Deboning Middles'!Z19</f>
        <v>0</v>
      </c>
      <c r="E409">
        <v>1570</v>
      </c>
      <c r="H409" t="s">
        <v>58</v>
      </c>
      <c r="I409" t="s">
        <v>140</v>
      </c>
    </row>
    <row r="410" spans="1:9" ht="15" customHeight="1" x14ac:dyDescent="0.25">
      <c r="A410" t="s">
        <v>4</v>
      </c>
      <c r="C410" s="1009">
        <f t="shared" si="5"/>
        <v>45196</v>
      </c>
      <c r="D410" s="2">
        <f>'New Deboning Middles'!W19</f>
        <v>0</v>
      </c>
      <c r="E410">
        <v>1570</v>
      </c>
      <c r="H410" t="s">
        <v>265</v>
      </c>
      <c r="I410" t="s">
        <v>140</v>
      </c>
    </row>
    <row r="411" spans="1:9" ht="15" customHeight="1" x14ac:dyDescent="0.25">
      <c r="A411" t="s">
        <v>5</v>
      </c>
      <c r="C411" s="1009">
        <f t="shared" si="5"/>
        <v>45196</v>
      </c>
      <c r="D411" s="2">
        <f>'New Deboning Middles'!AA19</f>
        <v>0</v>
      </c>
      <c r="E411">
        <v>1570</v>
      </c>
      <c r="H411" t="s">
        <v>59</v>
      </c>
      <c r="I411" t="s">
        <v>140</v>
      </c>
    </row>
    <row r="412" spans="1:9" ht="15" customHeight="1" x14ac:dyDescent="0.25">
      <c r="A412" t="s">
        <v>6</v>
      </c>
      <c r="C412" s="1009">
        <f t="shared" si="5"/>
        <v>45196</v>
      </c>
      <c r="D412" s="2">
        <f>'New Deboning Middles'!X19</f>
        <v>0</v>
      </c>
      <c r="E412">
        <v>1570</v>
      </c>
      <c r="H412" t="s">
        <v>60</v>
      </c>
      <c r="I412" t="s">
        <v>140</v>
      </c>
    </row>
    <row r="413" spans="1:9" ht="15" customHeight="1" x14ac:dyDescent="0.25">
      <c r="A413" t="s">
        <v>260</v>
      </c>
      <c r="C413" s="1009">
        <f t="shared" si="5"/>
        <v>45196</v>
      </c>
      <c r="D413" s="2">
        <f>'New Deboning Middles'!AC19</f>
        <v>0</v>
      </c>
      <c r="E413">
        <v>1570</v>
      </c>
      <c r="H413" t="s">
        <v>261</v>
      </c>
      <c r="I413" t="s">
        <v>140</v>
      </c>
    </row>
    <row r="414" spans="1:9" ht="15" customHeight="1" x14ac:dyDescent="0.25">
      <c r="A414" t="s">
        <v>56</v>
      </c>
      <c r="C414" s="1009">
        <f t="shared" si="5"/>
        <v>45196</v>
      </c>
      <c r="D414" s="2">
        <f>'New Deboning Middles'!AD19</f>
        <v>0</v>
      </c>
      <c r="E414">
        <v>1570</v>
      </c>
      <c r="H414" t="s">
        <v>246</v>
      </c>
      <c r="I414" t="s">
        <v>140</v>
      </c>
    </row>
    <row r="415" spans="1:9" ht="15" customHeight="1" x14ac:dyDescent="0.25">
      <c r="A415" t="s">
        <v>141</v>
      </c>
      <c r="B415" t="s">
        <v>711</v>
      </c>
      <c r="C415" s="1009">
        <f t="shared" si="5"/>
        <v>45196</v>
      </c>
      <c r="D415" s="2">
        <f>'New Deboning Middles'!L20</f>
        <v>0</v>
      </c>
      <c r="E415">
        <v>1570</v>
      </c>
      <c r="F415">
        <f>'New Deboning Middles'!K20</f>
        <v>0</v>
      </c>
      <c r="H415" t="s">
        <v>262</v>
      </c>
      <c r="I415" t="s">
        <v>140</v>
      </c>
    </row>
    <row r="416" spans="1:9" ht="15" customHeight="1" x14ac:dyDescent="0.25">
      <c r="A416" t="s">
        <v>119</v>
      </c>
      <c r="B416" t="s">
        <v>153</v>
      </c>
      <c r="C416" s="1009">
        <f t="shared" si="5"/>
        <v>45196</v>
      </c>
      <c r="D416" s="2">
        <f>'New Deboning Middles'!M20</f>
        <v>0</v>
      </c>
      <c r="E416">
        <v>1570</v>
      </c>
      <c r="F416">
        <f>'New Deboning Middles'!K20</f>
        <v>0</v>
      </c>
      <c r="H416" t="s">
        <v>274</v>
      </c>
      <c r="I416" t="s">
        <v>244</v>
      </c>
    </row>
    <row r="417" spans="1:9" ht="15" customHeight="1" x14ac:dyDescent="0.25">
      <c r="A417" t="s">
        <v>142</v>
      </c>
      <c r="B417" t="s">
        <v>712</v>
      </c>
      <c r="C417" s="1009">
        <f t="shared" si="5"/>
        <v>45196</v>
      </c>
      <c r="D417" s="2">
        <f>'New Deboning Middles'!Y20</f>
        <v>0</v>
      </c>
      <c r="E417">
        <v>1570</v>
      </c>
      <c r="H417" t="s">
        <v>263</v>
      </c>
      <c r="I417" t="s">
        <v>1194</v>
      </c>
    </row>
    <row r="418" spans="1:9" ht="15" customHeight="1" x14ac:dyDescent="0.25">
      <c r="A418" t="s">
        <v>143</v>
      </c>
      <c r="B418" t="s">
        <v>713</v>
      </c>
      <c r="C418" s="1009">
        <f t="shared" si="5"/>
        <v>45196</v>
      </c>
      <c r="D418" s="2">
        <f>'New Deboning Middles'!AB20</f>
        <v>0</v>
      </c>
      <c r="E418">
        <v>1570</v>
      </c>
      <c r="H418" t="s">
        <v>213</v>
      </c>
      <c r="I418" t="s">
        <v>1194</v>
      </c>
    </row>
    <row r="419" spans="1:9" ht="15" customHeight="1" x14ac:dyDescent="0.25">
      <c r="A419" t="s">
        <v>144</v>
      </c>
      <c r="B419" t="s">
        <v>714</v>
      </c>
      <c r="C419" s="1009">
        <f t="shared" si="5"/>
        <v>45196</v>
      </c>
      <c r="D419" s="2">
        <f>'New Deboning Middles'!U20</f>
        <v>0</v>
      </c>
      <c r="E419">
        <v>1570</v>
      </c>
      <c r="H419" t="s">
        <v>211</v>
      </c>
      <c r="I419" t="s">
        <v>140</v>
      </c>
    </row>
    <row r="420" spans="1:9" ht="15" customHeight="1" x14ac:dyDescent="0.25">
      <c r="A420" t="s">
        <v>3</v>
      </c>
      <c r="B420" t="s">
        <v>715</v>
      </c>
      <c r="C420" s="1009">
        <f t="shared" si="5"/>
        <v>45196</v>
      </c>
      <c r="D420" s="2">
        <f>'New Deboning Middles'!Z20</f>
        <v>0</v>
      </c>
      <c r="E420">
        <v>1570</v>
      </c>
      <c r="H420" t="s">
        <v>58</v>
      </c>
      <c r="I420" t="s">
        <v>1194</v>
      </c>
    </row>
    <row r="421" spans="1:9" ht="15" customHeight="1" x14ac:dyDescent="0.25">
      <c r="A421" t="s">
        <v>4</v>
      </c>
      <c r="B421" t="s">
        <v>716</v>
      </c>
      <c r="C421" s="1009">
        <f t="shared" si="5"/>
        <v>45196</v>
      </c>
      <c r="D421" s="2">
        <f>'New Deboning Middles'!W20</f>
        <v>0</v>
      </c>
      <c r="E421">
        <v>1570</v>
      </c>
      <c r="H421" t="s">
        <v>265</v>
      </c>
      <c r="I421" t="s">
        <v>1194</v>
      </c>
    </row>
    <row r="422" spans="1:9" ht="15" customHeight="1" x14ac:dyDescent="0.25">
      <c r="A422" t="s">
        <v>5</v>
      </c>
      <c r="B422" t="s">
        <v>717</v>
      </c>
      <c r="C422" s="1009">
        <f t="shared" si="5"/>
        <v>45196</v>
      </c>
      <c r="D422" s="2">
        <f>'New Deboning Middles'!AA20</f>
        <v>0</v>
      </c>
      <c r="E422">
        <v>1570</v>
      </c>
      <c r="H422" t="s">
        <v>59</v>
      </c>
      <c r="I422" t="s">
        <v>1194</v>
      </c>
    </row>
    <row r="423" spans="1:9" ht="15" customHeight="1" x14ac:dyDescent="0.25">
      <c r="A423" t="s">
        <v>6</v>
      </c>
      <c r="B423" t="s">
        <v>718</v>
      </c>
      <c r="C423" s="1009">
        <f t="shared" si="5"/>
        <v>45196</v>
      </c>
      <c r="D423" s="2">
        <f>'New Deboning Middles'!X20</f>
        <v>0</v>
      </c>
      <c r="E423">
        <v>1570</v>
      </c>
      <c r="H423" t="s">
        <v>60</v>
      </c>
      <c r="I423" t="s">
        <v>1194</v>
      </c>
    </row>
    <row r="424" spans="1:9" ht="15" customHeight="1" x14ac:dyDescent="0.25">
      <c r="A424" t="s">
        <v>260</v>
      </c>
      <c r="B424" t="s">
        <v>719</v>
      </c>
      <c r="C424" s="1009">
        <f t="shared" ref="C424:C487" si="6">DeboningDate</f>
        <v>45196</v>
      </c>
      <c r="D424" s="2">
        <f>'New Deboning Middles'!AC20</f>
        <v>0</v>
      </c>
      <c r="E424">
        <v>1570</v>
      </c>
      <c r="H424" t="s">
        <v>261</v>
      </c>
      <c r="I424" t="s">
        <v>1194</v>
      </c>
    </row>
    <row r="425" spans="1:9" ht="15" customHeight="1" x14ac:dyDescent="0.25">
      <c r="A425" t="s">
        <v>56</v>
      </c>
      <c r="B425" t="s">
        <v>1144</v>
      </c>
      <c r="C425" s="1009">
        <f t="shared" si="6"/>
        <v>45196</v>
      </c>
      <c r="D425" s="2">
        <f>'New Deboning Middles'!AD20</f>
        <v>0</v>
      </c>
      <c r="E425">
        <v>1570</v>
      </c>
      <c r="H425" t="s">
        <v>246</v>
      </c>
      <c r="I425" t="s">
        <v>961</v>
      </c>
    </row>
    <row r="426" spans="1:9" ht="15" customHeight="1" x14ac:dyDescent="0.25">
      <c r="A426" t="s">
        <v>141</v>
      </c>
      <c r="B426" t="s">
        <v>720</v>
      </c>
      <c r="C426" s="1009">
        <f t="shared" si="6"/>
        <v>45196</v>
      </c>
      <c r="D426" s="2">
        <f>'New Deboning Middles'!L21</f>
        <v>0</v>
      </c>
      <c r="E426">
        <v>1570</v>
      </c>
      <c r="F426">
        <f>'New Deboning Middles'!K21</f>
        <v>0</v>
      </c>
      <c r="H426" t="s">
        <v>262</v>
      </c>
      <c r="I426" t="s">
        <v>140</v>
      </c>
    </row>
    <row r="427" spans="1:9" ht="15" customHeight="1" x14ac:dyDescent="0.25">
      <c r="A427" t="s">
        <v>119</v>
      </c>
      <c r="B427" t="s">
        <v>154</v>
      </c>
      <c r="C427" s="1009">
        <f t="shared" si="6"/>
        <v>45196</v>
      </c>
      <c r="D427" s="2">
        <f>'New Deboning Middles'!M21</f>
        <v>0</v>
      </c>
      <c r="E427">
        <v>1570</v>
      </c>
      <c r="F427">
        <f>'New Deboning Middles'!K21</f>
        <v>0</v>
      </c>
      <c r="H427" t="s">
        <v>274</v>
      </c>
      <c r="I427" t="s">
        <v>244</v>
      </c>
    </row>
    <row r="428" spans="1:9" ht="15" customHeight="1" x14ac:dyDescent="0.25">
      <c r="A428" t="s">
        <v>142</v>
      </c>
      <c r="B428" t="s">
        <v>721</v>
      </c>
      <c r="C428" s="1009">
        <f t="shared" si="6"/>
        <v>45196</v>
      </c>
      <c r="D428" s="2">
        <f>'New Deboning Middles'!Y21</f>
        <v>0</v>
      </c>
      <c r="E428">
        <v>1570</v>
      </c>
      <c r="H428" t="s">
        <v>263</v>
      </c>
      <c r="I428" t="s">
        <v>1194</v>
      </c>
    </row>
    <row r="429" spans="1:9" ht="15" customHeight="1" x14ac:dyDescent="0.25">
      <c r="A429" t="s">
        <v>143</v>
      </c>
      <c r="B429" t="s">
        <v>722</v>
      </c>
      <c r="C429" s="1009">
        <f t="shared" si="6"/>
        <v>45196</v>
      </c>
      <c r="D429" s="2">
        <f>'New Deboning Middles'!AB21</f>
        <v>0</v>
      </c>
      <c r="E429">
        <v>1570</v>
      </c>
      <c r="H429" t="s">
        <v>264</v>
      </c>
      <c r="I429" t="s">
        <v>1194</v>
      </c>
    </row>
    <row r="430" spans="1:9" ht="15" customHeight="1" x14ac:dyDescent="0.25">
      <c r="A430" t="s">
        <v>151</v>
      </c>
      <c r="B430" t="s">
        <v>723</v>
      </c>
      <c r="C430" s="1009">
        <f t="shared" si="6"/>
        <v>45196</v>
      </c>
      <c r="D430" s="2">
        <f>'New Deboning Middles'!T21</f>
        <v>0</v>
      </c>
      <c r="E430">
        <v>1570</v>
      </c>
      <c r="H430" t="s">
        <v>209</v>
      </c>
      <c r="I430" t="s">
        <v>1194</v>
      </c>
    </row>
    <row r="431" spans="1:9" ht="15" customHeight="1" x14ac:dyDescent="0.25">
      <c r="A431" t="s">
        <v>3</v>
      </c>
      <c r="B431" t="s">
        <v>724</v>
      </c>
      <c r="C431" s="1009">
        <f t="shared" si="6"/>
        <v>45196</v>
      </c>
      <c r="D431" s="2">
        <f>'New Deboning Middles'!Z21</f>
        <v>0</v>
      </c>
      <c r="E431">
        <v>1570</v>
      </c>
      <c r="H431" t="s">
        <v>58</v>
      </c>
      <c r="I431" t="s">
        <v>1194</v>
      </c>
    </row>
    <row r="432" spans="1:9" ht="15" customHeight="1" x14ac:dyDescent="0.25">
      <c r="A432" t="s">
        <v>4</v>
      </c>
      <c r="B432" t="s">
        <v>725</v>
      </c>
      <c r="C432" s="1009">
        <f t="shared" si="6"/>
        <v>45196</v>
      </c>
      <c r="D432" s="2">
        <f>'New Deboning Middles'!W21</f>
        <v>0</v>
      </c>
      <c r="E432">
        <v>1570</v>
      </c>
      <c r="H432" t="s">
        <v>265</v>
      </c>
      <c r="I432" t="s">
        <v>1194</v>
      </c>
    </row>
    <row r="433" spans="1:9" ht="15" customHeight="1" x14ac:dyDescent="0.25">
      <c r="A433" t="s">
        <v>5</v>
      </c>
      <c r="B433" t="s">
        <v>726</v>
      </c>
      <c r="C433" s="1009">
        <f t="shared" si="6"/>
        <v>45196</v>
      </c>
      <c r="D433" s="2">
        <f>'New Deboning Middles'!AA21</f>
        <v>0</v>
      </c>
      <c r="E433">
        <v>1570</v>
      </c>
      <c r="H433" t="s">
        <v>59</v>
      </c>
      <c r="I433" t="s">
        <v>1194</v>
      </c>
    </row>
    <row r="434" spans="1:9" ht="15" customHeight="1" x14ac:dyDescent="0.25">
      <c r="A434" t="s">
        <v>6</v>
      </c>
      <c r="B434" t="s">
        <v>727</v>
      </c>
      <c r="C434" s="1009">
        <f t="shared" si="6"/>
        <v>45196</v>
      </c>
      <c r="D434" s="2">
        <f>'New Deboning Middles'!X21</f>
        <v>0</v>
      </c>
      <c r="E434">
        <v>1570</v>
      </c>
      <c r="H434" t="s">
        <v>60</v>
      </c>
      <c r="I434" t="s">
        <v>1194</v>
      </c>
    </row>
    <row r="435" spans="1:9" ht="15" customHeight="1" x14ac:dyDescent="0.25">
      <c r="A435" t="s">
        <v>260</v>
      </c>
      <c r="B435" t="s">
        <v>728</v>
      </c>
      <c r="C435" s="1009">
        <f t="shared" si="6"/>
        <v>45196</v>
      </c>
      <c r="D435" s="2">
        <f>'New Deboning Middles'!AC21</f>
        <v>0</v>
      </c>
      <c r="E435">
        <v>1570</v>
      </c>
      <c r="H435" t="s">
        <v>261</v>
      </c>
      <c r="I435" t="s">
        <v>1194</v>
      </c>
    </row>
    <row r="436" spans="1:9" ht="15" customHeight="1" x14ac:dyDescent="0.25">
      <c r="A436" t="s">
        <v>56</v>
      </c>
      <c r="B436" t="s">
        <v>1145</v>
      </c>
      <c r="C436" s="1009">
        <f t="shared" si="6"/>
        <v>45196</v>
      </c>
      <c r="D436" s="2">
        <f>'New Deboning Middles'!AD21</f>
        <v>0</v>
      </c>
      <c r="E436">
        <v>1570</v>
      </c>
      <c r="H436" t="s">
        <v>246</v>
      </c>
      <c r="I436" t="s">
        <v>140</v>
      </c>
    </row>
    <row r="437" spans="1:9" ht="15" customHeight="1" x14ac:dyDescent="0.25">
      <c r="A437" t="s">
        <v>141</v>
      </c>
      <c r="B437" t="s">
        <v>729</v>
      </c>
      <c r="C437" s="1009">
        <f t="shared" si="6"/>
        <v>45196</v>
      </c>
      <c r="D437" s="2">
        <f>'New Deboning Middles'!L22</f>
        <v>0</v>
      </c>
      <c r="E437">
        <v>1570</v>
      </c>
      <c r="F437">
        <f>'New Deboning Middles'!K22</f>
        <v>0</v>
      </c>
      <c r="H437" t="s">
        <v>262</v>
      </c>
      <c r="I437" t="s">
        <v>140</v>
      </c>
    </row>
    <row r="438" spans="1:9" ht="15" customHeight="1" x14ac:dyDescent="0.25">
      <c r="A438" t="s">
        <v>122</v>
      </c>
      <c r="B438" t="s">
        <v>613</v>
      </c>
      <c r="C438" s="1009">
        <f t="shared" si="6"/>
        <v>45196</v>
      </c>
      <c r="D438" s="2">
        <f>'New Deboning Middles'!M22</f>
        <v>0</v>
      </c>
      <c r="E438">
        <v>1570</v>
      </c>
      <c r="F438">
        <f>'New Deboning Middles'!K22</f>
        <v>0</v>
      </c>
      <c r="H438" t="s">
        <v>294</v>
      </c>
      <c r="I438" t="s">
        <v>244</v>
      </c>
    </row>
    <row r="439" spans="1:9" ht="15" customHeight="1" x14ac:dyDescent="0.25">
      <c r="A439" t="s">
        <v>142</v>
      </c>
      <c r="B439" t="s">
        <v>730</v>
      </c>
      <c r="C439" s="1009">
        <f t="shared" si="6"/>
        <v>45196</v>
      </c>
      <c r="D439" s="2">
        <f>'New Deboning Middles'!Y22</f>
        <v>0</v>
      </c>
      <c r="E439">
        <v>1570</v>
      </c>
      <c r="H439" t="s">
        <v>263</v>
      </c>
      <c r="I439" t="s">
        <v>1194</v>
      </c>
    </row>
    <row r="440" spans="1:9" ht="15" customHeight="1" x14ac:dyDescent="0.25">
      <c r="A440" t="s">
        <v>147</v>
      </c>
      <c r="B440" t="s">
        <v>1146</v>
      </c>
      <c r="C440" s="1009">
        <f t="shared" si="6"/>
        <v>45196</v>
      </c>
      <c r="D440" s="2">
        <f>'New Deboning Middles'!R22</f>
        <v>0</v>
      </c>
      <c r="E440">
        <v>1570</v>
      </c>
      <c r="H440" t="s">
        <v>207</v>
      </c>
      <c r="I440" t="s">
        <v>1194</v>
      </c>
    </row>
    <row r="441" spans="1:9" ht="15" customHeight="1" x14ac:dyDescent="0.25">
      <c r="A441" t="s">
        <v>3</v>
      </c>
      <c r="B441" t="s">
        <v>731</v>
      </c>
      <c r="C441" s="1009">
        <f t="shared" si="6"/>
        <v>45196</v>
      </c>
      <c r="D441" s="2">
        <f>'New Deboning Middles'!Z22</f>
        <v>0</v>
      </c>
      <c r="E441">
        <v>1570</v>
      </c>
      <c r="H441" t="s">
        <v>58</v>
      </c>
      <c r="I441" t="s">
        <v>140</v>
      </c>
    </row>
    <row r="442" spans="1:9" ht="15" customHeight="1" x14ac:dyDescent="0.25">
      <c r="A442" t="s">
        <v>4</v>
      </c>
      <c r="B442" t="s">
        <v>732</v>
      </c>
      <c r="C442" s="1009">
        <f t="shared" si="6"/>
        <v>45196</v>
      </c>
      <c r="D442" s="2">
        <f>'New Deboning Middles'!W22</f>
        <v>0</v>
      </c>
      <c r="E442">
        <v>1570</v>
      </c>
      <c r="H442" t="s">
        <v>265</v>
      </c>
      <c r="I442" t="s">
        <v>1194</v>
      </c>
    </row>
    <row r="443" spans="1:9" ht="15" customHeight="1" x14ac:dyDescent="0.25">
      <c r="A443" t="s">
        <v>5</v>
      </c>
      <c r="B443" t="s">
        <v>733</v>
      </c>
      <c r="C443" s="1009">
        <f t="shared" si="6"/>
        <v>45196</v>
      </c>
      <c r="D443" s="2">
        <f>'New Deboning Middles'!AA22</f>
        <v>0</v>
      </c>
      <c r="E443">
        <v>1570</v>
      </c>
      <c r="H443" t="s">
        <v>59</v>
      </c>
      <c r="I443" t="s">
        <v>1194</v>
      </c>
    </row>
    <row r="444" spans="1:9" ht="15" customHeight="1" x14ac:dyDescent="0.25">
      <c r="A444" t="s">
        <v>6</v>
      </c>
      <c r="B444" t="s">
        <v>734</v>
      </c>
      <c r="C444" s="1009">
        <f t="shared" si="6"/>
        <v>45196</v>
      </c>
      <c r="D444" s="2">
        <f>'New Deboning Middles'!X22</f>
        <v>0</v>
      </c>
      <c r="E444">
        <v>1570</v>
      </c>
      <c r="H444" t="s">
        <v>60</v>
      </c>
      <c r="I444" t="s">
        <v>1194</v>
      </c>
    </row>
    <row r="445" spans="1:9" ht="15" customHeight="1" x14ac:dyDescent="0.25">
      <c r="A445" t="s">
        <v>260</v>
      </c>
      <c r="B445" t="s">
        <v>735</v>
      </c>
      <c r="C445" s="1009">
        <f t="shared" si="6"/>
        <v>45196</v>
      </c>
      <c r="D445" s="2">
        <f>'New Deboning Middles'!AC22</f>
        <v>0</v>
      </c>
      <c r="E445">
        <v>1570</v>
      </c>
      <c r="H445" t="s">
        <v>261</v>
      </c>
      <c r="I445" t="s">
        <v>1194</v>
      </c>
    </row>
    <row r="446" spans="1:9" ht="15" customHeight="1" x14ac:dyDescent="0.25">
      <c r="A446" t="s">
        <v>56</v>
      </c>
      <c r="B446" t="s">
        <v>1147</v>
      </c>
      <c r="C446" s="1009">
        <f t="shared" si="6"/>
        <v>45196</v>
      </c>
      <c r="D446" s="2">
        <f>'New Deboning Middles'!AD22</f>
        <v>0</v>
      </c>
      <c r="E446">
        <v>1570</v>
      </c>
      <c r="H446" t="s">
        <v>246</v>
      </c>
      <c r="I446" t="s">
        <v>140</v>
      </c>
    </row>
    <row r="447" spans="1:9" ht="15" customHeight="1" x14ac:dyDescent="0.25">
      <c r="A447" t="s">
        <v>141</v>
      </c>
      <c r="B447" t="s">
        <v>736</v>
      </c>
      <c r="C447" s="1009">
        <f t="shared" si="6"/>
        <v>45196</v>
      </c>
      <c r="D447" s="2">
        <f>'New Deboning Middles'!L23</f>
        <v>240.24142599277977</v>
      </c>
      <c r="E447">
        <v>1570</v>
      </c>
      <c r="F447">
        <f>'New Deboning Middles'!K23</f>
        <v>25</v>
      </c>
      <c r="H447" t="s">
        <v>262</v>
      </c>
      <c r="I447" t="s">
        <v>140</v>
      </c>
    </row>
    <row r="448" spans="1:9" ht="15" customHeight="1" x14ac:dyDescent="0.25">
      <c r="A448" t="s">
        <v>122</v>
      </c>
      <c r="B448" t="s">
        <v>155</v>
      </c>
      <c r="C448" s="1009">
        <f t="shared" si="6"/>
        <v>45196</v>
      </c>
      <c r="D448" s="2">
        <f>'New Deboning Middles'!M23</f>
        <v>549.5</v>
      </c>
      <c r="E448">
        <v>1570</v>
      </c>
      <c r="F448">
        <f>'New Deboning Middles'!K23</f>
        <v>25</v>
      </c>
      <c r="H448" t="s">
        <v>294</v>
      </c>
      <c r="I448" t="s">
        <v>244</v>
      </c>
    </row>
    <row r="449" spans="1:9" ht="15" customHeight="1" x14ac:dyDescent="0.25">
      <c r="A449" t="s">
        <v>142</v>
      </c>
      <c r="B449" t="s">
        <v>737</v>
      </c>
      <c r="C449" s="1009">
        <f t="shared" si="6"/>
        <v>45196</v>
      </c>
      <c r="D449" s="2">
        <f>'New Deboning Middles'!Y23</f>
        <v>31.264403190621316</v>
      </c>
      <c r="E449">
        <v>1570</v>
      </c>
      <c r="H449" t="s">
        <v>263</v>
      </c>
      <c r="I449" t="s">
        <v>1194</v>
      </c>
    </row>
    <row r="450" spans="1:9" ht="15" customHeight="1" x14ac:dyDescent="0.25">
      <c r="A450" t="s">
        <v>151</v>
      </c>
      <c r="B450" t="s">
        <v>738</v>
      </c>
      <c r="C450" s="1009">
        <f t="shared" si="6"/>
        <v>45196</v>
      </c>
      <c r="D450" s="2">
        <f>'New Deboning Middles'!T23</f>
        <v>54.2</v>
      </c>
      <c r="E450">
        <v>1570</v>
      </c>
      <c r="H450" t="s">
        <v>209</v>
      </c>
      <c r="I450" t="s">
        <v>1194</v>
      </c>
    </row>
    <row r="451" spans="1:9" ht="15" customHeight="1" x14ac:dyDescent="0.25">
      <c r="A451" t="s">
        <v>3</v>
      </c>
      <c r="B451" t="s">
        <v>739</v>
      </c>
      <c r="C451" s="1009">
        <f t="shared" si="6"/>
        <v>45196</v>
      </c>
      <c r="D451" s="2">
        <f>'New Deboning Middles'!Z23</f>
        <v>2.7288790311492508</v>
      </c>
      <c r="E451">
        <v>1570</v>
      </c>
      <c r="H451" t="s">
        <v>58</v>
      </c>
      <c r="I451" t="s">
        <v>1194</v>
      </c>
    </row>
    <row r="452" spans="1:9" ht="15" customHeight="1" x14ac:dyDescent="0.25">
      <c r="A452" t="s">
        <v>4</v>
      </c>
      <c r="B452" t="s">
        <v>740</v>
      </c>
      <c r="C452" s="1009">
        <f t="shared" si="6"/>
        <v>45196</v>
      </c>
      <c r="D452" s="2">
        <f>'New Deboning Middles'!W23</f>
        <v>5.8250805513711246</v>
      </c>
      <c r="E452">
        <v>1570</v>
      </c>
      <c r="H452" t="s">
        <v>265</v>
      </c>
      <c r="I452" t="s">
        <v>1194</v>
      </c>
    </row>
    <row r="453" spans="1:9" ht="15" customHeight="1" x14ac:dyDescent="0.25">
      <c r="A453" t="s">
        <v>5</v>
      </c>
      <c r="B453" t="s">
        <v>741</v>
      </c>
      <c r="C453" s="1009">
        <f t="shared" si="6"/>
        <v>45196</v>
      </c>
      <c r="D453" s="2">
        <f>'New Deboning Middles'!AA23</f>
        <v>0</v>
      </c>
      <c r="E453">
        <v>1570</v>
      </c>
      <c r="H453" t="s">
        <v>59</v>
      </c>
      <c r="I453" t="s">
        <v>1194</v>
      </c>
    </row>
    <row r="454" spans="1:9" ht="15" customHeight="1" x14ac:dyDescent="0.25">
      <c r="A454" t="s">
        <v>6</v>
      </c>
      <c r="B454" t="s">
        <v>742</v>
      </c>
      <c r="C454" s="1009">
        <f t="shared" si="6"/>
        <v>45196</v>
      </c>
      <c r="D454" s="2">
        <f>'New Deboning Middles'!X23</f>
        <v>63.055826876386583</v>
      </c>
      <c r="E454">
        <v>1570</v>
      </c>
      <c r="H454" t="s">
        <v>60</v>
      </c>
      <c r="I454" t="s">
        <v>1194</v>
      </c>
    </row>
    <row r="455" spans="1:9" ht="15" customHeight="1" x14ac:dyDescent="0.25">
      <c r="A455" t="s">
        <v>260</v>
      </c>
      <c r="B455" t="s">
        <v>743</v>
      </c>
      <c r="C455" s="1009">
        <f t="shared" si="6"/>
        <v>45196</v>
      </c>
      <c r="D455" s="2">
        <f>'New Deboning Middles'!AC23</f>
        <v>17.353280920352979</v>
      </c>
      <c r="E455">
        <v>1570</v>
      </c>
      <c r="H455" t="s">
        <v>261</v>
      </c>
      <c r="I455" t="s">
        <v>1194</v>
      </c>
    </row>
    <row r="456" spans="1:9" ht="15" customHeight="1" x14ac:dyDescent="0.25">
      <c r="A456" t="s">
        <v>56</v>
      </c>
      <c r="B456" t="s">
        <v>1148</v>
      </c>
      <c r="C456" s="1009">
        <f t="shared" si="6"/>
        <v>45196</v>
      </c>
      <c r="D456" s="2">
        <f>'New Deboning Middles'!AD23</f>
        <v>0</v>
      </c>
      <c r="E456">
        <v>1570</v>
      </c>
      <c r="H456" t="s">
        <v>246</v>
      </c>
      <c r="I456" t="s">
        <v>140</v>
      </c>
    </row>
    <row r="457" spans="1:9" ht="15" customHeight="1" x14ac:dyDescent="0.25">
      <c r="A457" t="s">
        <v>141</v>
      </c>
      <c r="B457" t="s">
        <v>744</v>
      </c>
      <c r="C457" s="1009">
        <f t="shared" si="6"/>
        <v>45196</v>
      </c>
      <c r="D457" s="2">
        <f>'New Deboning Middles'!L24</f>
        <v>0</v>
      </c>
      <c r="E457">
        <v>1570</v>
      </c>
      <c r="F457">
        <f>'New Deboning Middles'!K24</f>
        <v>0</v>
      </c>
      <c r="H457" t="s">
        <v>262</v>
      </c>
      <c r="I457" t="s">
        <v>140</v>
      </c>
    </row>
    <row r="458" spans="1:9" ht="15" customHeight="1" x14ac:dyDescent="0.25">
      <c r="A458" t="s">
        <v>122</v>
      </c>
      <c r="B458" t="s">
        <v>607</v>
      </c>
      <c r="C458" s="1009">
        <f t="shared" si="6"/>
        <v>45196</v>
      </c>
      <c r="D458" s="2">
        <f>'New Deboning Middles'!M24</f>
        <v>0</v>
      </c>
      <c r="E458">
        <v>1570</v>
      </c>
      <c r="F458">
        <f>'New Deboning Middles'!K24</f>
        <v>0</v>
      </c>
      <c r="H458" t="s">
        <v>294</v>
      </c>
      <c r="I458" t="s">
        <v>244</v>
      </c>
    </row>
    <row r="459" spans="1:9" ht="15" customHeight="1" x14ac:dyDescent="0.25">
      <c r="A459" t="s">
        <v>142</v>
      </c>
      <c r="B459" t="s">
        <v>745</v>
      </c>
      <c r="C459" s="1009">
        <f t="shared" si="6"/>
        <v>45196</v>
      </c>
      <c r="D459" s="2">
        <f>'New Deboning Middles'!Y24</f>
        <v>0</v>
      </c>
      <c r="E459">
        <v>1570</v>
      </c>
      <c r="H459" t="s">
        <v>263</v>
      </c>
      <c r="I459" t="s">
        <v>1194</v>
      </c>
    </row>
    <row r="460" spans="1:9" ht="15" customHeight="1" x14ac:dyDescent="0.25">
      <c r="A460" t="s">
        <v>144</v>
      </c>
      <c r="B460" t="s">
        <v>1149</v>
      </c>
      <c r="C460" s="1009">
        <f t="shared" si="6"/>
        <v>45196</v>
      </c>
      <c r="D460" s="2">
        <f>'New Deboning Middles'!U24</f>
        <v>0</v>
      </c>
      <c r="E460">
        <v>1570</v>
      </c>
      <c r="H460" t="s">
        <v>211</v>
      </c>
      <c r="I460" t="s">
        <v>1194</v>
      </c>
    </row>
    <row r="461" spans="1:9" ht="15" customHeight="1" x14ac:dyDescent="0.25">
      <c r="A461" t="s">
        <v>3</v>
      </c>
      <c r="B461" t="s">
        <v>746</v>
      </c>
      <c r="C461" s="1009">
        <f t="shared" si="6"/>
        <v>45196</v>
      </c>
      <c r="D461" s="2">
        <f>'New Deboning Middles'!Z24</f>
        <v>0</v>
      </c>
      <c r="E461">
        <v>1570</v>
      </c>
      <c r="H461" t="s">
        <v>58</v>
      </c>
      <c r="I461" t="s">
        <v>140</v>
      </c>
    </row>
    <row r="462" spans="1:9" ht="15" customHeight="1" x14ac:dyDescent="0.25">
      <c r="A462" t="s">
        <v>4</v>
      </c>
      <c r="B462" t="s">
        <v>747</v>
      </c>
      <c r="C462" s="1009">
        <f t="shared" si="6"/>
        <v>45196</v>
      </c>
      <c r="D462" s="2">
        <f>'New Deboning Middles'!W24</f>
        <v>0</v>
      </c>
      <c r="E462">
        <v>1570</v>
      </c>
      <c r="H462" t="s">
        <v>265</v>
      </c>
      <c r="I462" t="s">
        <v>1194</v>
      </c>
    </row>
    <row r="463" spans="1:9" ht="15" customHeight="1" x14ac:dyDescent="0.25">
      <c r="A463" t="s">
        <v>5</v>
      </c>
      <c r="B463" t="s">
        <v>748</v>
      </c>
      <c r="C463" s="1009">
        <f t="shared" si="6"/>
        <v>45196</v>
      </c>
      <c r="D463" s="2">
        <f>'New Deboning Middles'!AA24</f>
        <v>0</v>
      </c>
      <c r="E463">
        <v>1570</v>
      </c>
      <c r="H463" t="s">
        <v>59</v>
      </c>
      <c r="I463" t="s">
        <v>1194</v>
      </c>
    </row>
    <row r="464" spans="1:9" ht="15" customHeight="1" x14ac:dyDescent="0.25">
      <c r="A464" t="s">
        <v>6</v>
      </c>
      <c r="B464" t="s">
        <v>749</v>
      </c>
      <c r="C464" s="1009">
        <f t="shared" si="6"/>
        <v>45196</v>
      </c>
      <c r="D464" s="2">
        <f>'New Deboning Middles'!X24</f>
        <v>0</v>
      </c>
      <c r="E464">
        <v>1570</v>
      </c>
      <c r="H464" t="s">
        <v>60</v>
      </c>
      <c r="I464" t="s">
        <v>1194</v>
      </c>
    </row>
    <row r="465" spans="1:9" ht="15" customHeight="1" x14ac:dyDescent="0.25">
      <c r="A465" t="s">
        <v>260</v>
      </c>
      <c r="B465" t="s">
        <v>750</v>
      </c>
      <c r="C465" s="1009">
        <f t="shared" si="6"/>
        <v>45196</v>
      </c>
      <c r="D465" s="2">
        <f>'New Deboning Middles'!AC24</f>
        <v>0</v>
      </c>
      <c r="E465">
        <v>1570</v>
      </c>
      <c r="H465" t="s">
        <v>261</v>
      </c>
      <c r="I465" t="s">
        <v>1194</v>
      </c>
    </row>
    <row r="466" spans="1:9" ht="15" customHeight="1" x14ac:dyDescent="0.25">
      <c r="A466" t="s">
        <v>56</v>
      </c>
      <c r="B466" t="s">
        <v>1150</v>
      </c>
      <c r="C466" s="1009">
        <f t="shared" si="6"/>
        <v>45196</v>
      </c>
      <c r="D466" s="2">
        <f>'New Deboning Middles'!AD24</f>
        <v>0</v>
      </c>
      <c r="E466">
        <v>1570</v>
      </c>
      <c r="H466" t="s">
        <v>246</v>
      </c>
      <c r="I466" t="s">
        <v>961</v>
      </c>
    </row>
    <row r="467" spans="1:9" ht="15" customHeight="1" x14ac:dyDescent="0.25">
      <c r="A467" t="s">
        <v>141</v>
      </c>
      <c r="B467" t="s">
        <v>751</v>
      </c>
      <c r="C467" s="1009">
        <f t="shared" si="6"/>
        <v>45196</v>
      </c>
      <c r="D467" s="2">
        <f>'New Deboning Middles'!L25</f>
        <v>0</v>
      </c>
      <c r="E467">
        <v>1570</v>
      </c>
      <c r="F467">
        <f>'New Deboning Middles'!K25</f>
        <v>0</v>
      </c>
      <c r="H467" t="s">
        <v>262</v>
      </c>
      <c r="I467" t="s">
        <v>140</v>
      </c>
    </row>
    <row r="468" spans="1:9" ht="15" customHeight="1" x14ac:dyDescent="0.25">
      <c r="A468" t="s">
        <v>124</v>
      </c>
      <c r="B468" t="s">
        <v>160</v>
      </c>
      <c r="C468" s="1009">
        <f t="shared" si="6"/>
        <v>45196</v>
      </c>
      <c r="D468" s="2">
        <f>'New Deboning Middles'!M25</f>
        <v>0</v>
      </c>
      <c r="E468">
        <v>1570</v>
      </c>
      <c r="F468">
        <f>'New Deboning Middles'!K25</f>
        <v>0</v>
      </c>
      <c r="H468" t="s">
        <v>272</v>
      </c>
      <c r="I468" t="s">
        <v>244</v>
      </c>
    </row>
    <row r="469" spans="1:9" ht="15" customHeight="1" x14ac:dyDescent="0.25">
      <c r="A469" t="s">
        <v>149</v>
      </c>
      <c r="B469" t="s">
        <v>752</v>
      </c>
      <c r="C469" s="1009">
        <f t="shared" si="6"/>
        <v>45196</v>
      </c>
      <c r="D469" s="2">
        <f>'New Deboning Middles'!Q25</f>
        <v>0</v>
      </c>
      <c r="E469">
        <v>1570</v>
      </c>
      <c r="H469" t="s">
        <v>206</v>
      </c>
      <c r="I469" t="s">
        <v>1194</v>
      </c>
    </row>
    <row r="470" spans="1:9" ht="15" customHeight="1" x14ac:dyDescent="0.25">
      <c r="A470" t="s">
        <v>3</v>
      </c>
      <c r="B470" t="s">
        <v>753</v>
      </c>
      <c r="C470" s="1009">
        <f t="shared" si="6"/>
        <v>45196</v>
      </c>
      <c r="D470" s="2">
        <f>'New Deboning Middles'!Z25</f>
        <v>0</v>
      </c>
      <c r="E470">
        <v>1570</v>
      </c>
      <c r="H470" t="s">
        <v>58</v>
      </c>
      <c r="I470" t="s">
        <v>1194</v>
      </c>
    </row>
    <row r="471" spans="1:9" ht="15" customHeight="1" x14ac:dyDescent="0.25">
      <c r="A471" t="s">
        <v>4</v>
      </c>
      <c r="B471" t="s">
        <v>754</v>
      </c>
      <c r="C471" s="1009">
        <f t="shared" si="6"/>
        <v>45196</v>
      </c>
      <c r="D471" s="2">
        <f>'New Deboning Middles'!W25</f>
        <v>0</v>
      </c>
      <c r="E471">
        <v>1570</v>
      </c>
      <c r="H471" t="s">
        <v>265</v>
      </c>
      <c r="I471" t="s">
        <v>1194</v>
      </c>
    </row>
    <row r="472" spans="1:9" ht="15" customHeight="1" x14ac:dyDescent="0.25">
      <c r="A472" t="s">
        <v>5</v>
      </c>
      <c r="B472" t="s">
        <v>755</v>
      </c>
      <c r="C472" s="1009">
        <f t="shared" si="6"/>
        <v>45196</v>
      </c>
      <c r="D472" s="2">
        <f>'New Deboning Middles'!AA25</f>
        <v>0</v>
      </c>
      <c r="E472">
        <v>1570</v>
      </c>
      <c r="H472" t="s">
        <v>59</v>
      </c>
      <c r="I472" t="s">
        <v>1194</v>
      </c>
    </row>
    <row r="473" spans="1:9" ht="15" customHeight="1" x14ac:dyDescent="0.25">
      <c r="A473" t="s">
        <v>6</v>
      </c>
      <c r="B473" t="s">
        <v>756</v>
      </c>
      <c r="C473" s="1009">
        <f t="shared" si="6"/>
        <v>45196</v>
      </c>
      <c r="D473" s="2">
        <f>'New Deboning Middles'!X25</f>
        <v>0</v>
      </c>
      <c r="E473">
        <v>1570</v>
      </c>
      <c r="H473" t="s">
        <v>60</v>
      </c>
      <c r="I473" t="s">
        <v>1194</v>
      </c>
    </row>
    <row r="474" spans="1:9" ht="15" customHeight="1" x14ac:dyDescent="0.25">
      <c r="A474" t="s">
        <v>260</v>
      </c>
      <c r="B474" t="s">
        <v>757</v>
      </c>
      <c r="C474" s="1009">
        <f t="shared" si="6"/>
        <v>45196</v>
      </c>
      <c r="D474" s="2">
        <f>'New Deboning Middles'!AC25</f>
        <v>0</v>
      </c>
      <c r="E474">
        <v>1570</v>
      </c>
      <c r="H474" t="s">
        <v>261</v>
      </c>
      <c r="I474" t="s">
        <v>1194</v>
      </c>
    </row>
    <row r="475" spans="1:9" ht="15" customHeight="1" x14ac:dyDescent="0.25">
      <c r="A475" t="s">
        <v>56</v>
      </c>
      <c r="B475" t="s">
        <v>1151</v>
      </c>
      <c r="C475" s="1009">
        <f t="shared" si="6"/>
        <v>45196</v>
      </c>
      <c r="D475" s="2">
        <f>'New Deboning Middles'!AD25</f>
        <v>0</v>
      </c>
      <c r="E475">
        <v>1570</v>
      </c>
      <c r="H475" t="s">
        <v>246</v>
      </c>
      <c r="I475" t="s">
        <v>140</v>
      </c>
    </row>
    <row r="476" spans="1:9" ht="15" customHeight="1" x14ac:dyDescent="0.25">
      <c r="A476" t="s">
        <v>141</v>
      </c>
      <c r="B476" t="s">
        <v>758</v>
      </c>
      <c r="C476" s="1009">
        <f t="shared" si="6"/>
        <v>45196</v>
      </c>
      <c r="D476" s="2">
        <f>'New Deboning Middles'!L26</f>
        <v>0</v>
      </c>
      <c r="E476">
        <v>1570</v>
      </c>
      <c r="F476">
        <f>'New Deboning Middles'!K26</f>
        <v>0</v>
      </c>
      <c r="H476" t="s">
        <v>262</v>
      </c>
      <c r="I476" t="s">
        <v>140</v>
      </c>
    </row>
    <row r="477" spans="1:9" ht="15" customHeight="1" x14ac:dyDescent="0.25">
      <c r="A477" t="s">
        <v>124</v>
      </c>
      <c r="B477" t="s">
        <v>159</v>
      </c>
      <c r="C477" s="1009">
        <f t="shared" si="6"/>
        <v>45196</v>
      </c>
      <c r="D477" s="2">
        <f>'New Deboning Middles'!M26</f>
        <v>0</v>
      </c>
      <c r="E477">
        <v>1570</v>
      </c>
      <c r="F477">
        <f>'New Deboning Middles'!K26</f>
        <v>0</v>
      </c>
      <c r="H477" t="s">
        <v>272</v>
      </c>
      <c r="I477" t="s">
        <v>244</v>
      </c>
    </row>
    <row r="478" spans="1:9" ht="15" customHeight="1" x14ac:dyDescent="0.25">
      <c r="A478" t="s">
        <v>142</v>
      </c>
      <c r="B478" t="s">
        <v>759</v>
      </c>
      <c r="C478" s="1009">
        <f t="shared" si="6"/>
        <v>45196</v>
      </c>
      <c r="D478" s="2">
        <f>'New Deboning Middles'!Y26</f>
        <v>0</v>
      </c>
      <c r="E478">
        <v>1570</v>
      </c>
      <c r="H478" t="s">
        <v>263</v>
      </c>
      <c r="I478" t="s">
        <v>1194</v>
      </c>
    </row>
    <row r="479" spans="1:9" ht="15" customHeight="1" x14ac:dyDescent="0.25">
      <c r="A479" t="s">
        <v>147</v>
      </c>
      <c r="B479" t="s">
        <v>760</v>
      </c>
      <c r="C479" s="1009">
        <f t="shared" si="6"/>
        <v>45196</v>
      </c>
      <c r="D479" s="2">
        <f>'New Deboning Middles'!R26</f>
        <v>0</v>
      </c>
      <c r="E479">
        <v>1570</v>
      </c>
      <c r="H479" t="s">
        <v>207</v>
      </c>
      <c r="I479" t="s">
        <v>1194</v>
      </c>
    </row>
    <row r="480" spans="1:9" ht="15" customHeight="1" x14ac:dyDescent="0.25">
      <c r="A480" t="s">
        <v>3</v>
      </c>
      <c r="B480" t="s">
        <v>761</v>
      </c>
      <c r="C480" s="1009">
        <f t="shared" si="6"/>
        <v>45196</v>
      </c>
      <c r="D480" s="2">
        <f>'New Deboning Middles'!Z26</f>
        <v>0</v>
      </c>
      <c r="E480">
        <v>1570</v>
      </c>
      <c r="H480" t="s">
        <v>58</v>
      </c>
      <c r="I480" t="s">
        <v>1194</v>
      </c>
    </row>
    <row r="481" spans="1:9" ht="15" customHeight="1" x14ac:dyDescent="0.25">
      <c r="A481" t="s">
        <v>4</v>
      </c>
      <c r="B481" t="s">
        <v>762</v>
      </c>
      <c r="C481" s="1009">
        <f t="shared" si="6"/>
        <v>45196</v>
      </c>
      <c r="D481" s="2">
        <f>'New Deboning Middles'!W26</f>
        <v>0</v>
      </c>
      <c r="E481">
        <v>1570</v>
      </c>
      <c r="H481" t="s">
        <v>265</v>
      </c>
      <c r="I481" t="s">
        <v>1194</v>
      </c>
    </row>
    <row r="482" spans="1:9" ht="15" customHeight="1" x14ac:dyDescent="0.25">
      <c r="A482" t="s">
        <v>5</v>
      </c>
      <c r="B482" t="s">
        <v>763</v>
      </c>
      <c r="C482" s="1009">
        <f t="shared" si="6"/>
        <v>45196</v>
      </c>
      <c r="D482" s="2">
        <f>'New Deboning Middles'!AA26</f>
        <v>0</v>
      </c>
      <c r="E482">
        <v>1570</v>
      </c>
      <c r="H482" t="s">
        <v>59</v>
      </c>
      <c r="I482" t="s">
        <v>1194</v>
      </c>
    </row>
    <row r="483" spans="1:9" ht="15" customHeight="1" x14ac:dyDescent="0.25">
      <c r="A483" t="s">
        <v>6</v>
      </c>
      <c r="B483" t="s">
        <v>764</v>
      </c>
      <c r="C483" s="1009">
        <f t="shared" si="6"/>
        <v>45196</v>
      </c>
      <c r="D483" s="2">
        <f>'New Deboning Middles'!X26</f>
        <v>0</v>
      </c>
      <c r="E483">
        <v>1570</v>
      </c>
      <c r="H483" t="s">
        <v>60</v>
      </c>
      <c r="I483" t="s">
        <v>1194</v>
      </c>
    </row>
    <row r="484" spans="1:9" ht="15" customHeight="1" x14ac:dyDescent="0.25">
      <c r="A484" t="s">
        <v>260</v>
      </c>
      <c r="B484" t="s">
        <v>765</v>
      </c>
      <c r="C484" s="1009">
        <f t="shared" si="6"/>
        <v>45196</v>
      </c>
      <c r="D484" s="2">
        <f>'New Deboning Middles'!AC26</f>
        <v>0</v>
      </c>
      <c r="E484">
        <v>1570</v>
      </c>
      <c r="H484" t="s">
        <v>261</v>
      </c>
      <c r="I484" t="s">
        <v>1194</v>
      </c>
    </row>
    <row r="485" spans="1:9" ht="15" customHeight="1" x14ac:dyDescent="0.25">
      <c r="A485" t="s">
        <v>56</v>
      </c>
      <c r="B485" t="s">
        <v>1152</v>
      </c>
      <c r="C485" s="1009">
        <f t="shared" si="6"/>
        <v>45196</v>
      </c>
      <c r="D485" s="2">
        <f>'New Deboning Middles'!AD26</f>
        <v>0</v>
      </c>
      <c r="E485">
        <v>1570</v>
      </c>
      <c r="H485" t="s">
        <v>246</v>
      </c>
      <c r="I485" t="s">
        <v>961</v>
      </c>
    </row>
    <row r="486" spans="1:9" ht="15" customHeight="1" x14ac:dyDescent="0.25">
      <c r="A486" t="s">
        <v>141</v>
      </c>
      <c r="B486" t="s">
        <v>766</v>
      </c>
      <c r="C486" s="1009">
        <f t="shared" si="6"/>
        <v>45196</v>
      </c>
      <c r="D486" s="2">
        <f>'New Deboning Middles'!L27</f>
        <v>0</v>
      </c>
      <c r="E486">
        <v>1570</v>
      </c>
      <c r="F486">
        <f>'New Deboning Middles'!K27</f>
        <v>0</v>
      </c>
      <c r="H486" t="s">
        <v>262</v>
      </c>
      <c r="I486" t="s">
        <v>140</v>
      </c>
    </row>
    <row r="487" spans="1:9" ht="15" customHeight="1" x14ac:dyDescent="0.25">
      <c r="A487" t="s">
        <v>124</v>
      </c>
      <c r="B487" t="s">
        <v>156</v>
      </c>
      <c r="C487" s="1009">
        <f t="shared" si="6"/>
        <v>45196</v>
      </c>
      <c r="D487" s="2">
        <f>'New Deboning Middles'!M27</f>
        <v>0</v>
      </c>
      <c r="E487">
        <v>1570</v>
      </c>
      <c r="F487">
        <f>'New Deboning Middles'!K27</f>
        <v>0</v>
      </c>
      <c r="H487" t="s">
        <v>272</v>
      </c>
      <c r="I487" t="s">
        <v>244</v>
      </c>
    </row>
    <row r="488" spans="1:9" ht="15" customHeight="1" x14ac:dyDescent="0.25">
      <c r="A488" t="s">
        <v>142</v>
      </c>
      <c r="B488" t="s">
        <v>767</v>
      </c>
      <c r="C488" s="1009">
        <f t="shared" ref="C488:C551" si="7">DeboningDate</f>
        <v>45196</v>
      </c>
      <c r="D488" s="2">
        <f>'New Deboning Middles'!Y27</f>
        <v>0</v>
      </c>
      <c r="E488">
        <v>1570</v>
      </c>
      <c r="H488" t="s">
        <v>263</v>
      </c>
      <c r="I488" t="s">
        <v>1194</v>
      </c>
    </row>
    <row r="489" spans="1:9" ht="15" customHeight="1" x14ac:dyDescent="0.25">
      <c r="A489" t="s">
        <v>151</v>
      </c>
      <c r="B489" t="s">
        <v>768</v>
      </c>
      <c r="C489" s="1009">
        <f t="shared" si="7"/>
        <v>45196</v>
      </c>
      <c r="D489" s="2">
        <f>'New Deboning Middles'!T27</f>
        <v>0</v>
      </c>
      <c r="E489">
        <v>1570</v>
      </c>
      <c r="H489" t="s">
        <v>209</v>
      </c>
      <c r="I489" t="s">
        <v>1194</v>
      </c>
    </row>
    <row r="490" spans="1:9" ht="15" customHeight="1" x14ac:dyDescent="0.25">
      <c r="A490" t="s">
        <v>3</v>
      </c>
      <c r="B490" t="s">
        <v>769</v>
      </c>
      <c r="C490" s="1009">
        <f t="shared" si="7"/>
        <v>45196</v>
      </c>
      <c r="D490" s="2">
        <f>'New Deboning Middles'!Z27</f>
        <v>0</v>
      </c>
      <c r="E490">
        <v>1570</v>
      </c>
      <c r="H490" t="s">
        <v>58</v>
      </c>
      <c r="I490" t="s">
        <v>1194</v>
      </c>
    </row>
    <row r="491" spans="1:9" ht="15" customHeight="1" x14ac:dyDescent="0.25">
      <c r="A491" t="s">
        <v>4</v>
      </c>
      <c r="B491" t="s">
        <v>770</v>
      </c>
      <c r="C491" s="1009">
        <f t="shared" si="7"/>
        <v>45196</v>
      </c>
      <c r="D491" s="2">
        <f>'New Deboning Middles'!W27</f>
        <v>0</v>
      </c>
      <c r="E491">
        <v>1570</v>
      </c>
      <c r="H491" t="s">
        <v>265</v>
      </c>
      <c r="I491" t="s">
        <v>1194</v>
      </c>
    </row>
    <row r="492" spans="1:9" ht="15" customHeight="1" x14ac:dyDescent="0.25">
      <c r="A492" t="s">
        <v>5</v>
      </c>
      <c r="B492" t="s">
        <v>771</v>
      </c>
      <c r="C492" s="1009">
        <f t="shared" si="7"/>
        <v>45196</v>
      </c>
      <c r="D492" s="2">
        <f>'New Deboning Middles'!AA27</f>
        <v>0</v>
      </c>
      <c r="E492">
        <v>1570</v>
      </c>
      <c r="H492" t="s">
        <v>59</v>
      </c>
      <c r="I492" t="s">
        <v>1194</v>
      </c>
    </row>
    <row r="493" spans="1:9" ht="15" customHeight="1" x14ac:dyDescent="0.25">
      <c r="A493" t="s">
        <v>6</v>
      </c>
      <c r="B493" t="s">
        <v>772</v>
      </c>
      <c r="C493" s="1009">
        <f t="shared" si="7"/>
        <v>45196</v>
      </c>
      <c r="D493" s="2">
        <f>'New Deboning Middles'!X27</f>
        <v>0</v>
      </c>
      <c r="E493">
        <v>1570</v>
      </c>
      <c r="H493" t="s">
        <v>60</v>
      </c>
      <c r="I493" t="s">
        <v>1194</v>
      </c>
    </row>
    <row r="494" spans="1:9" ht="15" customHeight="1" x14ac:dyDescent="0.25">
      <c r="A494" t="s">
        <v>260</v>
      </c>
      <c r="B494" t="s">
        <v>773</v>
      </c>
      <c r="C494" s="1009">
        <f t="shared" si="7"/>
        <v>45196</v>
      </c>
      <c r="D494" s="2">
        <f>'New Deboning Middles'!AC27</f>
        <v>0</v>
      </c>
      <c r="E494">
        <v>1570</v>
      </c>
      <c r="H494" t="s">
        <v>261</v>
      </c>
      <c r="I494" t="s">
        <v>1194</v>
      </c>
    </row>
    <row r="495" spans="1:9" ht="15" customHeight="1" x14ac:dyDescent="0.25">
      <c r="A495" t="s">
        <v>56</v>
      </c>
      <c r="B495" t="s">
        <v>1153</v>
      </c>
      <c r="C495" s="1009">
        <f t="shared" si="7"/>
        <v>45196</v>
      </c>
      <c r="D495" s="2">
        <f>'New Deboning Middles'!AD27</f>
        <v>0</v>
      </c>
      <c r="E495">
        <v>1570</v>
      </c>
      <c r="H495" t="s">
        <v>246</v>
      </c>
      <c r="I495" t="s">
        <v>140</v>
      </c>
    </row>
    <row r="496" spans="1:9" ht="15" customHeight="1" x14ac:dyDescent="0.25">
      <c r="A496" t="s">
        <v>141</v>
      </c>
      <c r="B496" t="s">
        <v>774</v>
      </c>
      <c r="C496" s="1009">
        <f t="shared" si="7"/>
        <v>45196</v>
      </c>
      <c r="D496" s="2">
        <f>'New Deboning Middles'!L28</f>
        <v>0</v>
      </c>
      <c r="E496">
        <v>1570</v>
      </c>
      <c r="F496">
        <f>'New Deboning Middles'!K28</f>
        <v>0</v>
      </c>
      <c r="H496" t="s">
        <v>262</v>
      </c>
      <c r="I496" t="s">
        <v>140</v>
      </c>
    </row>
    <row r="497" spans="1:9" ht="15" customHeight="1" x14ac:dyDescent="0.25">
      <c r="A497" t="s">
        <v>124</v>
      </c>
      <c r="B497" t="s">
        <v>158</v>
      </c>
      <c r="C497" s="1009">
        <f t="shared" si="7"/>
        <v>45196</v>
      </c>
      <c r="D497" s="2">
        <f>'New Deboning Middles'!M28</f>
        <v>0</v>
      </c>
      <c r="E497">
        <v>1570</v>
      </c>
      <c r="F497">
        <f>'New Deboning Middles'!K28</f>
        <v>0</v>
      </c>
      <c r="H497" t="s">
        <v>272</v>
      </c>
      <c r="I497" t="s">
        <v>244</v>
      </c>
    </row>
    <row r="498" spans="1:9" ht="15" customHeight="1" x14ac:dyDescent="0.25">
      <c r="A498" t="s">
        <v>142</v>
      </c>
      <c r="B498" t="s">
        <v>775</v>
      </c>
      <c r="C498" s="1009">
        <f t="shared" si="7"/>
        <v>45196</v>
      </c>
      <c r="D498" s="2">
        <f>'New Deboning Middles'!Y28</f>
        <v>0</v>
      </c>
      <c r="E498">
        <v>1570</v>
      </c>
      <c r="H498" t="s">
        <v>263</v>
      </c>
      <c r="I498" t="s">
        <v>1194</v>
      </c>
    </row>
    <row r="499" spans="1:9" ht="15" customHeight="1" x14ac:dyDescent="0.25">
      <c r="A499" t="s">
        <v>144</v>
      </c>
      <c r="B499" t="s">
        <v>776</v>
      </c>
      <c r="C499" s="1009">
        <f t="shared" si="7"/>
        <v>45196</v>
      </c>
      <c r="D499" s="2">
        <f>'New Deboning Middles'!U28</f>
        <v>0</v>
      </c>
      <c r="E499">
        <v>1570</v>
      </c>
      <c r="H499" t="s">
        <v>211</v>
      </c>
      <c r="I499" t="s">
        <v>1194</v>
      </c>
    </row>
    <row r="500" spans="1:9" ht="15" customHeight="1" x14ac:dyDescent="0.25">
      <c r="A500" t="s">
        <v>3</v>
      </c>
      <c r="B500" t="s">
        <v>777</v>
      </c>
      <c r="C500" s="1009">
        <f t="shared" si="7"/>
        <v>45196</v>
      </c>
      <c r="D500" s="2">
        <f>'New Deboning Middles'!Z28</f>
        <v>0</v>
      </c>
      <c r="E500">
        <v>1570</v>
      </c>
      <c r="H500" t="s">
        <v>58</v>
      </c>
      <c r="I500" t="s">
        <v>1194</v>
      </c>
    </row>
    <row r="501" spans="1:9" ht="15" customHeight="1" x14ac:dyDescent="0.25">
      <c r="A501" t="s">
        <v>4</v>
      </c>
      <c r="B501" t="s">
        <v>778</v>
      </c>
      <c r="C501" s="1009">
        <f t="shared" si="7"/>
        <v>45196</v>
      </c>
      <c r="D501" s="2">
        <f>'New Deboning Middles'!W28</f>
        <v>0</v>
      </c>
      <c r="E501">
        <v>1570</v>
      </c>
      <c r="H501" t="s">
        <v>265</v>
      </c>
      <c r="I501" t="s">
        <v>1194</v>
      </c>
    </row>
    <row r="502" spans="1:9" ht="15" customHeight="1" x14ac:dyDescent="0.25">
      <c r="A502" t="s">
        <v>5</v>
      </c>
      <c r="B502" t="s">
        <v>779</v>
      </c>
      <c r="C502" s="1009">
        <f t="shared" si="7"/>
        <v>45196</v>
      </c>
      <c r="D502" s="2">
        <f>'New Deboning Middles'!AA28</f>
        <v>0</v>
      </c>
      <c r="E502">
        <v>1570</v>
      </c>
      <c r="H502" t="s">
        <v>59</v>
      </c>
      <c r="I502" t="s">
        <v>1194</v>
      </c>
    </row>
    <row r="503" spans="1:9" ht="15" customHeight="1" x14ac:dyDescent="0.25">
      <c r="A503" t="s">
        <v>6</v>
      </c>
      <c r="B503" t="s">
        <v>780</v>
      </c>
      <c r="C503" s="1009">
        <f t="shared" si="7"/>
        <v>45196</v>
      </c>
      <c r="D503" s="2">
        <f>'New Deboning Middles'!X28</f>
        <v>0</v>
      </c>
      <c r="E503">
        <v>1570</v>
      </c>
      <c r="H503" t="s">
        <v>60</v>
      </c>
      <c r="I503" t="s">
        <v>1194</v>
      </c>
    </row>
    <row r="504" spans="1:9" ht="15" customHeight="1" x14ac:dyDescent="0.25">
      <c r="A504" t="s">
        <v>260</v>
      </c>
      <c r="B504" t="s">
        <v>781</v>
      </c>
      <c r="C504" s="1009">
        <f t="shared" si="7"/>
        <v>45196</v>
      </c>
      <c r="D504" s="2">
        <f>'New Deboning Middles'!AC28</f>
        <v>0</v>
      </c>
      <c r="E504">
        <v>1570</v>
      </c>
      <c r="H504" t="s">
        <v>261</v>
      </c>
      <c r="I504" t="s">
        <v>1194</v>
      </c>
    </row>
    <row r="505" spans="1:9" ht="15" customHeight="1" x14ac:dyDescent="0.25">
      <c r="A505" t="s">
        <v>56</v>
      </c>
      <c r="B505" t="s">
        <v>1154</v>
      </c>
      <c r="C505" s="1009">
        <f t="shared" si="7"/>
        <v>45196</v>
      </c>
      <c r="D505" s="2">
        <f>'New Deboning Middles'!AD28</f>
        <v>0</v>
      </c>
      <c r="E505">
        <v>1570</v>
      </c>
      <c r="H505" t="s">
        <v>246</v>
      </c>
      <c r="I505" t="s">
        <v>961</v>
      </c>
    </row>
    <row r="506" spans="1:9" ht="15" customHeight="1" x14ac:dyDescent="0.25">
      <c r="A506" t="s">
        <v>141</v>
      </c>
      <c r="B506" t="s">
        <v>1156</v>
      </c>
      <c r="C506" s="1009">
        <f t="shared" si="7"/>
        <v>45196</v>
      </c>
      <c r="D506" s="2">
        <f>'New Deboning Middles'!L29</f>
        <v>0</v>
      </c>
      <c r="E506">
        <v>1570</v>
      </c>
      <c r="F506">
        <f>'New Deboning Middles'!K29</f>
        <v>0</v>
      </c>
      <c r="H506" t="s">
        <v>262</v>
      </c>
      <c r="I506" t="s">
        <v>140</v>
      </c>
    </row>
    <row r="507" spans="1:9" ht="15" customHeight="1" x14ac:dyDescent="0.25">
      <c r="A507" t="s">
        <v>129</v>
      </c>
      <c r="B507" t="s">
        <v>1157</v>
      </c>
      <c r="C507" s="1009">
        <f t="shared" si="7"/>
        <v>45196</v>
      </c>
      <c r="D507" s="2">
        <f>'New Deboning Middles'!M29</f>
        <v>0</v>
      </c>
      <c r="E507">
        <v>1570</v>
      </c>
      <c r="F507">
        <f>'New Deboning Middles'!K29</f>
        <v>0</v>
      </c>
      <c r="H507" t="s">
        <v>267</v>
      </c>
      <c r="I507" t="s">
        <v>140</v>
      </c>
    </row>
    <row r="508" spans="1:9" ht="15" customHeight="1" x14ac:dyDescent="0.25">
      <c r="A508" t="s">
        <v>142</v>
      </c>
      <c r="B508" t="s">
        <v>1158</v>
      </c>
      <c r="C508" s="1009">
        <f t="shared" si="7"/>
        <v>45196</v>
      </c>
      <c r="D508" s="2">
        <f>'New Deboning Middles'!Y29</f>
        <v>0</v>
      </c>
      <c r="E508">
        <v>1570</v>
      </c>
      <c r="H508" t="s">
        <v>263</v>
      </c>
      <c r="I508" t="s">
        <v>140</v>
      </c>
    </row>
    <row r="509" spans="1:9" ht="15" customHeight="1" x14ac:dyDescent="0.25">
      <c r="A509" t="s">
        <v>143</v>
      </c>
      <c r="B509" t="s">
        <v>1159</v>
      </c>
      <c r="C509" s="1009">
        <f t="shared" si="7"/>
        <v>45196</v>
      </c>
      <c r="D509" s="2">
        <f>'New Deboning Middles'!AB29</f>
        <v>0</v>
      </c>
      <c r="E509">
        <v>1570</v>
      </c>
      <c r="H509" t="s">
        <v>264</v>
      </c>
      <c r="I509" t="s">
        <v>140</v>
      </c>
    </row>
    <row r="510" spans="1:9" ht="15" customHeight="1" x14ac:dyDescent="0.25">
      <c r="A510" t="s">
        <v>149</v>
      </c>
      <c r="B510" t="s">
        <v>1160</v>
      </c>
      <c r="C510" s="1009">
        <f t="shared" si="7"/>
        <v>45196</v>
      </c>
      <c r="D510" s="2">
        <f>'New Deboning Middles'!Q29</f>
        <v>0</v>
      </c>
      <c r="E510">
        <v>1570</v>
      </c>
      <c r="H510" t="s">
        <v>206</v>
      </c>
      <c r="I510" t="s">
        <v>140</v>
      </c>
    </row>
    <row r="511" spans="1:9" ht="15" customHeight="1" x14ac:dyDescent="0.25">
      <c r="A511" t="s">
        <v>3</v>
      </c>
      <c r="B511" t="s">
        <v>1161</v>
      </c>
      <c r="C511" s="1009">
        <f t="shared" si="7"/>
        <v>45196</v>
      </c>
      <c r="D511" s="2">
        <f>'New Deboning Middles'!Z29</f>
        <v>0</v>
      </c>
      <c r="E511">
        <v>1570</v>
      </c>
      <c r="H511" t="s">
        <v>58</v>
      </c>
      <c r="I511" t="s">
        <v>140</v>
      </c>
    </row>
    <row r="512" spans="1:9" ht="15" customHeight="1" x14ac:dyDescent="0.25">
      <c r="A512" t="s">
        <v>4</v>
      </c>
      <c r="B512" t="s">
        <v>1162</v>
      </c>
      <c r="C512" s="1009">
        <f t="shared" si="7"/>
        <v>45196</v>
      </c>
      <c r="D512" s="2">
        <f>'New Deboning Middles'!W29</f>
        <v>0</v>
      </c>
      <c r="E512">
        <v>1570</v>
      </c>
      <c r="H512" t="s">
        <v>265</v>
      </c>
      <c r="I512" t="s">
        <v>140</v>
      </c>
    </row>
    <row r="513" spans="1:9" ht="15" customHeight="1" x14ac:dyDescent="0.25">
      <c r="A513" t="s">
        <v>5</v>
      </c>
      <c r="B513" t="s">
        <v>1163</v>
      </c>
      <c r="C513" s="1009">
        <f t="shared" si="7"/>
        <v>45196</v>
      </c>
      <c r="D513" s="2">
        <f>'New Deboning Middles'!AA29</f>
        <v>0</v>
      </c>
      <c r="E513">
        <v>1570</v>
      </c>
      <c r="H513" t="s">
        <v>59</v>
      </c>
      <c r="I513" t="s">
        <v>140</v>
      </c>
    </row>
    <row r="514" spans="1:9" ht="15" customHeight="1" x14ac:dyDescent="0.25">
      <c r="A514" t="s">
        <v>6</v>
      </c>
      <c r="B514" t="s">
        <v>1164</v>
      </c>
      <c r="C514" s="1009">
        <f t="shared" si="7"/>
        <v>45196</v>
      </c>
      <c r="D514" s="2">
        <f>'New Deboning Middles'!X29</f>
        <v>0</v>
      </c>
      <c r="E514">
        <v>1570</v>
      </c>
      <c r="H514" t="s">
        <v>60</v>
      </c>
      <c r="I514" t="s">
        <v>140</v>
      </c>
    </row>
    <row r="515" spans="1:9" ht="15" customHeight="1" x14ac:dyDescent="0.25">
      <c r="A515" t="s">
        <v>260</v>
      </c>
      <c r="B515" t="s">
        <v>1165</v>
      </c>
      <c r="C515" s="1009">
        <f t="shared" si="7"/>
        <v>45196</v>
      </c>
      <c r="D515" s="2">
        <f>'New Deboning Middles'!AC29</f>
        <v>0</v>
      </c>
      <c r="E515">
        <v>1570</v>
      </c>
      <c r="H515" t="s">
        <v>261</v>
      </c>
      <c r="I515" t="s">
        <v>140</v>
      </c>
    </row>
    <row r="516" spans="1:9" ht="15" customHeight="1" x14ac:dyDescent="0.25">
      <c r="A516" t="s">
        <v>56</v>
      </c>
      <c r="B516" t="s">
        <v>1166</v>
      </c>
      <c r="C516" s="1009">
        <f t="shared" si="7"/>
        <v>45196</v>
      </c>
      <c r="D516" s="2">
        <f>'New Deboning Middles'!AD29</f>
        <v>0</v>
      </c>
      <c r="E516">
        <v>1570</v>
      </c>
      <c r="H516" t="s">
        <v>246</v>
      </c>
      <c r="I516" t="s">
        <v>140</v>
      </c>
    </row>
    <row r="517" spans="1:9" ht="15" customHeight="1" x14ac:dyDescent="0.25">
      <c r="A517" t="s">
        <v>141</v>
      </c>
      <c r="B517" t="s">
        <v>782</v>
      </c>
      <c r="C517" s="1009">
        <f t="shared" si="7"/>
        <v>45196</v>
      </c>
      <c r="D517" s="2">
        <f>'New Deboning Middles'!L30</f>
        <v>0</v>
      </c>
      <c r="E517">
        <v>1570</v>
      </c>
      <c r="F517">
        <f>'New Deboning Middles'!K30</f>
        <v>0</v>
      </c>
      <c r="H517" t="s">
        <v>262</v>
      </c>
      <c r="I517" t="s">
        <v>140</v>
      </c>
    </row>
    <row r="518" spans="1:9" ht="15" customHeight="1" x14ac:dyDescent="0.25">
      <c r="A518" t="s">
        <v>129</v>
      </c>
      <c r="B518" t="s">
        <v>606</v>
      </c>
      <c r="C518" s="1009">
        <f t="shared" si="7"/>
        <v>45196</v>
      </c>
      <c r="D518" s="2">
        <f>'New Deboning Middles'!M30</f>
        <v>0</v>
      </c>
      <c r="E518">
        <v>1570</v>
      </c>
      <c r="F518">
        <f>'New Deboning Middles'!K30</f>
        <v>0</v>
      </c>
      <c r="H518" t="s">
        <v>267</v>
      </c>
      <c r="I518" t="s">
        <v>244</v>
      </c>
    </row>
    <row r="519" spans="1:9" ht="15" customHeight="1" x14ac:dyDescent="0.25">
      <c r="A519" t="s">
        <v>142</v>
      </c>
      <c r="B519" t="s">
        <v>783</v>
      </c>
      <c r="C519" s="1009">
        <f t="shared" si="7"/>
        <v>45196</v>
      </c>
      <c r="D519" s="2">
        <f>'New Deboning Middles'!Y30</f>
        <v>0</v>
      </c>
      <c r="E519">
        <v>1570</v>
      </c>
      <c r="H519" t="s">
        <v>263</v>
      </c>
      <c r="I519" t="s">
        <v>1194</v>
      </c>
    </row>
    <row r="520" spans="1:9" ht="15" customHeight="1" x14ac:dyDescent="0.25">
      <c r="A520" t="s">
        <v>143</v>
      </c>
      <c r="B520" t="s">
        <v>784</v>
      </c>
      <c r="C520" s="1009">
        <f t="shared" si="7"/>
        <v>45196</v>
      </c>
      <c r="D520" s="2">
        <f>'New Deboning Middles'!AB30</f>
        <v>0</v>
      </c>
      <c r="E520">
        <v>1570</v>
      </c>
      <c r="H520" t="s">
        <v>264</v>
      </c>
      <c r="I520" t="s">
        <v>1194</v>
      </c>
    </row>
    <row r="521" spans="1:9" ht="15" customHeight="1" x14ac:dyDescent="0.25">
      <c r="A521" t="s">
        <v>147</v>
      </c>
      <c r="B521" t="s">
        <v>785</v>
      </c>
      <c r="C521" s="1009">
        <f t="shared" si="7"/>
        <v>45196</v>
      </c>
      <c r="D521" s="2">
        <f>'New Deboning Middles'!R30</f>
        <v>0</v>
      </c>
      <c r="E521">
        <v>1570</v>
      </c>
      <c r="H521" t="s">
        <v>207</v>
      </c>
      <c r="I521" t="s">
        <v>140</v>
      </c>
    </row>
    <row r="522" spans="1:9" ht="15" customHeight="1" x14ac:dyDescent="0.25">
      <c r="A522" t="s">
        <v>3</v>
      </c>
      <c r="B522" t="s">
        <v>786</v>
      </c>
      <c r="C522" s="1009">
        <f t="shared" si="7"/>
        <v>45196</v>
      </c>
      <c r="D522" s="2">
        <f>'New Deboning Middles'!Z30</f>
        <v>0</v>
      </c>
      <c r="E522">
        <v>1570</v>
      </c>
      <c r="H522" t="s">
        <v>58</v>
      </c>
      <c r="I522" t="s">
        <v>1194</v>
      </c>
    </row>
    <row r="523" spans="1:9" ht="15" customHeight="1" x14ac:dyDescent="0.25">
      <c r="A523" t="s">
        <v>4</v>
      </c>
      <c r="B523" t="s">
        <v>787</v>
      </c>
      <c r="C523" s="1009">
        <f t="shared" si="7"/>
        <v>45196</v>
      </c>
      <c r="D523" s="2">
        <f>'New Deboning Middles'!W30</f>
        <v>0</v>
      </c>
      <c r="E523">
        <v>1570</v>
      </c>
      <c r="H523" t="s">
        <v>265</v>
      </c>
      <c r="I523" t="s">
        <v>1194</v>
      </c>
    </row>
    <row r="524" spans="1:9" ht="15" customHeight="1" x14ac:dyDescent="0.25">
      <c r="A524" t="s">
        <v>5</v>
      </c>
      <c r="B524" t="s">
        <v>788</v>
      </c>
      <c r="C524" s="1009">
        <f t="shared" si="7"/>
        <v>45196</v>
      </c>
      <c r="D524" s="2">
        <f>'New Deboning Middles'!AA30</f>
        <v>0</v>
      </c>
      <c r="E524">
        <v>1570</v>
      </c>
      <c r="H524" t="s">
        <v>59</v>
      </c>
      <c r="I524" t="s">
        <v>1194</v>
      </c>
    </row>
    <row r="525" spans="1:9" ht="15" customHeight="1" x14ac:dyDescent="0.25">
      <c r="A525" t="s">
        <v>6</v>
      </c>
      <c r="B525" t="s">
        <v>789</v>
      </c>
      <c r="C525" s="1009">
        <f t="shared" si="7"/>
        <v>45196</v>
      </c>
      <c r="D525" s="2">
        <f>'New Deboning Middles'!X30</f>
        <v>0</v>
      </c>
      <c r="E525">
        <v>1570</v>
      </c>
      <c r="H525" t="s">
        <v>60</v>
      </c>
      <c r="I525" t="s">
        <v>1194</v>
      </c>
    </row>
    <row r="526" spans="1:9" ht="15" customHeight="1" x14ac:dyDescent="0.25">
      <c r="A526" t="s">
        <v>260</v>
      </c>
      <c r="B526" t="s">
        <v>790</v>
      </c>
      <c r="C526" s="1009">
        <f t="shared" si="7"/>
        <v>45196</v>
      </c>
      <c r="D526" s="2">
        <f>'New Deboning Middles'!AC30</f>
        <v>0</v>
      </c>
      <c r="E526">
        <v>1570</v>
      </c>
      <c r="H526" t="s">
        <v>261</v>
      </c>
      <c r="I526" t="s">
        <v>1194</v>
      </c>
    </row>
    <row r="527" spans="1:9" ht="15" customHeight="1" x14ac:dyDescent="0.25">
      <c r="A527" t="s">
        <v>56</v>
      </c>
      <c r="B527" t="s">
        <v>1167</v>
      </c>
      <c r="C527" s="1009">
        <f t="shared" si="7"/>
        <v>45196</v>
      </c>
      <c r="D527" s="2">
        <f>'New Deboning Middles'!AD30</f>
        <v>0</v>
      </c>
      <c r="E527">
        <v>1570</v>
      </c>
      <c r="H527" t="s">
        <v>246</v>
      </c>
      <c r="I527" t="s">
        <v>140</v>
      </c>
    </row>
    <row r="528" spans="1:9" ht="15" customHeight="1" x14ac:dyDescent="0.25">
      <c r="A528" t="s">
        <v>141</v>
      </c>
      <c r="B528" t="s">
        <v>1169</v>
      </c>
      <c r="C528" s="1009">
        <f t="shared" si="7"/>
        <v>45196</v>
      </c>
      <c r="D528" s="2">
        <f>'New Deboning Middles'!L31</f>
        <v>0</v>
      </c>
      <c r="E528">
        <v>1570</v>
      </c>
      <c r="F528">
        <f>'New Deboning Middles'!K31</f>
        <v>0</v>
      </c>
      <c r="H528" t="s">
        <v>262</v>
      </c>
      <c r="I528" t="s">
        <v>140</v>
      </c>
    </row>
    <row r="529" spans="1:9" ht="15" customHeight="1" x14ac:dyDescent="0.25">
      <c r="A529" t="s">
        <v>129</v>
      </c>
      <c r="B529" t="s">
        <v>1170</v>
      </c>
      <c r="C529" s="1009">
        <f t="shared" si="7"/>
        <v>45196</v>
      </c>
      <c r="D529" s="2">
        <f>'New Deboning Middles'!M31</f>
        <v>0</v>
      </c>
      <c r="E529">
        <v>1570</v>
      </c>
      <c r="F529">
        <f>'New Deboning Middles'!K31</f>
        <v>0</v>
      </c>
      <c r="H529" t="s">
        <v>267</v>
      </c>
      <c r="I529" t="s">
        <v>140</v>
      </c>
    </row>
    <row r="530" spans="1:9" ht="15" customHeight="1" x14ac:dyDescent="0.25">
      <c r="A530" t="s">
        <v>142</v>
      </c>
      <c r="B530" t="s">
        <v>1171</v>
      </c>
      <c r="C530" s="1009">
        <f t="shared" si="7"/>
        <v>45196</v>
      </c>
      <c r="D530" s="2">
        <f>'New Deboning Middles'!Y31</f>
        <v>0</v>
      </c>
      <c r="E530">
        <v>1570</v>
      </c>
      <c r="H530" t="s">
        <v>263</v>
      </c>
      <c r="I530" t="s">
        <v>140</v>
      </c>
    </row>
    <row r="531" spans="1:9" ht="15" customHeight="1" x14ac:dyDescent="0.25">
      <c r="A531" t="s">
        <v>143</v>
      </c>
      <c r="B531" t="s">
        <v>1172</v>
      </c>
      <c r="C531" s="1009">
        <f t="shared" si="7"/>
        <v>45196</v>
      </c>
      <c r="D531" s="2">
        <f>'New Deboning Middles'!AB31</f>
        <v>0</v>
      </c>
      <c r="E531">
        <v>1570</v>
      </c>
      <c r="H531" t="s">
        <v>264</v>
      </c>
      <c r="I531" t="s">
        <v>140</v>
      </c>
    </row>
    <row r="532" spans="1:9" ht="15" customHeight="1" x14ac:dyDescent="0.25">
      <c r="A532" t="s">
        <v>151</v>
      </c>
      <c r="B532" t="s">
        <v>1173</v>
      </c>
      <c r="C532" s="1009">
        <f t="shared" si="7"/>
        <v>45196</v>
      </c>
      <c r="D532" s="2">
        <f>'New Deboning Middles'!T31</f>
        <v>0</v>
      </c>
      <c r="E532">
        <v>1570</v>
      </c>
      <c r="H532" t="s">
        <v>209</v>
      </c>
      <c r="I532" t="s">
        <v>140</v>
      </c>
    </row>
    <row r="533" spans="1:9" ht="15" customHeight="1" x14ac:dyDescent="0.25">
      <c r="A533" t="s">
        <v>3</v>
      </c>
      <c r="B533" t="s">
        <v>1174</v>
      </c>
      <c r="C533" s="1009">
        <f t="shared" si="7"/>
        <v>45196</v>
      </c>
      <c r="D533" s="2">
        <f>'New Deboning Middles'!Z31</f>
        <v>0</v>
      </c>
      <c r="E533">
        <v>1570</v>
      </c>
      <c r="H533" t="s">
        <v>58</v>
      </c>
      <c r="I533" t="s">
        <v>140</v>
      </c>
    </row>
    <row r="534" spans="1:9" ht="15" customHeight="1" x14ac:dyDescent="0.25">
      <c r="A534" t="s">
        <v>4</v>
      </c>
      <c r="B534" t="s">
        <v>1175</v>
      </c>
      <c r="C534" s="1009">
        <f t="shared" si="7"/>
        <v>45196</v>
      </c>
      <c r="D534" s="2">
        <f>'New Deboning Middles'!W31</f>
        <v>0</v>
      </c>
      <c r="E534">
        <v>1570</v>
      </c>
      <c r="H534" t="s">
        <v>265</v>
      </c>
      <c r="I534" t="s">
        <v>140</v>
      </c>
    </row>
    <row r="535" spans="1:9" ht="15" customHeight="1" x14ac:dyDescent="0.25">
      <c r="A535" t="s">
        <v>5</v>
      </c>
      <c r="B535" t="s">
        <v>1176</v>
      </c>
      <c r="C535" s="1009">
        <f t="shared" si="7"/>
        <v>45196</v>
      </c>
      <c r="D535" s="2">
        <f>'New Deboning Middles'!AA31</f>
        <v>0</v>
      </c>
      <c r="E535">
        <v>1570</v>
      </c>
      <c r="H535" t="s">
        <v>59</v>
      </c>
      <c r="I535" t="s">
        <v>140</v>
      </c>
    </row>
    <row r="536" spans="1:9" ht="15" customHeight="1" x14ac:dyDescent="0.25">
      <c r="A536" t="s">
        <v>6</v>
      </c>
      <c r="B536" t="s">
        <v>1177</v>
      </c>
      <c r="C536" s="1009">
        <f t="shared" si="7"/>
        <v>45196</v>
      </c>
      <c r="D536" s="2">
        <f>'New Deboning Middles'!X31</f>
        <v>0</v>
      </c>
      <c r="E536">
        <v>1570</v>
      </c>
      <c r="H536" t="s">
        <v>60</v>
      </c>
      <c r="I536" t="s">
        <v>140</v>
      </c>
    </row>
    <row r="537" spans="1:9" ht="15" customHeight="1" x14ac:dyDescent="0.25">
      <c r="A537" t="s">
        <v>260</v>
      </c>
      <c r="B537" t="s">
        <v>1178</v>
      </c>
      <c r="C537" s="1009">
        <f t="shared" si="7"/>
        <v>45196</v>
      </c>
      <c r="D537" s="2">
        <f>'New Deboning Middles'!AC31</f>
        <v>0</v>
      </c>
      <c r="E537">
        <v>1570</v>
      </c>
      <c r="H537" t="s">
        <v>261</v>
      </c>
      <c r="I537" t="s">
        <v>140</v>
      </c>
    </row>
    <row r="538" spans="1:9" ht="15" customHeight="1" x14ac:dyDescent="0.25">
      <c r="A538" t="s">
        <v>56</v>
      </c>
      <c r="B538" t="s">
        <v>1179</v>
      </c>
      <c r="C538" s="1009">
        <f t="shared" si="7"/>
        <v>45196</v>
      </c>
      <c r="D538" s="2">
        <f>'New Deboning Middles'!AD31</f>
        <v>0</v>
      </c>
      <c r="E538">
        <v>1570</v>
      </c>
      <c r="H538" t="s">
        <v>246</v>
      </c>
      <c r="I538" t="s">
        <v>140</v>
      </c>
    </row>
    <row r="539" spans="1:9" ht="15" customHeight="1" x14ac:dyDescent="0.25">
      <c r="A539" t="s">
        <v>141</v>
      </c>
      <c r="B539" t="s">
        <v>791</v>
      </c>
      <c r="C539" s="1009">
        <f t="shared" si="7"/>
        <v>45196</v>
      </c>
      <c r="D539" s="2">
        <f>'New Deboning Middles'!L32</f>
        <v>787.99187725631771</v>
      </c>
      <c r="E539">
        <v>1570</v>
      </c>
      <c r="F539">
        <f>'New Deboning Middles'!K32</f>
        <v>82</v>
      </c>
      <c r="H539" t="s">
        <v>262</v>
      </c>
      <c r="I539" t="s">
        <v>140</v>
      </c>
    </row>
    <row r="540" spans="1:9" ht="15" customHeight="1" x14ac:dyDescent="0.25">
      <c r="A540" t="s">
        <v>129</v>
      </c>
      <c r="B540" t="s">
        <v>162</v>
      </c>
      <c r="C540" s="1009">
        <f t="shared" si="7"/>
        <v>45196</v>
      </c>
      <c r="D540" s="2">
        <f>'New Deboning Middles'!M32</f>
        <v>325.8</v>
      </c>
      <c r="E540">
        <v>1570</v>
      </c>
      <c r="F540">
        <f>'New Deboning Middles'!K32</f>
        <v>82</v>
      </c>
      <c r="H540" t="s">
        <v>267</v>
      </c>
      <c r="I540" t="s">
        <v>244</v>
      </c>
    </row>
    <row r="541" spans="1:9" ht="15" customHeight="1" x14ac:dyDescent="0.25">
      <c r="A541" t="s">
        <v>142</v>
      </c>
      <c r="B541" t="s">
        <v>792</v>
      </c>
      <c r="C541" s="1009">
        <f t="shared" si="7"/>
        <v>45196</v>
      </c>
      <c r="D541" s="2">
        <f>'New Deboning Middles'!Y32</f>
        <v>92.93944734116603</v>
      </c>
      <c r="E541">
        <v>1570</v>
      </c>
      <c r="H541" t="s">
        <v>263</v>
      </c>
      <c r="I541" t="s">
        <v>1194</v>
      </c>
    </row>
    <row r="542" spans="1:9" ht="15" customHeight="1" x14ac:dyDescent="0.25">
      <c r="A542" t="s">
        <v>143</v>
      </c>
      <c r="B542" t="s">
        <v>793</v>
      </c>
      <c r="C542" s="1009">
        <f t="shared" si="7"/>
        <v>45196</v>
      </c>
      <c r="D542" s="2">
        <f>'New Deboning Middles'!AB32</f>
        <v>0</v>
      </c>
      <c r="E542">
        <v>1570</v>
      </c>
      <c r="H542" t="s">
        <v>264</v>
      </c>
      <c r="I542" t="s">
        <v>1194</v>
      </c>
    </row>
    <row r="543" spans="1:9" ht="15" customHeight="1" x14ac:dyDescent="0.25">
      <c r="A543" t="s">
        <v>144</v>
      </c>
      <c r="B543" t="s">
        <v>794</v>
      </c>
      <c r="C543" s="1009">
        <f t="shared" si="7"/>
        <v>45196</v>
      </c>
      <c r="D543" s="2">
        <f>'New Deboning Middles'!U32</f>
        <v>0</v>
      </c>
      <c r="E543">
        <v>1570</v>
      </c>
      <c r="H543" t="s">
        <v>211</v>
      </c>
      <c r="I543" t="s">
        <v>140</v>
      </c>
    </row>
    <row r="544" spans="1:9" ht="15" customHeight="1" x14ac:dyDescent="0.25">
      <c r="A544" t="s">
        <v>3</v>
      </c>
      <c r="B544" t="s">
        <v>795</v>
      </c>
      <c r="C544" s="1009">
        <f t="shared" si="7"/>
        <v>45196</v>
      </c>
      <c r="D544" s="2">
        <f>'New Deboning Middles'!Z32</f>
        <v>8.8342053868416492</v>
      </c>
      <c r="E544">
        <v>1570</v>
      </c>
      <c r="H544" t="s">
        <v>58</v>
      </c>
      <c r="I544" t="s">
        <v>1194</v>
      </c>
    </row>
    <row r="545" spans="1:9" ht="15" customHeight="1" x14ac:dyDescent="0.25">
      <c r="A545" t="s">
        <v>4</v>
      </c>
      <c r="B545" t="s">
        <v>796</v>
      </c>
      <c r="C545" s="1009">
        <f t="shared" si="7"/>
        <v>45196</v>
      </c>
      <c r="D545" s="2">
        <f>'New Deboning Middles'!W32</f>
        <v>59.46807735573632</v>
      </c>
      <c r="E545">
        <v>1570</v>
      </c>
      <c r="H545" t="s">
        <v>265</v>
      </c>
      <c r="I545" t="s">
        <v>1194</v>
      </c>
    </row>
    <row r="546" spans="1:9" ht="15" customHeight="1" x14ac:dyDescent="0.25">
      <c r="A546" t="s">
        <v>5</v>
      </c>
      <c r="B546" t="s">
        <v>797</v>
      </c>
      <c r="C546" s="1009">
        <f t="shared" si="7"/>
        <v>45196</v>
      </c>
      <c r="D546" s="2">
        <f>'New Deboning Middles'!AA32</f>
        <v>0</v>
      </c>
      <c r="E546">
        <v>1570</v>
      </c>
      <c r="H546" t="s">
        <v>59</v>
      </c>
      <c r="I546" t="s">
        <v>1194</v>
      </c>
    </row>
    <row r="547" spans="1:9" ht="15" customHeight="1" x14ac:dyDescent="0.25">
      <c r="A547" t="s">
        <v>6</v>
      </c>
      <c r="B547" t="s">
        <v>798</v>
      </c>
      <c r="C547" s="1009">
        <f t="shared" si="7"/>
        <v>45196</v>
      </c>
      <c r="D547" s="2">
        <f>'New Deboning Middles'!X32</f>
        <v>63.009821677907958</v>
      </c>
      <c r="E547">
        <v>1570</v>
      </c>
      <c r="H547" t="s">
        <v>60</v>
      </c>
      <c r="I547" t="s">
        <v>1194</v>
      </c>
    </row>
    <row r="548" spans="1:9" ht="15" customHeight="1" x14ac:dyDescent="0.25">
      <c r="A548" t="s">
        <v>260</v>
      </c>
      <c r="B548" t="s">
        <v>799</v>
      </c>
      <c r="C548" s="1009">
        <f t="shared" si="7"/>
        <v>45196</v>
      </c>
      <c r="D548" s="2">
        <f>'New Deboning Middles'!AC32</f>
        <v>60.164325386938224</v>
      </c>
      <c r="E548">
        <v>1570</v>
      </c>
      <c r="H548" t="s">
        <v>261</v>
      </c>
      <c r="I548" t="s">
        <v>1194</v>
      </c>
    </row>
    <row r="549" spans="1:9" ht="15" customHeight="1" x14ac:dyDescent="0.25">
      <c r="A549" t="s">
        <v>56</v>
      </c>
      <c r="B549" t="s">
        <v>1180</v>
      </c>
      <c r="C549" s="1009">
        <f t="shared" si="7"/>
        <v>45196</v>
      </c>
      <c r="D549" s="2">
        <f>'New Deboning Middles'!AD32</f>
        <v>0</v>
      </c>
      <c r="E549">
        <v>1570</v>
      </c>
      <c r="H549" t="s">
        <v>246</v>
      </c>
      <c r="I549" t="s">
        <v>961</v>
      </c>
    </row>
    <row r="550" spans="1:9" ht="15" customHeight="1" x14ac:dyDescent="0.25">
      <c r="A550" t="s">
        <v>141</v>
      </c>
      <c r="B550" t="s">
        <v>800</v>
      </c>
      <c r="C550" s="1009">
        <f t="shared" si="7"/>
        <v>45196</v>
      </c>
      <c r="D550" s="2">
        <f>'New Deboning Middles'!L33</f>
        <v>0</v>
      </c>
      <c r="E550">
        <v>1570</v>
      </c>
      <c r="F550">
        <f>'New Deboning Middles'!K33</f>
        <v>0</v>
      </c>
      <c r="H550" t="s">
        <v>262</v>
      </c>
      <c r="I550" t="s">
        <v>140</v>
      </c>
    </row>
    <row r="551" spans="1:9" ht="15" customHeight="1" x14ac:dyDescent="0.25">
      <c r="A551" t="s">
        <v>132</v>
      </c>
      <c r="B551" t="s">
        <v>608</v>
      </c>
      <c r="C551" s="1009">
        <f t="shared" si="7"/>
        <v>45196</v>
      </c>
      <c r="D551" s="2">
        <f>'New Deboning Middles'!M33</f>
        <v>0</v>
      </c>
      <c r="E551">
        <v>1570</v>
      </c>
      <c r="F551">
        <f>'New Deboning Middles'!K33</f>
        <v>0</v>
      </c>
      <c r="H551" t="s">
        <v>234</v>
      </c>
      <c r="I551" t="s">
        <v>244</v>
      </c>
    </row>
    <row r="552" spans="1:9" ht="15" customHeight="1" x14ac:dyDescent="0.25">
      <c r="A552" t="s">
        <v>142</v>
      </c>
      <c r="B552" t="s">
        <v>801</v>
      </c>
      <c r="C552" s="1009">
        <f t="shared" ref="C552:C615" si="8">DeboningDate</f>
        <v>45196</v>
      </c>
      <c r="D552" s="2">
        <f>'New Deboning Middles'!Y33</f>
        <v>0</v>
      </c>
      <c r="E552">
        <v>1570</v>
      </c>
      <c r="H552" t="s">
        <v>263</v>
      </c>
      <c r="I552" t="s">
        <v>1194</v>
      </c>
    </row>
    <row r="553" spans="1:9" ht="15" customHeight="1" x14ac:dyDescent="0.25">
      <c r="A553" t="s">
        <v>3</v>
      </c>
      <c r="B553" t="s">
        <v>802</v>
      </c>
      <c r="C553" s="1009">
        <f t="shared" si="8"/>
        <v>45196</v>
      </c>
      <c r="D553" s="2">
        <f>'New Deboning Middles'!Z33</f>
        <v>0</v>
      </c>
      <c r="E553">
        <v>1570</v>
      </c>
      <c r="H553" t="s">
        <v>58</v>
      </c>
      <c r="I553" t="s">
        <v>1194</v>
      </c>
    </row>
    <row r="554" spans="1:9" ht="15" customHeight="1" x14ac:dyDescent="0.25">
      <c r="A554" t="s">
        <v>4</v>
      </c>
      <c r="B554" t="s">
        <v>803</v>
      </c>
      <c r="C554" s="1009">
        <f t="shared" si="8"/>
        <v>45196</v>
      </c>
      <c r="D554" s="2">
        <f>'New Deboning Middles'!W33</f>
        <v>0</v>
      </c>
      <c r="E554">
        <v>1570</v>
      </c>
      <c r="H554" t="s">
        <v>265</v>
      </c>
      <c r="I554" t="s">
        <v>1194</v>
      </c>
    </row>
    <row r="555" spans="1:9" ht="15" customHeight="1" x14ac:dyDescent="0.25">
      <c r="A555" t="s">
        <v>5</v>
      </c>
      <c r="B555" t="s">
        <v>804</v>
      </c>
      <c r="C555" s="1009">
        <f t="shared" si="8"/>
        <v>45196</v>
      </c>
      <c r="D555" s="2">
        <f>'New Deboning Middles'!AA33</f>
        <v>0</v>
      </c>
      <c r="E555">
        <v>1570</v>
      </c>
      <c r="H555" t="s">
        <v>59</v>
      </c>
      <c r="I555" t="s">
        <v>1194</v>
      </c>
    </row>
    <row r="556" spans="1:9" ht="15" customHeight="1" x14ac:dyDescent="0.25">
      <c r="A556" t="s">
        <v>6</v>
      </c>
      <c r="B556" t="s">
        <v>805</v>
      </c>
      <c r="C556" s="1009">
        <f t="shared" si="8"/>
        <v>45196</v>
      </c>
      <c r="D556" s="2">
        <f>'New Deboning Middles'!X33</f>
        <v>0</v>
      </c>
      <c r="E556">
        <v>1570</v>
      </c>
      <c r="H556" t="s">
        <v>60</v>
      </c>
      <c r="I556" t="s">
        <v>1194</v>
      </c>
    </row>
    <row r="557" spans="1:9" ht="15" customHeight="1" x14ac:dyDescent="0.25">
      <c r="A557" t="s">
        <v>260</v>
      </c>
      <c r="B557" t="s">
        <v>806</v>
      </c>
      <c r="C557" s="1009">
        <f t="shared" si="8"/>
        <v>45196</v>
      </c>
      <c r="D557" s="2">
        <f>'New Deboning Middles'!AC33</f>
        <v>0</v>
      </c>
      <c r="E557">
        <v>1570</v>
      </c>
      <c r="H557" t="s">
        <v>261</v>
      </c>
      <c r="I557" t="s">
        <v>1194</v>
      </c>
    </row>
    <row r="558" spans="1:9" ht="15" customHeight="1" x14ac:dyDescent="0.25">
      <c r="A558" t="s">
        <v>56</v>
      </c>
      <c r="B558" t="s">
        <v>1181</v>
      </c>
      <c r="C558" s="1009">
        <f t="shared" si="8"/>
        <v>45196</v>
      </c>
      <c r="D558" s="2">
        <f>'New Deboning Middles'!AD33</f>
        <v>0</v>
      </c>
      <c r="E558">
        <v>1570</v>
      </c>
      <c r="H558" t="s">
        <v>246</v>
      </c>
      <c r="I558" t="s">
        <v>140</v>
      </c>
    </row>
    <row r="559" spans="1:9" ht="15" customHeight="1" x14ac:dyDescent="0.25">
      <c r="A559" t="s">
        <v>141</v>
      </c>
      <c r="B559" t="s">
        <v>807</v>
      </c>
      <c r="C559" s="1009">
        <f t="shared" si="8"/>
        <v>45196</v>
      </c>
      <c r="D559" s="2">
        <f>'New Deboning Middles'!L34</f>
        <v>0</v>
      </c>
      <c r="E559">
        <v>1570</v>
      </c>
      <c r="F559">
        <f>'New Deboning Middles'!K34</f>
        <v>0</v>
      </c>
      <c r="H559" t="s">
        <v>262</v>
      </c>
      <c r="I559" t="s">
        <v>140</v>
      </c>
    </row>
    <row r="560" spans="1:9" ht="15" customHeight="1" x14ac:dyDescent="0.25">
      <c r="A560" t="s">
        <v>132</v>
      </c>
      <c r="B560" t="s">
        <v>166</v>
      </c>
      <c r="C560" s="1009">
        <f t="shared" si="8"/>
        <v>45196</v>
      </c>
      <c r="D560" s="2">
        <f>'New Deboning Middles'!M34</f>
        <v>0</v>
      </c>
      <c r="E560">
        <v>1570</v>
      </c>
      <c r="F560">
        <f>'New Deboning Middles'!K34</f>
        <v>0</v>
      </c>
      <c r="H560" t="s">
        <v>234</v>
      </c>
      <c r="I560" t="s">
        <v>244</v>
      </c>
    </row>
    <row r="561" spans="1:9" ht="15" customHeight="1" x14ac:dyDescent="0.25">
      <c r="A561" t="s">
        <v>143</v>
      </c>
      <c r="B561" t="s">
        <v>808</v>
      </c>
      <c r="C561" s="1009">
        <f t="shared" si="8"/>
        <v>45196</v>
      </c>
      <c r="D561" s="2">
        <f>'New Deboning Middles'!AB34</f>
        <v>0</v>
      </c>
      <c r="E561">
        <v>1570</v>
      </c>
      <c r="H561" t="s">
        <v>264</v>
      </c>
      <c r="I561" t="s">
        <v>1194</v>
      </c>
    </row>
    <row r="562" spans="1:9" ht="15" customHeight="1" x14ac:dyDescent="0.25">
      <c r="A562" t="s">
        <v>149</v>
      </c>
      <c r="B562" t="s">
        <v>809</v>
      </c>
      <c r="C562" s="1009">
        <f t="shared" si="8"/>
        <v>45196</v>
      </c>
      <c r="D562" s="2">
        <f>'New Deboning Middles'!Q34</f>
        <v>0</v>
      </c>
      <c r="E562">
        <v>1570</v>
      </c>
      <c r="H562" t="s">
        <v>206</v>
      </c>
      <c r="I562" t="s">
        <v>1194</v>
      </c>
    </row>
    <row r="563" spans="1:9" ht="15" customHeight="1" x14ac:dyDescent="0.25">
      <c r="A563" t="s">
        <v>3</v>
      </c>
      <c r="B563" t="s">
        <v>810</v>
      </c>
      <c r="C563" s="1009">
        <f t="shared" si="8"/>
        <v>45196</v>
      </c>
      <c r="D563" s="2">
        <f>'New Deboning Middles'!Z34</f>
        <v>0</v>
      </c>
      <c r="E563">
        <v>1570</v>
      </c>
      <c r="H563" t="s">
        <v>58</v>
      </c>
      <c r="I563" t="s">
        <v>1194</v>
      </c>
    </row>
    <row r="564" spans="1:9" ht="15" customHeight="1" x14ac:dyDescent="0.25">
      <c r="A564" t="s">
        <v>4</v>
      </c>
      <c r="B564" t="s">
        <v>811</v>
      </c>
      <c r="C564" s="1009">
        <f t="shared" si="8"/>
        <v>45196</v>
      </c>
      <c r="D564" s="2">
        <f>'New Deboning Middles'!W34</f>
        <v>0</v>
      </c>
      <c r="E564">
        <v>1570</v>
      </c>
      <c r="H564" t="s">
        <v>265</v>
      </c>
      <c r="I564" t="s">
        <v>1194</v>
      </c>
    </row>
    <row r="565" spans="1:9" ht="15" customHeight="1" x14ac:dyDescent="0.25">
      <c r="A565" t="s">
        <v>5</v>
      </c>
      <c r="B565" t="s">
        <v>812</v>
      </c>
      <c r="C565" s="1009">
        <f t="shared" si="8"/>
        <v>45196</v>
      </c>
      <c r="D565" s="2">
        <f>'New Deboning Middles'!AA34</f>
        <v>0</v>
      </c>
      <c r="E565">
        <v>1570</v>
      </c>
      <c r="H565" t="s">
        <v>59</v>
      </c>
      <c r="I565" t="s">
        <v>1194</v>
      </c>
    </row>
    <row r="566" spans="1:9" ht="15" customHeight="1" x14ac:dyDescent="0.25">
      <c r="A566" t="s">
        <v>6</v>
      </c>
      <c r="B566" t="s">
        <v>813</v>
      </c>
      <c r="C566" s="1009">
        <f t="shared" si="8"/>
        <v>45196</v>
      </c>
      <c r="D566" s="2">
        <f>'New Deboning Middles'!X34</f>
        <v>0</v>
      </c>
      <c r="E566">
        <v>1570</v>
      </c>
      <c r="H566" t="s">
        <v>60</v>
      </c>
      <c r="I566" t="s">
        <v>1194</v>
      </c>
    </row>
    <row r="567" spans="1:9" ht="15" customHeight="1" x14ac:dyDescent="0.25">
      <c r="A567" t="s">
        <v>260</v>
      </c>
      <c r="B567" t="s">
        <v>814</v>
      </c>
      <c r="C567" s="1009">
        <f t="shared" si="8"/>
        <v>45196</v>
      </c>
      <c r="D567" s="2">
        <f>'New Deboning Middles'!AC34</f>
        <v>0</v>
      </c>
      <c r="E567">
        <v>1570</v>
      </c>
      <c r="H567" t="s">
        <v>261</v>
      </c>
      <c r="I567" t="s">
        <v>1194</v>
      </c>
    </row>
    <row r="568" spans="1:9" ht="15" customHeight="1" x14ac:dyDescent="0.25">
      <c r="A568" t="s">
        <v>56</v>
      </c>
      <c r="B568" t="s">
        <v>1182</v>
      </c>
      <c r="C568" s="1009">
        <f t="shared" si="8"/>
        <v>45196</v>
      </c>
      <c r="D568" s="2">
        <f>'New Deboning Middles'!AD34</f>
        <v>0</v>
      </c>
      <c r="E568">
        <v>1570</v>
      </c>
      <c r="H568" t="s">
        <v>246</v>
      </c>
      <c r="I568" t="s">
        <v>140</v>
      </c>
    </row>
    <row r="569" spans="1:9" ht="15" customHeight="1" x14ac:dyDescent="0.25">
      <c r="A569" t="s">
        <v>141</v>
      </c>
      <c r="B569" t="s">
        <v>815</v>
      </c>
      <c r="C569" s="1009">
        <f t="shared" si="8"/>
        <v>45196</v>
      </c>
      <c r="D569" s="2">
        <f>'New Deboning Middles'!L35</f>
        <v>0</v>
      </c>
      <c r="E569">
        <v>1570</v>
      </c>
      <c r="F569">
        <f>'New Deboning Middles'!K35</f>
        <v>0</v>
      </c>
      <c r="H569" t="s">
        <v>262</v>
      </c>
      <c r="I569" t="s">
        <v>140</v>
      </c>
    </row>
    <row r="570" spans="1:9" ht="15" customHeight="1" x14ac:dyDescent="0.25">
      <c r="A570" t="s">
        <v>132</v>
      </c>
      <c r="B570" t="s">
        <v>164</v>
      </c>
      <c r="C570" s="1009">
        <f t="shared" si="8"/>
        <v>45196</v>
      </c>
      <c r="D570" s="2">
        <f>'New Deboning Middles'!M35</f>
        <v>0</v>
      </c>
      <c r="E570">
        <v>1570</v>
      </c>
      <c r="F570">
        <f>'New Deboning Middles'!K35</f>
        <v>0</v>
      </c>
      <c r="H570" t="s">
        <v>234</v>
      </c>
      <c r="I570" t="s">
        <v>244</v>
      </c>
    </row>
    <row r="571" spans="1:9" ht="15" customHeight="1" x14ac:dyDescent="0.25">
      <c r="A571" t="s">
        <v>142</v>
      </c>
      <c r="B571" t="s">
        <v>816</v>
      </c>
      <c r="C571" s="1009">
        <f t="shared" si="8"/>
        <v>45196</v>
      </c>
      <c r="D571" s="2">
        <f>'New Deboning Middles'!Y35</f>
        <v>0</v>
      </c>
      <c r="E571">
        <v>1570</v>
      </c>
      <c r="H571" t="s">
        <v>263</v>
      </c>
      <c r="I571" t="s">
        <v>1194</v>
      </c>
    </row>
    <row r="572" spans="1:9" ht="15" customHeight="1" x14ac:dyDescent="0.25">
      <c r="A572" t="s">
        <v>143</v>
      </c>
      <c r="B572" t="s">
        <v>817</v>
      </c>
      <c r="C572" s="1009">
        <f t="shared" si="8"/>
        <v>45196</v>
      </c>
      <c r="D572" s="2">
        <f>'New Deboning Middles'!AB35</f>
        <v>0</v>
      </c>
      <c r="E572">
        <v>1570</v>
      </c>
      <c r="H572" t="s">
        <v>264</v>
      </c>
      <c r="I572" t="s">
        <v>1194</v>
      </c>
    </row>
    <row r="573" spans="1:9" ht="15" customHeight="1" x14ac:dyDescent="0.25">
      <c r="A573" t="s">
        <v>147</v>
      </c>
      <c r="B573" t="s">
        <v>818</v>
      </c>
      <c r="C573" s="1009">
        <f t="shared" si="8"/>
        <v>45196</v>
      </c>
      <c r="D573" s="2">
        <f>'New Deboning Middles'!R35</f>
        <v>0</v>
      </c>
      <c r="E573">
        <v>1570</v>
      </c>
      <c r="H573" t="s">
        <v>207</v>
      </c>
      <c r="I573" t="s">
        <v>1194</v>
      </c>
    </row>
    <row r="574" spans="1:9" ht="15" customHeight="1" x14ac:dyDescent="0.25">
      <c r="A574" t="s">
        <v>3</v>
      </c>
      <c r="B574" t="s">
        <v>819</v>
      </c>
      <c r="C574" s="1009">
        <f t="shared" si="8"/>
        <v>45196</v>
      </c>
      <c r="D574" s="2">
        <f>'New Deboning Middles'!Z35</f>
        <v>0</v>
      </c>
      <c r="E574">
        <v>1570</v>
      </c>
      <c r="H574" t="s">
        <v>58</v>
      </c>
      <c r="I574" t="s">
        <v>1194</v>
      </c>
    </row>
    <row r="575" spans="1:9" ht="15" customHeight="1" x14ac:dyDescent="0.25">
      <c r="A575" t="s">
        <v>4</v>
      </c>
      <c r="B575" t="s">
        <v>820</v>
      </c>
      <c r="C575" s="1009">
        <f t="shared" si="8"/>
        <v>45196</v>
      </c>
      <c r="D575" s="2">
        <f>'New Deboning Middles'!W35</f>
        <v>0</v>
      </c>
      <c r="E575">
        <v>1570</v>
      </c>
      <c r="H575" t="s">
        <v>265</v>
      </c>
      <c r="I575" t="s">
        <v>1194</v>
      </c>
    </row>
    <row r="576" spans="1:9" ht="15" customHeight="1" x14ac:dyDescent="0.25">
      <c r="A576" t="s">
        <v>5</v>
      </c>
      <c r="B576" t="s">
        <v>821</v>
      </c>
      <c r="C576" s="1009">
        <f t="shared" si="8"/>
        <v>45196</v>
      </c>
      <c r="D576" s="2">
        <f>'New Deboning Middles'!AA35</f>
        <v>0</v>
      </c>
      <c r="E576">
        <v>1570</v>
      </c>
      <c r="H576" t="s">
        <v>59</v>
      </c>
      <c r="I576" t="s">
        <v>1194</v>
      </c>
    </row>
    <row r="577" spans="1:9" ht="15" customHeight="1" x14ac:dyDescent="0.25">
      <c r="A577" t="s">
        <v>6</v>
      </c>
      <c r="B577" t="s">
        <v>822</v>
      </c>
      <c r="C577" s="1009">
        <f t="shared" si="8"/>
        <v>45196</v>
      </c>
      <c r="D577" s="2">
        <f>'New Deboning Middles'!X35</f>
        <v>0</v>
      </c>
      <c r="E577">
        <v>1570</v>
      </c>
      <c r="H577" t="s">
        <v>60</v>
      </c>
      <c r="I577" t="s">
        <v>1194</v>
      </c>
    </row>
    <row r="578" spans="1:9" ht="15" customHeight="1" x14ac:dyDescent="0.25">
      <c r="A578" t="s">
        <v>260</v>
      </c>
      <c r="B578" t="s">
        <v>823</v>
      </c>
      <c r="C578" s="1009">
        <f t="shared" si="8"/>
        <v>45196</v>
      </c>
      <c r="D578" s="2">
        <f>'New Deboning Middles'!AC35</f>
        <v>0</v>
      </c>
      <c r="E578">
        <v>1570</v>
      </c>
      <c r="H578" t="s">
        <v>261</v>
      </c>
      <c r="I578" t="s">
        <v>1194</v>
      </c>
    </row>
    <row r="579" spans="1:9" ht="15" customHeight="1" x14ac:dyDescent="0.25">
      <c r="A579" t="s">
        <v>56</v>
      </c>
      <c r="B579" t="s">
        <v>1183</v>
      </c>
      <c r="C579" s="1009">
        <f t="shared" si="8"/>
        <v>45196</v>
      </c>
      <c r="D579" s="2">
        <f>'New Deboning Middles'!AD35</f>
        <v>0</v>
      </c>
      <c r="E579">
        <v>1570</v>
      </c>
      <c r="H579" t="s">
        <v>246</v>
      </c>
      <c r="I579" t="s">
        <v>140</v>
      </c>
    </row>
    <row r="580" spans="1:9" ht="15" customHeight="1" x14ac:dyDescent="0.25">
      <c r="A580" t="s">
        <v>141</v>
      </c>
      <c r="B580" t="s">
        <v>824</v>
      </c>
      <c r="C580" s="1009">
        <f t="shared" si="8"/>
        <v>45196</v>
      </c>
      <c r="D580" s="2">
        <f>'New Deboning Middles'!L36</f>
        <v>0</v>
      </c>
      <c r="E580">
        <v>1570</v>
      </c>
      <c r="F580">
        <f>'New Deboning Middles'!K36</f>
        <v>0</v>
      </c>
      <c r="H580" t="s">
        <v>262</v>
      </c>
      <c r="I580" t="s">
        <v>140</v>
      </c>
    </row>
    <row r="581" spans="1:9" ht="15" customHeight="1" x14ac:dyDescent="0.25">
      <c r="A581" t="s">
        <v>132</v>
      </c>
      <c r="B581" t="s">
        <v>163</v>
      </c>
      <c r="C581" s="1009">
        <f t="shared" si="8"/>
        <v>45196</v>
      </c>
      <c r="D581" s="2">
        <f>'New Deboning Middles'!M36</f>
        <v>0</v>
      </c>
      <c r="E581">
        <v>1570</v>
      </c>
      <c r="F581">
        <f>'New Deboning Middles'!K36</f>
        <v>0</v>
      </c>
      <c r="H581" t="s">
        <v>234</v>
      </c>
      <c r="I581" t="s">
        <v>244</v>
      </c>
    </row>
    <row r="582" spans="1:9" ht="15" customHeight="1" x14ac:dyDescent="0.25">
      <c r="A582" t="s">
        <v>142</v>
      </c>
      <c r="B582" t="s">
        <v>825</v>
      </c>
      <c r="C582" s="1009">
        <f t="shared" si="8"/>
        <v>45196</v>
      </c>
      <c r="D582" s="2">
        <f>'New Deboning Middles'!Y36</f>
        <v>0</v>
      </c>
      <c r="E582">
        <v>1570</v>
      </c>
      <c r="H582" t="s">
        <v>263</v>
      </c>
      <c r="I582" t="s">
        <v>1194</v>
      </c>
    </row>
    <row r="583" spans="1:9" ht="15" customHeight="1" x14ac:dyDescent="0.25">
      <c r="A583" t="s">
        <v>143</v>
      </c>
      <c r="B583" t="s">
        <v>826</v>
      </c>
      <c r="C583" s="1009">
        <f t="shared" si="8"/>
        <v>45196</v>
      </c>
      <c r="D583" s="2">
        <f>'New Deboning Middles'!AB36</f>
        <v>0</v>
      </c>
      <c r="E583">
        <v>1570</v>
      </c>
      <c r="H583" t="s">
        <v>264</v>
      </c>
      <c r="I583" t="s">
        <v>1194</v>
      </c>
    </row>
    <row r="584" spans="1:9" ht="15" customHeight="1" x14ac:dyDescent="0.25">
      <c r="A584" t="s">
        <v>151</v>
      </c>
      <c r="B584" t="s">
        <v>827</v>
      </c>
      <c r="C584" s="1009">
        <f t="shared" si="8"/>
        <v>45196</v>
      </c>
      <c r="D584" s="2">
        <f>'New Deboning Middles'!T36</f>
        <v>0</v>
      </c>
      <c r="E584">
        <v>1570</v>
      </c>
      <c r="H584" t="s">
        <v>209</v>
      </c>
      <c r="I584" t="s">
        <v>1194</v>
      </c>
    </row>
    <row r="585" spans="1:9" ht="15" customHeight="1" x14ac:dyDescent="0.25">
      <c r="A585" t="s">
        <v>3</v>
      </c>
      <c r="B585" t="s">
        <v>828</v>
      </c>
      <c r="C585" s="1009">
        <f t="shared" si="8"/>
        <v>45196</v>
      </c>
      <c r="D585" s="2">
        <f>'New Deboning Middles'!Z36</f>
        <v>0</v>
      </c>
      <c r="E585">
        <v>1570</v>
      </c>
      <c r="H585" t="s">
        <v>58</v>
      </c>
      <c r="I585" t="s">
        <v>1194</v>
      </c>
    </row>
    <row r="586" spans="1:9" ht="15" customHeight="1" x14ac:dyDescent="0.25">
      <c r="A586" t="s">
        <v>4</v>
      </c>
      <c r="B586" t="s">
        <v>829</v>
      </c>
      <c r="C586" s="1009">
        <f t="shared" si="8"/>
        <v>45196</v>
      </c>
      <c r="D586" s="2">
        <f>'New Deboning Middles'!W36</f>
        <v>0</v>
      </c>
      <c r="E586">
        <v>1570</v>
      </c>
      <c r="H586" t="s">
        <v>265</v>
      </c>
      <c r="I586" t="s">
        <v>1194</v>
      </c>
    </row>
    <row r="587" spans="1:9" ht="15" customHeight="1" x14ac:dyDescent="0.25">
      <c r="A587" t="s">
        <v>5</v>
      </c>
      <c r="B587" t="s">
        <v>830</v>
      </c>
      <c r="C587" s="1009">
        <f t="shared" si="8"/>
        <v>45196</v>
      </c>
      <c r="D587" s="2">
        <f>'New Deboning Middles'!AA36</f>
        <v>0</v>
      </c>
      <c r="E587">
        <v>1570</v>
      </c>
      <c r="H587" t="s">
        <v>59</v>
      </c>
      <c r="I587" t="s">
        <v>1194</v>
      </c>
    </row>
    <row r="588" spans="1:9" ht="15" customHeight="1" x14ac:dyDescent="0.25">
      <c r="A588" t="s">
        <v>6</v>
      </c>
      <c r="B588" t="s">
        <v>831</v>
      </c>
      <c r="C588" s="1009">
        <f t="shared" si="8"/>
        <v>45196</v>
      </c>
      <c r="D588" s="2">
        <f>'New Deboning Middles'!X36</f>
        <v>0</v>
      </c>
      <c r="E588">
        <v>1570</v>
      </c>
      <c r="H588" t="s">
        <v>60</v>
      </c>
      <c r="I588" t="s">
        <v>1194</v>
      </c>
    </row>
    <row r="589" spans="1:9" ht="15" customHeight="1" x14ac:dyDescent="0.25">
      <c r="A589" t="s">
        <v>260</v>
      </c>
      <c r="B589" t="s">
        <v>832</v>
      </c>
      <c r="C589" s="1009">
        <f t="shared" si="8"/>
        <v>45196</v>
      </c>
      <c r="D589" s="2">
        <f>'New Deboning Middles'!AC36</f>
        <v>0</v>
      </c>
      <c r="E589">
        <v>1570</v>
      </c>
      <c r="H589" t="s">
        <v>261</v>
      </c>
      <c r="I589" t="s">
        <v>1194</v>
      </c>
    </row>
    <row r="590" spans="1:9" ht="15" customHeight="1" x14ac:dyDescent="0.25">
      <c r="A590" t="s">
        <v>56</v>
      </c>
      <c r="B590" t="s">
        <v>1184</v>
      </c>
      <c r="C590" s="1009">
        <f t="shared" si="8"/>
        <v>45196</v>
      </c>
      <c r="D590" s="2">
        <f>'New Deboning Middles'!AD36</f>
        <v>0</v>
      </c>
      <c r="E590">
        <v>1570</v>
      </c>
      <c r="H590" t="s">
        <v>246</v>
      </c>
      <c r="I590" t="s">
        <v>140</v>
      </c>
    </row>
    <row r="591" spans="1:9" ht="15" customHeight="1" x14ac:dyDescent="0.25">
      <c r="A591" t="s">
        <v>141</v>
      </c>
      <c r="B591" t="s">
        <v>833</v>
      </c>
      <c r="C591" s="1009">
        <f t="shared" si="8"/>
        <v>45196</v>
      </c>
      <c r="D591" s="2">
        <f>'New Deboning Middles'!L37</f>
        <v>0</v>
      </c>
      <c r="E591">
        <v>1570</v>
      </c>
      <c r="F591">
        <f>'New Deboning Middles'!K37</f>
        <v>0</v>
      </c>
      <c r="H591" t="s">
        <v>262</v>
      </c>
      <c r="I591" t="s">
        <v>140</v>
      </c>
    </row>
    <row r="592" spans="1:9" ht="15" customHeight="1" x14ac:dyDescent="0.25">
      <c r="A592" t="s">
        <v>132</v>
      </c>
      <c r="B592" t="s">
        <v>165</v>
      </c>
      <c r="C592" s="1009">
        <f t="shared" si="8"/>
        <v>45196</v>
      </c>
      <c r="D592" s="2">
        <f>'New Deboning Middles'!M37</f>
        <v>0</v>
      </c>
      <c r="E592">
        <v>1570</v>
      </c>
      <c r="F592">
        <f>'New Deboning Middles'!K37</f>
        <v>0</v>
      </c>
      <c r="H592" t="s">
        <v>234</v>
      </c>
      <c r="I592" t="s">
        <v>244</v>
      </c>
    </row>
    <row r="593" spans="1:9" ht="15" customHeight="1" x14ac:dyDescent="0.25">
      <c r="A593" t="s">
        <v>142</v>
      </c>
      <c r="B593" t="s">
        <v>834</v>
      </c>
      <c r="C593" s="1009">
        <f t="shared" si="8"/>
        <v>45196</v>
      </c>
      <c r="D593" s="2">
        <f>'New Deboning Middles'!Y37</f>
        <v>0</v>
      </c>
      <c r="E593">
        <v>1570</v>
      </c>
      <c r="H593" t="s">
        <v>263</v>
      </c>
      <c r="I593" t="s">
        <v>1194</v>
      </c>
    </row>
    <row r="594" spans="1:9" ht="15" customHeight="1" x14ac:dyDescent="0.25">
      <c r="A594" t="s">
        <v>143</v>
      </c>
      <c r="B594" t="s">
        <v>835</v>
      </c>
      <c r="C594" s="1009">
        <f t="shared" si="8"/>
        <v>45196</v>
      </c>
      <c r="D594" s="2">
        <f>'New Deboning Middles'!AB37</f>
        <v>0</v>
      </c>
      <c r="E594">
        <v>1570</v>
      </c>
      <c r="H594" t="s">
        <v>264</v>
      </c>
      <c r="I594" t="s">
        <v>1194</v>
      </c>
    </row>
    <row r="595" spans="1:9" ht="15" customHeight="1" x14ac:dyDescent="0.25">
      <c r="A595" t="s">
        <v>144</v>
      </c>
      <c r="B595" t="s">
        <v>836</v>
      </c>
      <c r="C595" s="1009">
        <f t="shared" si="8"/>
        <v>45196</v>
      </c>
      <c r="D595" s="2">
        <f>'New Deboning Middles'!U37</f>
        <v>0</v>
      </c>
      <c r="E595">
        <v>1570</v>
      </c>
      <c r="H595" t="s">
        <v>211</v>
      </c>
      <c r="I595" t="s">
        <v>1194</v>
      </c>
    </row>
    <row r="596" spans="1:9" ht="15" customHeight="1" x14ac:dyDescent="0.25">
      <c r="A596" t="s">
        <v>3</v>
      </c>
      <c r="B596" t="s">
        <v>837</v>
      </c>
      <c r="C596" s="1009">
        <f t="shared" si="8"/>
        <v>45196</v>
      </c>
      <c r="D596" s="2">
        <f>'New Deboning Middles'!Z37</f>
        <v>0</v>
      </c>
      <c r="E596">
        <v>1570</v>
      </c>
      <c r="H596" t="s">
        <v>58</v>
      </c>
      <c r="I596" t="s">
        <v>1194</v>
      </c>
    </row>
    <row r="597" spans="1:9" ht="15" customHeight="1" x14ac:dyDescent="0.25">
      <c r="A597" t="s">
        <v>4</v>
      </c>
      <c r="B597" t="s">
        <v>838</v>
      </c>
      <c r="C597" s="1009">
        <f t="shared" si="8"/>
        <v>45196</v>
      </c>
      <c r="D597" s="2">
        <f>'New Deboning Middles'!W37</f>
        <v>0</v>
      </c>
      <c r="E597">
        <v>1570</v>
      </c>
      <c r="H597" t="s">
        <v>265</v>
      </c>
      <c r="I597" t="s">
        <v>1194</v>
      </c>
    </row>
    <row r="598" spans="1:9" ht="15" customHeight="1" x14ac:dyDescent="0.25">
      <c r="A598" t="s">
        <v>5</v>
      </c>
      <c r="B598" t="s">
        <v>839</v>
      </c>
      <c r="C598" s="1009">
        <f t="shared" si="8"/>
        <v>45196</v>
      </c>
      <c r="D598" s="2">
        <f>'New Deboning Middles'!AA37</f>
        <v>0</v>
      </c>
      <c r="E598">
        <v>1570</v>
      </c>
      <c r="H598" t="s">
        <v>59</v>
      </c>
      <c r="I598" t="s">
        <v>1194</v>
      </c>
    </row>
    <row r="599" spans="1:9" ht="15" customHeight="1" x14ac:dyDescent="0.25">
      <c r="A599" t="s">
        <v>6</v>
      </c>
      <c r="B599" t="s">
        <v>840</v>
      </c>
      <c r="C599" s="1009">
        <f t="shared" si="8"/>
        <v>45196</v>
      </c>
      <c r="D599" s="2">
        <f>'New Deboning Middles'!X37</f>
        <v>0</v>
      </c>
      <c r="E599">
        <v>1570</v>
      </c>
      <c r="H599" t="s">
        <v>60</v>
      </c>
      <c r="I599" t="s">
        <v>1194</v>
      </c>
    </row>
    <row r="600" spans="1:9" ht="15" customHeight="1" x14ac:dyDescent="0.25">
      <c r="A600" t="s">
        <v>260</v>
      </c>
      <c r="B600" t="s">
        <v>841</v>
      </c>
      <c r="C600" s="1009">
        <f t="shared" si="8"/>
        <v>45196</v>
      </c>
      <c r="D600" s="2">
        <f>'New Deboning Middles'!AC37</f>
        <v>0</v>
      </c>
      <c r="E600">
        <v>1570</v>
      </c>
      <c r="H600" t="s">
        <v>261</v>
      </c>
      <c r="I600" t="s">
        <v>1194</v>
      </c>
    </row>
    <row r="601" spans="1:9" ht="15" customHeight="1" x14ac:dyDescent="0.25">
      <c r="A601" t="s">
        <v>56</v>
      </c>
      <c r="B601" t="s">
        <v>1185</v>
      </c>
      <c r="C601" s="1009">
        <f t="shared" si="8"/>
        <v>45196</v>
      </c>
      <c r="D601" s="2">
        <f>'New Deboning Middles'!AD37</f>
        <v>0</v>
      </c>
      <c r="E601">
        <v>1570</v>
      </c>
      <c r="H601" t="s">
        <v>246</v>
      </c>
      <c r="I601" t="s">
        <v>961</v>
      </c>
    </row>
    <row r="602" spans="1:9" ht="15" customHeight="1" x14ac:dyDescent="0.25">
      <c r="A602" t="s">
        <v>141</v>
      </c>
      <c r="B602" t="s">
        <v>842</v>
      </c>
      <c r="C602" s="1009">
        <f t="shared" si="8"/>
        <v>45196</v>
      </c>
      <c r="D602" s="2">
        <f>'New Deboning Middles'!L44</f>
        <v>0</v>
      </c>
      <c r="E602">
        <v>1570</v>
      </c>
      <c r="F602">
        <f>'New Deboning Middles'!K44</f>
        <v>0</v>
      </c>
      <c r="H602" t="s">
        <v>262</v>
      </c>
      <c r="I602" t="s">
        <v>140</v>
      </c>
    </row>
    <row r="603" spans="1:9" ht="15" customHeight="1" x14ac:dyDescent="0.25">
      <c r="A603" t="s">
        <v>112</v>
      </c>
      <c r="B603" t="s">
        <v>604</v>
      </c>
      <c r="C603" s="1009">
        <f t="shared" si="8"/>
        <v>45196</v>
      </c>
      <c r="D603" s="2">
        <f>'New Deboning Middles'!M44</f>
        <v>0</v>
      </c>
      <c r="E603">
        <v>1570</v>
      </c>
      <c r="F603">
        <f>'New Deboning Middles'!K44</f>
        <v>0</v>
      </c>
      <c r="H603" t="s">
        <v>292</v>
      </c>
      <c r="I603" t="s">
        <v>244</v>
      </c>
    </row>
    <row r="604" spans="1:9" ht="15" customHeight="1" x14ac:dyDescent="0.25">
      <c r="A604" t="s">
        <v>142</v>
      </c>
      <c r="B604" t="s">
        <v>843</v>
      </c>
      <c r="C604" s="1009">
        <f t="shared" si="8"/>
        <v>45196</v>
      </c>
      <c r="D604" s="2">
        <f>'New Deboning Middles'!Y44</f>
        <v>0</v>
      </c>
      <c r="E604">
        <v>1570</v>
      </c>
      <c r="H604" t="s">
        <v>263</v>
      </c>
      <c r="I604" t="s">
        <v>1194</v>
      </c>
    </row>
    <row r="605" spans="1:9" ht="15" customHeight="1" x14ac:dyDescent="0.25">
      <c r="A605" t="s">
        <v>143</v>
      </c>
      <c r="B605" t="s">
        <v>844</v>
      </c>
      <c r="C605" s="1009">
        <f t="shared" si="8"/>
        <v>45196</v>
      </c>
      <c r="D605" s="2">
        <f>'New Deboning Middles'!AB44</f>
        <v>0</v>
      </c>
      <c r="E605">
        <v>1570</v>
      </c>
      <c r="H605" t="s">
        <v>264</v>
      </c>
      <c r="I605" t="s">
        <v>1194</v>
      </c>
    </row>
    <row r="606" spans="1:9" ht="15" customHeight="1" x14ac:dyDescent="0.25">
      <c r="A606" t="s">
        <v>3</v>
      </c>
      <c r="B606" t="s">
        <v>845</v>
      </c>
      <c r="C606" s="1009">
        <f t="shared" si="8"/>
        <v>45196</v>
      </c>
      <c r="D606" s="2">
        <f>'New Deboning Middles'!Z44</f>
        <v>0</v>
      </c>
      <c r="E606">
        <v>1570</v>
      </c>
      <c r="H606" t="s">
        <v>58</v>
      </c>
      <c r="I606" t="s">
        <v>1194</v>
      </c>
    </row>
    <row r="607" spans="1:9" ht="15" customHeight="1" x14ac:dyDescent="0.25">
      <c r="A607" t="s">
        <v>4</v>
      </c>
      <c r="B607" t="s">
        <v>846</v>
      </c>
      <c r="C607" s="1009">
        <f t="shared" si="8"/>
        <v>45196</v>
      </c>
      <c r="D607" s="2">
        <f>'New Deboning Middles'!W44</f>
        <v>0</v>
      </c>
      <c r="E607">
        <v>1570</v>
      </c>
      <c r="H607" t="s">
        <v>265</v>
      </c>
      <c r="I607" t="s">
        <v>1194</v>
      </c>
    </row>
    <row r="608" spans="1:9" ht="15" customHeight="1" x14ac:dyDescent="0.25">
      <c r="A608" t="s">
        <v>5</v>
      </c>
      <c r="B608" t="s">
        <v>847</v>
      </c>
      <c r="C608" s="1009">
        <f t="shared" si="8"/>
        <v>45196</v>
      </c>
      <c r="D608" s="2">
        <f>'New Deboning Middles'!AA44</f>
        <v>0</v>
      </c>
      <c r="E608">
        <v>1570</v>
      </c>
      <c r="H608" t="s">
        <v>59</v>
      </c>
      <c r="I608" t="s">
        <v>1194</v>
      </c>
    </row>
    <row r="609" spans="1:9" ht="15" customHeight="1" x14ac:dyDescent="0.25">
      <c r="A609" t="s">
        <v>6</v>
      </c>
      <c r="B609" t="s">
        <v>848</v>
      </c>
      <c r="C609" s="1009">
        <f t="shared" si="8"/>
        <v>45196</v>
      </c>
      <c r="D609" s="2">
        <f>'New Deboning Middles'!X44</f>
        <v>0</v>
      </c>
      <c r="E609">
        <v>1570</v>
      </c>
      <c r="H609" t="s">
        <v>60</v>
      </c>
      <c r="I609" t="s">
        <v>1194</v>
      </c>
    </row>
    <row r="610" spans="1:9" ht="15" customHeight="1" x14ac:dyDescent="0.25">
      <c r="A610" t="s">
        <v>260</v>
      </c>
      <c r="B610" t="s">
        <v>849</v>
      </c>
      <c r="C610" s="1009">
        <f t="shared" si="8"/>
        <v>45196</v>
      </c>
      <c r="D610" s="2">
        <f>'New Deboning Middles'!AC44</f>
        <v>0</v>
      </c>
      <c r="E610">
        <v>1570</v>
      </c>
      <c r="H610" t="s">
        <v>261</v>
      </c>
      <c r="I610" t="s">
        <v>1194</v>
      </c>
    </row>
    <row r="611" spans="1:9" ht="15" customHeight="1" x14ac:dyDescent="0.25">
      <c r="A611" t="s">
        <v>141</v>
      </c>
      <c r="B611" t="s">
        <v>850</v>
      </c>
      <c r="C611" s="1009">
        <f t="shared" si="8"/>
        <v>45196</v>
      </c>
      <c r="D611" s="2">
        <f>'New Deboning Middles'!L39</f>
        <v>0</v>
      </c>
      <c r="E611">
        <v>1570</v>
      </c>
      <c r="F611">
        <f>'New Deboning Middles'!K39</f>
        <v>0</v>
      </c>
      <c r="H611" t="s">
        <v>262</v>
      </c>
      <c r="I611" t="s">
        <v>140</v>
      </c>
    </row>
    <row r="612" spans="1:9" ht="15" customHeight="1" x14ac:dyDescent="0.25">
      <c r="A612" t="s">
        <v>112</v>
      </c>
      <c r="B612" t="s">
        <v>610</v>
      </c>
      <c r="C612" s="1009">
        <f t="shared" si="8"/>
        <v>45196</v>
      </c>
      <c r="D612" s="2">
        <f>'New Deboning Middles'!M39</f>
        <v>0</v>
      </c>
      <c r="E612">
        <v>1570</v>
      </c>
      <c r="F612">
        <f>'New Deboning Middles'!K39</f>
        <v>0</v>
      </c>
      <c r="H612" t="s">
        <v>292</v>
      </c>
      <c r="I612" t="s">
        <v>244</v>
      </c>
    </row>
    <row r="613" spans="1:9" ht="15" customHeight="1" x14ac:dyDescent="0.25">
      <c r="A613" t="s">
        <v>142</v>
      </c>
      <c r="B613" t="s">
        <v>851</v>
      </c>
      <c r="C613" s="1009">
        <f t="shared" si="8"/>
        <v>45196</v>
      </c>
      <c r="D613" s="2">
        <f>'New Deboning Middles'!Y39</f>
        <v>0</v>
      </c>
      <c r="E613">
        <v>1570</v>
      </c>
      <c r="H613" t="s">
        <v>263</v>
      </c>
      <c r="I613" t="s">
        <v>1194</v>
      </c>
    </row>
    <row r="614" spans="1:9" ht="15" customHeight="1" x14ac:dyDescent="0.25">
      <c r="A614" t="s">
        <v>143</v>
      </c>
      <c r="B614" t="s">
        <v>852</v>
      </c>
      <c r="C614" s="1009">
        <f t="shared" si="8"/>
        <v>45196</v>
      </c>
      <c r="D614" s="2">
        <f>'New Deboning Middles'!AB39</f>
        <v>0</v>
      </c>
      <c r="E614">
        <v>1570</v>
      </c>
      <c r="H614" t="s">
        <v>264</v>
      </c>
      <c r="I614" t="s">
        <v>1194</v>
      </c>
    </row>
    <row r="615" spans="1:9" ht="15" customHeight="1" x14ac:dyDescent="0.25">
      <c r="A615" t="s">
        <v>149</v>
      </c>
      <c r="B615" t="s">
        <v>853</v>
      </c>
      <c r="C615" s="1009">
        <f t="shared" si="8"/>
        <v>45196</v>
      </c>
      <c r="D615" s="2">
        <f>'New Deboning Middles'!Q39</f>
        <v>0</v>
      </c>
      <c r="E615">
        <v>1570</v>
      </c>
      <c r="H615" t="s">
        <v>206</v>
      </c>
      <c r="I615" t="s">
        <v>1194</v>
      </c>
    </row>
    <row r="616" spans="1:9" ht="15" customHeight="1" x14ac:dyDescent="0.25">
      <c r="A616" t="s">
        <v>144</v>
      </c>
      <c r="B616" t="s">
        <v>854</v>
      </c>
      <c r="C616" s="1009">
        <f t="shared" ref="C616:C679" si="9">DeboningDate</f>
        <v>45196</v>
      </c>
      <c r="D616" s="2">
        <f>'New Deboning Middles'!U39</f>
        <v>0</v>
      </c>
      <c r="E616">
        <v>1570</v>
      </c>
      <c r="H616" t="s">
        <v>211</v>
      </c>
      <c r="I616" t="s">
        <v>1194</v>
      </c>
    </row>
    <row r="617" spans="1:9" ht="15" customHeight="1" x14ac:dyDescent="0.25">
      <c r="A617" t="s">
        <v>3</v>
      </c>
      <c r="B617" t="s">
        <v>855</v>
      </c>
      <c r="C617" s="1009">
        <f t="shared" si="9"/>
        <v>45196</v>
      </c>
      <c r="D617" s="2">
        <f>'New Deboning Middles'!Z39</f>
        <v>0</v>
      </c>
      <c r="E617">
        <v>1570</v>
      </c>
      <c r="H617" t="s">
        <v>58</v>
      </c>
      <c r="I617" t="s">
        <v>1194</v>
      </c>
    </row>
    <row r="618" spans="1:9" ht="15" customHeight="1" x14ac:dyDescent="0.25">
      <c r="A618" t="s">
        <v>4</v>
      </c>
      <c r="B618" t="s">
        <v>856</v>
      </c>
      <c r="C618" s="1009">
        <f t="shared" si="9"/>
        <v>45196</v>
      </c>
      <c r="D618" s="2">
        <f>'New Deboning Middles'!W39</f>
        <v>0</v>
      </c>
      <c r="E618">
        <v>1570</v>
      </c>
      <c r="H618" t="s">
        <v>265</v>
      </c>
      <c r="I618" t="s">
        <v>1194</v>
      </c>
    </row>
    <row r="619" spans="1:9" ht="15" customHeight="1" x14ac:dyDescent="0.25">
      <c r="A619" t="s">
        <v>5</v>
      </c>
      <c r="B619" t="s">
        <v>857</v>
      </c>
      <c r="C619" s="1009">
        <f t="shared" si="9"/>
        <v>45196</v>
      </c>
      <c r="D619" s="2">
        <f>'New Deboning Middles'!AA39</f>
        <v>0</v>
      </c>
      <c r="E619">
        <v>1570</v>
      </c>
      <c r="H619" t="s">
        <v>59</v>
      </c>
      <c r="I619" t="s">
        <v>1194</v>
      </c>
    </row>
    <row r="620" spans="1:9" ht="15" customHeight="1" x14ac:dyDescent="0.25">
      <c r="A620" t="s">
        <v>6</v>
      </c>
      <c r="B620" t="s">
        <v>858</v>
      </c>
      <c r="C620" s="1009">
        <f t="shared" si="9"/>
        <v>45196</v>
      </c>
      <c r="D620" s="2">
        <f>'New Deboning Middles'!X39</f>
        <v>0</v>
      </c>
      <c r="E620">
        <v>1570</v>
      </c>
      <c r="H620" t="s">
        <v>60</v>
      </c>
      <c r="I620" t="s">
        <v>1194</v>
      </c>
    </row>
    <row r="621" spans="1:9" ht="15" customHeight="1" x14ac:dyDescent="0.25">
      <c r="A621" t="s">
        <v>260</v>
      </c>
      <c r="B621" t="s">
        <v>859</v>
      </c>
      <c r="C621" s="1009">
        <f t="shared" si="9"/>
        <v>45196</v>
      </c>
      <c r="D621" s="2">
        <f>'New Deboning Middles'!AC39</f>
        <v>0</v>
      </c>
      <c r="E621">
        <v>1570</v>
      </c>
      <c r="H621" t="s">
        <v>261</v>
      </c>
      <c r="I621" t="s">
        <v>1194</v>
      </c>
    </row>
    <row r="622" spans="1:9" ht="15" customHeight="1" x14ac:dyDescent="0.25">
      <c r="A622" t="s">
        <v>56</v>
      </c>
      <c r="B622" t="s">
        <v>1186</v>
      </c>
      <c r="C622" s="1009">
        <f t="shared" si="9"/>
        <v>45196</v>
      </c>
      <c r="D622" s="2">
        <f>'New Deboning Middles'!AD39</f>
        <v>0</v>
      </c>
      <c r="E622">
        <v>1570</v>
      </c>
      <c r="H622" t="s">
        <v>246</v>
      </c>
      <c r="I622" t="s">
        <v>140</v>
      </c>
    </row>
    <row r="623" spans="1:9" ht="15" customHeight="1" x14ac:dyDescent="0.25">
      <c r="A623" t="s">
        <v>141</v>
      </c>
      <c r="B623" t="s">
        <v>860</v>
      </c>
      <c r="C623" s="1009">
        <f t="shared" si="9"/>
        <v>45196</v>
      </c>
      <c r="D623" s="2">
        <f>'New Deboning Middles'!L40</f>
        <v>0</v>
      </c>
      <c r="E623">
        <v>1570</v>
      </c>
      <c r="F623">
        <f>'New Deboning Middles'!K40</f>
        <v>0</v>
      </c>
      <c r="H623" t="s">
        <v>262</v>
      </c>
      <c r="I623" t="s">
        <v>140</v>
      </c>
    </row>
    <row r="624" spans="1:9" ht="15" customHeight="1" x14ac:dyDescent="0.25">
      <c r="A624" t="s">
        <v>112</v>
      </c>
      <c r="B624" t="s">
        <v>642</v>
      </c>
      <c r="C624" s="1009">
        <f t="shared" si="9"/>
        <v>45196</v>
      </c>
      <c r="D624" s="2">
        <f>'New Deboning Middles'!M40</f>
        <v>0</v>
      </c>
      <c r="E624">
        <v>1570</v>
      </c>
      <c r="F624">
        <f>'New Deboning Middles'!K40</f>
        <v>0</v>
      </c>
      <c r="H624" t="s">
        <v>292</v>
      </c>
      <c r="I624" t="s">
        <v>140</v>
      </c>
    </row>
    <row r="625" spans="1:9" ht="15" customHeight="1" x14ac:dyDescent="0.25">
      <c r="A625" t="s">
        <v>142</v>
      </c>
      <c r="B625" t="s">
        <v>861</v>
      </c>
      <c r="C625" s="1009">
        <f t="shared" si="9"/>
        <v>45196</v>
      </c>
      <c r="D625" s="2">
        <f>'New Deboning Middles'!Y40</f>
        <v>0</v>
      </c>
      <c r="E625">
        <v>1570</v>
      </c>
      <c r="H625" t="s">
        <v>263</v>
      </c>
      <c r="I625" t="s">
        <v>140</v>
      </c>
    </row>
    <row r="626" spans="1:9" ht="15" customHeight="1" x14ac:dyDescent="0.25">
      <c r="A626" t="s">
        <v>143</v>
      </c>
      <c r="B626" t="s">
        <v>862</v>
      </c>
      <c r="C626" s="1009">
        <f t="shared" si="9"/>
        <v>45196</v>
      </c>
      <c r="D626" s="2">
        <f>'New Deboning Middles'!AB40</f>
        <v>0</v>
      </c>
      <c r="E626">
        <v>1570</v>
      </c>
      <c r="H626" t="s">
        <v>264</v>
      </c>
      <c r="I626" t="s">
        <v>140</v>
      </c>
    </row>
    <row r="627" spans="1:9" ht="15" customHeight="1" x14ac:dyDescent="0.25">
      <c r="A627" t="s">
        <v>147</v>
      </c>
      <c r="B627" t="s">
        <v>863</v>
      </c>
      <c r="C627" s="1009">
        <f t="shared" si="9"/>
        <v>45196</v>
      </c>
      <c r="D627" s="2">
        <f>'New Deboning Middles'!R40</f>
        <v>0</v>
      </c>
      <c r="E627">
        <v>1570</v>
      </c>
      <c r="H627" t="s">
        <v>207</v>
      </c>
      <c r="I627" t="s">
        <v>140</v>
      </c>
    </row>
    <row r="628" spans="1:9" ht="15" customHeight="1" x14ac:dyDescent="0.25">
      <c r="A628" t="s">
        <v>3</v>
      </c>
      <c r="B628" t="s">
        <v>864</v>
      </c>
      <c r="C628" s="1009">
        <f t="shared" si="9"/>
        <v>45196</v>
      </c>
      <c r="D628" s="2">
        <f>'New Deboning Middles'!Z40</f>
        <v>0</v>
      </c>
      <c r="E628">
        <v>1570</v>
      </c>
      <c r="H628" t="s">
        <v>58</v>
      </c>
      <c r="I628" t="s">
        <v>140</v>
      </c>
    </row>
    <row r="629" spans="1:9" ht="15" customHeight="1" x14ac:dyDescent="0.25">
      <c r="A629" t="s">
        <v>4</v>
      </c>
      <c r="B629" t="s">
        <v>865</v>
      </c>
      <c r="C629" s="1009">
        <f t="shared" si="9"/>
        <v>45196</v>
      </c>
      <c r="D629" s="2">
        <f>'New Deboning Middles'!W40</f>
        <v>0</v>
      </c>
      <c r="E629">
        <v>1570</v>
      </c>
      <c r="H629" t="s">
        <v>265</v>
      </c>
      <c r="I629" t="s">
        <v>140</v>
      </c>
    </row>
    <row r="630" spans="1:9" ht="15" customHeight="1" x14ac:dyDescent="0.25">
      <c r="A630" t="s">
        <v>5</v>
      </c>
      <c r="B630" t="s">
        <v>866</v>
      </c>
      <c r="C630" s="1009">
        <f t="shared" si="9"/>
        <v>45196</v>
      </c>
      <c r="D630" s="2">
        <f>'New Deboning Middles'!AA40</f>
        <v>0</v>
      </c>
      <c r="E630">
        <v>1570</v>
      </c>
      <c r="H630" t="s">
        <v>59</v>
      </c>
      <c r="I630" t="s">
        <v>140</v>
      </c>
    </row>
    <row r="631" spans="1:9" ht="15" customHeight="1" x14ac:dyDescent="0.25">
      <c r="A631" t="s">
        <v>6</v>
      </c>
      <c r="B631" t="s">
        <v>867</v>
      </c>
      <c r="C631" s="1009">
        <f t="shared" si="9"/>
        <v>45196</v>
      </c>
      <c r="D631" s="2">
        <f>'New Deboning Middles'!X40</f>
        <v>0</v>
      </c>
      <c r="E631">
        <v>1570</v>
      </c>
      <c r="H631" t="s">
        <v>60</v>
      </c>
      <c r="I631" t="s">
        <v>140</v>
      </c>
    </row>
    <row r="632" spans="1:9" ht="15" customHeight="1" x14ac:dyDescent="0.25">
      <c r="A632" t="s">
        <v>260</v>
      </c>
      <c r="B632" t="s">
        <v>868</v>
      </c>
      <c r="C632" s="1009">
        <f t="shared" si="9"/>
        <v>45196</v>
      </c>
      <c r="D632" s="2">
        <f>'New Deboning Middles'!AC40</f>
        <v>0</v>
      </c>
      <c r="E632">
        <v>1570</v>
      </c>
      <c r="H632" t="s">
        <v>261</v>
      </c>
      <c r="I632" t="s">
        <v>140</v>
      </c>
    </row>
    <row r="633" spans="1:9" ht="15" customHeight="1" x14ac:dyDescent="0.25">
      <c r="A633" t="s">
        <v>56</v>
      </c>
      <c r="B633" t="s">
        <v>1187</v>
      </c>
      <c r="C633" s="1009">
        <f t="shared" si="9"/>
        <v>45196</v>
      </c>
      <c r="D633" s="2">
        <f>'New Deboning Middles'!AD40</f>
        <v>0</v>
      </c>
      <c r="E633">
        <v>1570</v>
      </c>
      <c r="H633" t="s">
        <v>246</v>
      </c>
      <c r="I633" t="s">
        <v>140</v>
      </c>
    </row>
    <row r="634" spans="1:9" ht="15" customHeight="1" x14ac:dyDescent="0.25">
      <c r="A634" t="s">
        <v>141</v>
      </c>
      <c r="B634" t="s">
        <v>869</v>
      </c>
      <c r="C634" s="1009">
        <f t="shared" si="9"/>
        <v>45196</v>
      </c>
      <c r="D634" s="2">
        <f>'New Deboning Middles'!L41</f>
        <v>0</v>
      </c>
      <c r="E634">
        <v>1570</v>
      </c>
      <c r="F634">
        <f>'New Deboning Middles'!K41</f>
        <v>0</v>
      </c>
      <c r="H634" t="s">
        <v>262</v>
      </c>
      <c r="I634" t="s">
        <v>140</v>
      </c>
    </row>
    <row r="635" spans="1:9" ht="15" customHeight="1" x14ac:dyDescent="0.25">
      <c r="A635" t="s">
        <v>112</v>
      </c>
      <c r="B635" t="s">
        <v>611</v>
      </c>
      <c r="C635" s="1009">
        <f t="shared" si="9"/>
        <v>45196</v>
      </c>
      <c r="D635" s="2">
        <f>'New Deboning Middles'!M41</f>
        <v>0</v>
      </c>
      <c r="E635">
        <v>1570</v>
      </c>
      <c r="F635">
        <f>'New Deboning Middles'!K41</f>
        <v>0</v>
      </c>
      <c r="H635" t="s">
        <v>292</v>
      </c>
      <c r="I635" t="s">
        <v>244</v>
      </c>
    </row>
    <row r="636" spans="1:9" ht="15" customHeight="1" x14ac:dyDescent="0.25">
      <c r="A636" t="s">
        <v>142</v>
      </c>
      <c r="B636" t="s">
        <v>870</v>
      </c>
      <c r="C636" s="1009">
        <f t="shared" si="9"/>
        <v>45196</v>
      </c>
      <c r="D636" s="2">
        <f>'New Deboning Middles'!Y41</f>
        <v>0</v>
      </c>
      <c r="E636">
        <v>1570</v>
      </c>
      <c r="H636" t="s">
        <v>263</v>
      </c>
      <c r="I636" t="s">
        <v>1194</v>
      </c>
    </row>
    <row r="637" spans="1:9" ht="15" customHeight="1" x14ac:dyDescent="0.25">
      <c r="A637" t="s">
        <v>143</v>
      </c>
      <c r="B637" t="s">
        <v>871</v>
      </c>
      <c r="C637" s="1009">
        <f t="shared" si="9"/>
        <v>45196</v>
      </c>
      <c r="D637" s="2">
        <f>'New Deboning Middles'!AB41</f>
        <v>0</v>
      </c>
      <c r="E637">
        <v>1570</v>
      </c>
      <c r="H637" t="s">
        <v>264</v>
      </c>
      <c r="I637" t="s">
        <v>1194</v>
      </c>
    </row>
    <row r="638" spans="1:9" ht="15" customHeight="1" x14ac:dyDescent="0.25">
      <c r="A638" t="s">
        <v>147</v>
      </c>
      <c r="B638" t="s">
        <v>872</v>
      </c>
      <c r="C638" s="1009">
        <f t="shared" si="9"/>
        <v>45196</v>
      </c>
      <c r="D638" s="2">
        <f>'New Deboning Middles'!R41</f>
        <v>0</v>
      </c>
      <c r="E638">
        <v>1570</v>
      </c>
      <c r="H638" t="s">
        <v>207</v>
      </c>
      <c r="I638" t="s">
        <v>1194</v>
      </c>
    </row>
    <row r="639" spans="1:9" ht="15" customHeight="1" x14ac:dyDescent="0.25">
      <c r="A639" t="s">
        <v>144</v>
      </c>
      <c r="B639" t="s">
        <v>873</v>
      </c>
      <c r="C639" s="1009">
        <f t="shared" si="9"/>
        <v>45196</v>
      </c>
      <c r="D639" s="2">
        <f>'New Deboning Middles'!U41</f>
        <v>0</v>
      </c>
      <c r="E639">
        <v>1570</v>
      </c>
      <c r="H639" t="s">
        <v>211</v>
      </c>
      <c r="I639" t="s">
        <v>1194</v>
      </c>
    </row>
    <row r="640" spans="1:9" ht="15" customHeight="1" x14ac:dyDescent="0.25">
      <c r="A640" t="s">
        <v>3</v>
      </c>
      <c r="B640" t="s">
        <v>874</v>
      </c>
      <c r="C640" s="1009">
        <f t="shared" si="9"/>
        <v>45196</v>
      </c>
      <c r="D640" s="2">
        <f>'New Deboning Middles'!Z41</f>
        <v>0</v>
      </c>
      <c r="E640">
        <v>1570</v>
      </c>
      <c r="H640" t="s">
        <v>58</v>
      </c>
      <c r="I640" t="s">
        <v>1194</v>
      </c>
    </row>
    <row r="641" spans="1:9" ht="15" customHeight="1" x14ac:dyDescent="0.25">
      <c r="A641" t="s">
        <v>4</v>
      </c>
      <c r="B641" t="s">
        <v>875</v>
      </c>
      <c r="C641" s="1009">
        <f t="shared" si="9"/>
        <v>45196</v>
      </c>
      <c r="D641" s="2">
        <f>'New Deboning Middles'!W41</f>
        <v>0</v>
      </c>
      <c r="E641">
        <v>1570</v>
      </c>
      <c r="H641" t="s">
        <v>265</v>
      </c>
      <c r="I641" t="s">
        <v>1194</v>
      </c>
    </row>
    <row r="642" spans="1:9" ht="15" customHeight="1" x14ac:dyDescent="0.25">
      <c r="A642" t="s">
        <v>5</v>
      </c>
      <c r="B642" t="s">
        <v>876</v>
      </c>
      <c r="C642" s="1009">
        <f t="shared" si="9"/>
        <v>45196</v>
      </c>
      <c r="D642" s="2">
        <f>'New Deboning Middles'!AA41</f>
        <v>0</v>
      </c>
      <c r="E642">
        <v>1570</v>
      </c>
      <c r="H642" t="s">
        <v>59</v>
      </c>
      <c r="I642" t="s">
        <v>1194</v>
      </c>
    </row>
    <row r="643" spans="1:9" ht="15" customHeight="1" x14ac:dyDescent="0.25">
      <c r="A643" t="s">
        <v>6</v>
      </c>
      <c r="B643" t="s">
        <v>877</v>
      </c>
      <c r="C643" s="1009">
        <f t="shared" si="9"/>
        <v>45196</v>
      </c>
      <c r="D643" s="2">
        <f>'New Deboning Middles'!X41</f>
        <v>0</v>
      </c>
      <c r="E643">
        <v>1570</v>
      </c>
      <c r="H643" t="s">
        <v>60</v>
      </c>
      <c r="I643" t="s">
        <v>1194</v>
      </c>
    </row>
    <row r="644" spans="1:9" ht="15" customHeight="1" x14ac:dyDescent="0.25">
      <c r="A644" t="s">
        <v>260</v>
      </c>
      <c r="B644" t="s">
        <v>878</v>
      </c>
      <c r="C644" s="1009">
        <f t="shared" si="9"/>
        <v>45196</v>
      </c>
      <c r="D644" s="2">
        <f>'New Deboning Middles'!AC41</f>
        <v>0</v>
      </c>
      <c r="E644">
        <v>1570</v>
      </c>
      <c r="H644" t="s">
        <v>261</v>
      </c>
      <c r="I644" t="s">
        <v>1194</v>
      </c>
    </row>
    <row r="645" spans="1:9" ht="15" customHeight="1" x14ac:dyDescent="0.25">
      <c r="A645" t="s">
        <v>56</v>
      </c>
      <c r="B645" t="s">
        <v>1188</v>
      </c>
      <c r="C645" s="1009">
        <f t="shared" si="9"/>
        <v>45196</v>
      </c>
      <c r="D645" s="2">
        <f>'New Deboning Middles'!AD41</f>
        <v>0</v>
      </c>
      <c r="E645">
        <v>1570</v>
      </c>
      <c r="H645" t="s">
        <v>246</v>
      </c>
      <c r="I645" t="s">
        <v>140</v>
      </c>
    </row>
    <row r="646" spans="1:9" ht="15" customHeight="1" x14ac:dyDescent="0.25">
      <c r="A646" t="s">
        <v>141</v>
      </c>
      <c r="B646" t="s">
        <v>879</v>
      </c>
      <c r="C646" s="1009">
        <f t="shared" si="9"/>
        <v>45196</v>
      </c>
      <c r="D646" s="2">
        <f>'New Deboning Middles'!L42</f>
        <v>0</v>
      </c>
      <c r="E646">
        <v>1570</v>
      </c>
      <c r="F646">
        <f>'New Deboning Middles'!K42</f>
        <v>0</v>
      </c>
      <c r="H646" t="s">
        <v>262</v>
      </c>
      <c r="I646" t="s">
        <v>140</v>
      </c>
    </row>
    <row r="647" spans="1:9" ht="15" customHeight="1" x14ac:dyDescent="0.25">
      <c r="A647" t="s">
        <v>112</v>
      </c>
      <c r="B647" t="s">
        <v>609</v>
      </c>
      <c r="C647" s="1009">
        <f t="shared" si="9"/>
        <v>45196</v>
      </c>
      <c r="D647" s="2">
        <f>'New Deboning Middles'!M42</f>
        <v>0</v>
      </c>
      <c r="E647">
        <v>1570</v>
      </c>
      <c r="F647">
        <f>'New Deboning Middles'!K42</f>
        <v>0</v>
      </c>
      <c r="H647" t="s">
        <v>292</v>
      </c>
      <c r="I647" t="s">
        <v>244</v>
      </c>
    </row>
    <row r="648" spans="1:9" ht="15" customHeight="1" x14ac:dyDescent="0.25">
      <c r="A648" t="s">
        <v>142</v>
      </c>
      <c r="B648" t="s">
        <v>880</v>
      </c>
      <c r="C648" s="1009">
        <f t="shared" si="9"/>
        <v>45196</v>
      </c>
      <c r="D648" s="2">
        <f>'New Deboning Middles'!Y42</f>
        <v>0</v>
      </c>
      <c r="E648">
        <v>1570</v>
      </c>
      <c r="H648" t="s">
        <v>263</v>
      </c>
      <c r="I648" t="s">
        <v>1194</v>
      </c>
    </row>
    <row r="649" spans="1:9" ht="15" customHeight="1" x14ac:dyDescent="0.25">
      <c r="A649" t="s">
        <v>143</v>
      </c>
      <c r="B649" t="s">
        <v>881</v>
      </c>
      <c r="C649" s="1009">
        <f t="shared" si="9"/>
        <v>45196</v>
      </c>
      <c r="D649" s="2">
        <f>'New Deboning Middles'!AB42</f>
        <v>0</v>
      </c>
      <c r="E649">
        <v>1570</v>
      </c>
      <c r="H649" t="s">
        <v>264</v>
      </c>
      <c r="I649" t="s">
        <v>1194</v>
      </c>
    </row>
    <row r="650" spans="1:9" ht="15" customHeight="1" x14ac:dyDescent="0.25">
      <c r="A650" t="s">
        <v>151</v>
      </c>
      <c r="B650" t="s">
        <v>882</v>
      </c>
      <c r="C650" s="1009">
        <f t="shared" si="9"/>
        <v>45196</v>
      </c>
      <c r="D650" s="2">
        <f>'New Deboning Middles'!T42</f>
        <v>0</v>
      </c>
      <c r="E650">
        <v>1570</v>
      </c>
      <c r="H650" t="s">
        <v>209</v>
      </c>
      <c r="I650" t="s">
        <v>1194</v>
      </c>
    </row>
    <row r="651" spans="1:9" ht="15" customHeight="1" x14ac:dyDescent="0.25">
      <c r="A651" t="s">
        <v>3</v>
      </c>
      <c r="B651" t="s">
        <v>883</v>
      </c>
      <c r="C651" s="1009">
        <f t="shared" si="9"/>
        <v>45196</v>
      </c>
      <c r="D651" s="2">
        <f>'New Deboning Middles'!Z42</f>
        <v>0</v>
      </c>
      <c r="E651">
        <v>1570</v>
      </c>
      <c r="H651" t="s">
        <v>58</v>
      </c>
      <c r="I651" t="s">
        <v>1194</v>
      </c>
    </row>
    <row r="652" spans="1:9" ht="15" customHeight="1" x14ac:dyDescent="0.25">
      <c r="A652" t="s">
        <v>4</v>
      </c>
      <c r="B652" t="s">
        <v>884</v>
      </c>
      <c r="C652" s="1009">
        <f t="shared" si="9"/>
        <v>45196</v>
      </c>
      <c r="D652" s="2">
        <f>'New Deboning Middles'!W42</f>
        <v>0</v>
      </c>
      <c r="E652">
        <v>1570</v>
      </c>
      <c r="H652" t="s">
        <v>265</v>
      </c>
      <c r="I652" t="s">
        <v>1194</v>
      </c>
    </row>
    <row r="653" spans="1:9" ht="15" customHeight="1" x14ac:dyDescent="0.25">
      <c r="A653" t="s">
        <v>5</v>
      </c>
      <c r="B653" t="s">
        <v>885</v>
      </c>
      <c r="C653" s="1009">
        <f t="shared" si="9"/>
        <v>45196</v>
      </c>
      <c r="D653" s="2">
        <f>'New Deboning Middles'!AA42</f>
        <v>0</v>
      </c>
      <c r="E653">
        <v>1570</v>
      </c>
      <c r="H653" t="s">
        <v>59</v>
      </c>
      <c r="I653" t="s">
        <v>1194</v>
      </c>
    </row>
    <row r="654" spans="1:9" ht="15" customHeight="1" x14ac:dyDescent="0.25">
      <c r="A654" t="s">
        <v>6</v>
      </c>
      <c r="B654" t="s">
        <v>886</v>
      </c>
      <c r="C654" s="1009">
        <f t="shared" si="9"/>
        <v>45196</v>
      </c>
      <c r="D654" s="2">
        <f>'New Deboning Middles'!X42</f>
        <v>0</v>
      </c>
      <c r="E654">
        <v>1570</v>
      </c>
      <c r="H654" t="s">
        <v>60</v>
      </c>
      <c r="I654" t="s">
        <v>1194</v>
      </c>
    </row>
    <row r="655" spans="1:9" ht="15" customHeight="1" x14ac:dyDescent="0.25">
      <c r="A655" t="s">
        <v>260</v>
      </c>
      <c r="B655" t="s">
        <v>887</v>
      </c>
      <c r="C655" s="1009">
        <f t="shared" si="9"/>
        <v>45196</v>
      </c>
      <c r="D655" s="2">
        <f>'New Deboning Middles'!AC42</f>
        <v>0</v>
      </c>
      <c r="E655">
        <v>1570</v>
      </c>
      <c r="H655" t="s">
        <v>261</v>
      </c>
      <c r="I655" t="s">
        <v>1194</v>
      </c>
    </row>
    <row r="656" spans="1:9" ht="15" customHeight="1" x14ac:dyDescent="0.25">
      <c r="A656" t="s">
        <v>56</v>
      </c>
      <c r="B656" t="s">
        <v>1189</v>
      </c>
      <c r="C656" s="1009">
        <f t="shared" si="9"/>
        <v>45196</v>
      </c>
      <c r="D656" s="2">
        <f>'New Deboning Middles'!AD42</f>
        <v>0</v>
      </c>
      <c r="E656">
        <v>1570</v>
      </c>
      <c r="H656" t="s">
        <v>246</v>
      </c>
      <c r="I656" t="s">
        <v>140</v>
      </c>
    </row>
    <row r="657" spans="1:9" ht="15" customHeight="1" x14ac:dyDescent="0.25">
      <c r="A657" t="s">
        <v>141</v>
      </c>
      <c r="B657" t="s">
        <v>888</v>
      </c>
      <c r="C657" s="1009">
        <f t="shared" si="9"/>
        <v>45196</v>
      </c>
      <c r="D657" s="2">
        <f>'New Deboning Middles'!L43</f>
        <v>0</v>
      </c>
      <c r="E657">
        <v>1570</v>
      </c>
      <c r="F657">
        <f>'New Deboning Middles'!K43</f>
        <v>0</v>
      </c>
      <c r="H657" t="s">
        <v>262</v>
      </c>
      <c r="I657" t="s">
        <v>140</v>
      </c>
    </row>
    <row r="658" spans="1:9" ht="15" customHeight="1" x14ac:dyDescent="0.25">
      <c r="A658" t="s">
        <v>112</v>
      </c>
      <c r="B658" t="s">
        <v>145</v>
      </c>
      <c r="C658" s="1009">
        <f t="shared" si="9"/>
        <v>45196</v>
      </c>
      <c r="D658" s="2">
        <f>'New Deboning Middles'!M43</f>
        <v>0</v>
      </c>
      <c r="E658">
        <v>1570</v>
      </c>
      <c r="F658">
        <f>'New Deboning Middles'!K43</f>
        <v>0</v>
      </c>
      <c r="H658" t="s">
        <v>292</v>
      </c>
      <c r="I658" t="s">
        <v>244</v>
      </c>
    </row>
    <row r="659" spans="1:9" ht="15" customHeight="1" x14ac:dyDescent="0.25">
      <c r="A659" t="s">
        <v>142</v>
      </c>
      <c r="B659" t="s">
        <v>889</v>
      </c>
      <c r="C659" s="1009">
        <f t="shared" si="9"/>
        <v>45196</v>
      </c>
      <c r="D659" s="2">
        <f>'New Deboning Middles'!Y43</f>
        <v>0</v>
      </c>
      <c r="E659">
        <v>1570</v>
      </c>
      <c r="H659" t="s">
        <v>263</v>
      </c>
      <c r="I659" t="s">
        <v>1194</v>
      </c>
    </row>
    <row r="660" spans="1:9" ht="15" customHeight="1" x14ac:dyDescent="0.25">
      <c r="A660" t="s">
        <v>143</v>
      </c>
      <c r="B660" t="s">
        <v>890</v>
      </c>
      <c r="C660" s="1009">
        <f t="shared" si="9"/>
        <v>45196</v>
      </c>
      <c r="D660" s="2">
        <f>'New Deboning Middles'!AB43</f>
        <v>0</v>
      </c>
      <c r="E660">
        <v>1570</v>
      </c>
      <c r="H660" t="s">
        <v>264</v>
      </c>
      <c r="I660" t="s">
        <v>1194</v>
      </c>
    </row>
    <row r="661" spans="1:9" ht="15" customHeight="1" x14ac:dyDescent="0.25">
      <c r="A661" t="s">
        <v>144</v>
      </c>
      <c r="B661" t="s">
        <v>891</v>
      </c>
      <c r="C661" s="1009">
        <f t="shared" si="9"/>
        <v>45196</v>
      </c>
      <c r="D661" s="2">
        <f>'New Deboning Middles'!U43</f>
        <v>0</v>
      </c>
      <c r="E661">
        <v>1570</v>
      </c>
      <c r="H661" t="s">
        <v>211</v>
      </c>
      <c r="I661" t="s">
        <v>1194</v>
      </c>
    </row>
    <row r="662" spans="1:9" ht="15" customHeight="1" x14ac:dyDescent="0.25">
      <c r="A662" t="s">
        <v>3</v>
      </c>
      <c r="B662" t="s">
        <v>892</v>
      </c>
      <c r="C662" s="1009">
        <f t="shared" si="9"/>
        <v>45196</v>
      </c>
      <c r="D662" s="2">
        <f>'New Deboning Middles'!Z43</f>
        <v>0</v>
      </c>
      <c r="E662">
        <v>1570</v>
      </c>
      <c r="H662" t="s">
        <v>58</v>
      </c>
      <c r="I662" t="s">
        <v>1194</v>
      </c>
    </row>
    <row r="663" spans="1:9" ht="15" customHeight="1" x14ac:dyDescent="0.25">
      <c r="A663" t="s">
        <v>4</v>
      </c>
      <c r="B663" t="s">
        <v>893</v>
      </c>
      <c r="C663" s="1009">
        <f t="shared" si="9"/>
        <v>45196</v>
      </c>
      <c r="D663" s="2">
        <f>'New Deboning Middles'!W43</f>
        <v>0</v>
      </c>
      <c r="E663">
        <v>1570</v>
      </c>
      <c r="H663" t="s">
        <v>265</v>
      </c>
      <c r="I663" t="s">
        <v>1194</v>
      </c>
    </row>
    <row r="664" spans="1:9" ht="15" customHeight="1" x14ac:dyDescent="0.25">
      <c r="A664" t="s">
        <v>5</v>
      </c>
      <c r="B664" t="s">
        <v>894</v>
      </c>
      <c r="C664" s="1009">
        <f t="shared" si="9"/>
        <v>45196</v>
      </c>
      <c r="D664" s="2">
        <f>'New Deboning Middles'!AA43</f>
        <v>0</v>
      </c>
      <c r="E664">
        <v>1570</v>
      </c>
      <c r="H664" t="s">
        <v>59</v>
      </c>
      <c r="I664" t="s">
        <v>1194</v>
      </c>
    </row>
    <row r="665" spans="1:9" ht="15" customHeight="1" x14ac:dyDescent="0.25">
      <c r="A665" t="s">
        <v>6</v>
      </c>
      <c r="B665" t="s">
        <v>895</v>
      </c>
      <c r="C665" s="1009">
        <f t="shared" si="9"/>
        <v>45196</v>
      </c>
      <c r="D665" s="2">
        <f>'New Deboning Middles'!X43</f>
        <v>0</v>
      </c>
      <c r="E665">
        <v>1570</v>
      </c>
      <c r="H665" t="s">
        <v>60</v>
      </c>
      <c r="I665" t="s">
        <v>1194</v>
      </c>
    </row>
    <row r="666" spans="1:9" ht="15" customHeight="1" x14ac:dyDescent="0.25">
      <c r="A666" t="s">
        <v>260</v>
      </c>
      <c r="B666" t="s">
        <v>896</v>
      </c>
      <c r="C666" s="1009">
        <f t="shared" si="9"/>
        <v>45196</v>
      </c>
      <c r="D666" s="2">
        <f>'New Deboning Middles'!AC43</f>
        <v>0</v>
      </c>
      <c r="E666">
        <v>1570</v>
      </c>
      <c r="H666" t="s">
        <v>261</v>
      </c>
      <c r="I666" t="s">
        <v>1194</v>
      </c>
    </row>
    <row r="667" spans="1:9" ht="15" customHeight="1" x14ac:dyDescent="0.25">
      <c r="A667" t="s">
        <v>56</v>
      </c>
      <c r="B667" t="s">
        <v>1190</v>
      </c>
      <c r="C667" s="1009">
        <f t="shared" si="9"/>
        <v>45196</v>
      </c>
      <c r="D667" s="2">
        <f>'New Deboning Middles'!AD43</f>
        <v>0</v>
      </c>
      <c r="E667">
        <v>1570</v>
      </c>
      <c r="H667" t="s">
        <v>246</v>
      </c>
      <c r="I667" t="s">
        <v>961</v>
      </c>
    </row>
    <row r="668" spans="1:9" ht="15" customHeight="1" x14ac:dyDescent="0.25">
      <c r="A668" t="s">
        <v>141</v>
      </c>
      <c r="B668" t="s">
        <v>888</v>
      </c>
      <c r="C668" s="1009">
        <f t="shared" si="9"/>
        <v>45196</v>
      </c>
      <c r="D668" s="2">
        <f>'New Deboning Middles'!L72</f>
        <v>0</v>
      </c>
      <c r="E668">
        <v>1570</v>
      </c>
      <c r="F668">
        <f>'New Deboning Middles'!K72</f>
        <v>0</v>
      </c>
      <c r="H668" t="s">
        <v>262</v>
      </c>
      <c r="I668" t="s">
        <v>140</v>
      </c>
    </row>
    <row r="669" spans="1:9" ht="15" customHeight="1" x14ac:dyDescent="0.25">
      <c r="D669" s="2"/>
    </row>
    <row r="670" spans="1:9" ht="15" customHeight="1" x14ac:dyDescent="0.25">
      <c r="A670" t="s">
        <v>112</v>
      </c>
      <c r="B670" t="s">
        <v>145</v>
      </c>
      <c r="C670" s="1009">
        <f t="shared" si="9"/>
        <v>45196</v>
      </c>
      <c r="D670" s="2"/>
      <c r="E670">
        <v>1570</v>
      </c>
      <c r="H670" t="s">
        <v>292</v>
      </c>
      <c r="I670" t="s">
        <v>244</v>
      </c>
    </row>
    <row r="671" spans="1:9" ht="15" customHeight="1" x14ac:dyDescent="0.25">
      <c r="A671" t="s">
        <v>142</v>
      </c>
      <c r="B671" t="s">
        <v>889</v>
      </c>
      <c r="C671" s="1009">
        <f t="shared" si="9"/>
        <v>45196</v>
      </c>
      <c r="D671" s="2"/>
      <c r="E671">
        <v>1570</v>
      </c>
      <c r="H671" t="s">
        <v>263</v>
      </c>
      <c r="I671" t="s">
        <v>1194</v>
      </c>
    </row>
    <row r="672" spans="1:9" ht="15" customHeight="1" x14ac:dyDescent="0.25">
      <c r="A672" t="s">
        <v>143</v>
      </c>
      <c r="B672" t="s">
        <v>890</v>
      </c>
      <c r="C672" s="1009">
        <f t="shared" si="9"/>
        <v>45196</v>
      </c>
      <c r="D672" s="2"/>
      <c r="E672">
        <v>1570</v>
      </c>
      <c r="H672" t="s">
        <v>264</v>
      </c>
      <c r="I672" t="s">
        <v>1194</v>
      </c>
    </row>
    <row r="673" spans="1:9" ht="15" customHeight="1" x14ac:dyDescent="0.25">
      <c r="A673" t="s">
        <v>144</v>
      </c>
      <c r="B673" t="s">
        <v>891</v>
      </c>
      <c r="C673" s="1009">
        <f t="shared" si="9"/>
        <v>45196</v>
      </c>
      <c r="D673" s="2"/>
      <c r="E673">
        <v>1570</v>
      </c>
      <c r="H673" t="s">
        <v>211</v>
      </c>
      <c r="I673" t="s">
        <v>1194</v>
      </c>
    </row>
    <row r="674" spans="1:9" ht="15" customHeight="1" x14ac:dyDescent="0.25">
      <c r="A674" t="s">
        <v>3</v>
      </c>
      <c r="B674" t="s">
        <v>892</v>
      </c>
      <c r="C674" s="1009">
        <f t="shared" si="9"/>
        <v>45196</v>
      </c>
      <c r="D674" s="2"/>
      <c r="E674">
        <v>1570</v>
      </c>
      <c r="H674" t="s">
        <v>58</v>
      </c>
      <c r="I674" t="s">
        <v>1194</v>
      </c>
    </row>
    <row r="675" spans="1:9" ht="15" customHeight="1" x14ac:dyDescent="0.25">
      <c r="A675" t="s">
        <v>4</v>
      </c>
      <c r="B675" t="s">
        <v>893</v>
      </c>
      <c r="C675" s="1009">
        <f t="shared" si="9"/>
        <v>45196</v>
      </c>
      <c r="D675" s="2"/>
      <c r="E675">
        <v>1570</v>
      </c>
      <c r="H675" t="s">
        <v>265</v>
      </c>
      <c r="I675" t="s">
        <v>1194</v>
      </c>
    </row>
    <row r="676" spans="1:9" ht="15" customHeight="1" x14ac:dyDescent="0.25">
      <c r="A676" t="s">
        <v>5</v>
      </c>
      <c r="B676" t="s">
        <v>894</v>
      </c>
      <c r="C676" s="1009">
        <f t="shared" si="9"/>
        <v>45196</v>
      </c>
      <c r="D676" s="2"/>
      <c r="E676">
        <v>1570</v>
      </c>
      <c r="H676" t="s">
        <v>59</v>
      </c>
      <c r="I676" t="s">
        <v>1194</v>
      </c>
    </row>
    <row r="677" spans="1:9" ht="15" customHeight="1" x14ac:dyDescent="0.25">
      <c r="A677" t="s">
        <v>6</v>
      </c>
      <c r="B677" t="s">
        <v>895</v>
      </c>
      <c r="C677" s="1009">
        <f t="shared" si="9"/>
        <v>45196</v>
      </c>
      <c r="D677" s="2"/>
      <c r="E677">
        <v>1570</v>
      </c>
      <c r="H677" t="s">
        <v>60</v>
      </c>
      <c r="I677" t="s">
        <v>1194</v>
      </c>
    </row>
    <row r="678" spans="1:9" ht="15" customHeight="1" x14ac:dyDescent="0.25">
      <c r="A678" t="s">
        <v>260</v>
      </c>
      <c r="B678" t="s">
        <v>896</v>
      </c>
      <c r="C678" s="1009">
        <f t="shared" si="9"/>
        <v>45196</v>
      </c>
      <c r="D678" s="2"/>
      <c r="E678">
        <v>1570</v>
      </c>
      <c r="H678" t="s">
        <v>261</v>
      </c>
      <c r="I678" t="s">
        <v>1194</v>
      </c>
    </row>
    <row r="679" spans="1:9" ht="15" customHeight="1" x14ac:dyDescent="0.25">
      <c r="A679" t="s">
        <v>56</v>
      </c>
      <c r="B679" t="s">
        <v>1190</v>
      </c>
      <c r="C679" s="1009">
        <f t="shared" si="9"/>
        <v>45196</v>
      </c>
      <c r="D679" s="2"/>
      <c r="E679">
        <v>1570</v>
      </c>
      <c r="H679" t="s">
        <v>246</v>
      </c>
      <c r="I679" t="s">
        <v>140</v>
      </c>
    </row>
  </sheetData>
  <sortState xmlns:xlrd2="http://schemas.microsoft.com/office/spreadsheetml/2017/richdata2" ref="A91:I128">
    <sortCondition descending="1" ref="H91:H128"/>
  </sortState>
  <dataValidations disablePrompts="1" count="1">
    <dataValidation type="custom" allowBlank="1" showInputMessage="1" showErrorMessage="1" error="DO NOT EDIT" sqref="L1:M1" xr:uid="{00000000-0002-0000-0A00-000000000000}">
      <formula1>"&amp;*377e63333"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F146"/>
  <sheetViews>
    <sheetView showGridLines="0" zoomScale="90" zoomScaleNormal="90" workbookViewId="0">
      <pane ySplit="1" topLeftCell="A2" activePane="bottomLeft" state="frozen"/>
      <selection activeCell="D1" sqref="D1"/>
      <selection pane="bottomLeft" activeCell="I52" sqref="I52"/>
    </sheetView>
  </sheetViews>
  <sheetFormatPr defaultRowHeight="15" customHeight="1" x14ac:dyDescent="0.25"/>
  <cols>
    <col min="1" max="1" width="8.140625" bestFit="1" customWidth="1"/>
    <col min="2" max="2" width="11.140625" bestFit="1" customWidth="1"/>
    <col min="3" max="3" width="14.140625" style="1003" bestFit="1" customWidth="1"/>
    <col min="4" max="4" width="9.28515625" style="2" bestFit="1" customWidth="1"/>
    <col min="5" max="5" width="13.5703125" bestFit="1" customWidth="1"/>
    <col min="6" max="6" width="6.7109375" style="1" bestFit="1" customWidth="1"/>
    <col min="7" max="7" width="31.85546875" bestFit="1" customWidth="1"/>
    <col min="8" max="8" width="18.42578125" bestFit="1" customWidth="1"/>
  </cols>
  <sheetData>
    <row r="1" spans="1:6" ht="27" customHeight="1" x14ac:dyDescent="0.25">
      <c r="A1" t="s">
        <v>40</v>
      </c>
      <c r="B1" t="s">
        <v>41</v>
      </c>
      <c r="C1" s="1003" t="s">
        <v>42</v>
      </c>
      <c r="D1" s="2" t="s">
        <v>43</v>
      </c>
      <c r="E1" t="s">
        <v>44</v>
      </c>
      <c r="F1" s="1" t="s">
        <v>11</v>
      </c>
    </row>
    <row r="2" spans="1:6" ht="15" customHeight="1" x14ac:dyDescent="0.25">
      <c r="A2" t="s">
        <v>342</v>
      </c>
      <c r="B2" t="s">
        <v>398</v>
      </c>
      <c r="C2" s="1003">
        <v>44881</v>
      </c>
      <c r="D2" s="2">
        <v>44590.1</v>
      </c>
      <c r="E2">
        <v>1020</v>
      </c>
      <c r="F2" s="1">
        <v>687</v>
      </c>
    </row>
    <row r="3" spans="1:6" ht="15" customHeight="1" x14ac:dyDescent="0.25">
      <c r="A3" t="s">
        <v>231</v>
      </c>
      <c r="B3" t="s">
        <v>399</v>
      </c>
      <c r="C3" s="1003">
        <v>44881</v>
      </c>
      <c r="D3" s="2">
        <v>39667</v>
      </c>
      <c r="E3">
        <v>1020</v>
      </c>
      <c r="F3" s="1">
        <v>687</v>
      </c>
    </row>
    <row r="4" spans="1:6" ht="15" customHeight="1" x14ac:dyDescent="0.25">
      <c r="A4" t="s">
        <v>345</v>
      </c>
      <c r="B4" t="s">
        <v>404</v>
      </c>
      <c r="C4" s="1003">
        <v>44881</v>
      </c>
      <c r="D4" s="2">
        <v>2880</v>
      </c>
      <c r="E4">
        <v>1020</v>
      </c>
    </row>
    <row r="5" spans="1:6" ht="15" customHeight="1" x14ac:dyDescent="0.25">
      <c r="A5" t="s">
        <v>239</v>
      </c>
      <c r="B5" t="s">
        <v>405</v>
      </c>
      <c r="C5" s="1003">
        <v>44881</v>
      </c>
      <c r="D5" s="2">
        <v>749.49999999999977</v>
      </c>
      <c r="E5">
        <v>1570</v>
      </c>
    </row>
    <row r="6" spans="1:6" ht="15" customHeight="1" x14ac:dyDescent="0.25">
      <c r="A6" t="s">
        <v>296</v>
      </c>
      <c r="B6" t="s">
        <v>406</v>
      </c>
      <c r="C6" s="1003">
        <v>44881</v>
      </c>
      <c r="D6" s="2">
        <v>453.80000000000007</v>
      </c>
      <c r="E6">
        <v>1570</v>
      </c>
    </row>
    <row r="7" spans="1:6" ht="15" customHeight="1" x14ac:dyDescent="0.25">
      <c r="A7" t="s">
        <v>347</v>
      </c>
      <c r="B7" t="s">
        <v>407</v>
      </c>
      <c r="C7" s="1003">
        <v>44881</v>
      </c>
      <c r="D7" s="2">
        <v>184.2</v>
      </c>
      <c r="E7">
        <v>1570</v>
      </c>
    </row>
    <row r="8" spans="1:6" ht="15" customHeight="1" x14ac:dyDescent="0.25">
      <c r="A8" t="s">
        <v>326</v>
      </c>
      <c r="B8" t="s">
        <v>402</v>
      </c>
      <c r="C8" s="1003">
        <v>44881</v>
      </c>
      <c r="D8" s="2">
        <v>354.8</v>
      </c>
      <c r="E8">
        <v>1570</v>
      </c>
    </row>
    <row r="9" spans="1:6" ht="15" customHeight="1" x14ac:dyDescent="0.25">
      <c r="A9" t="s">
        <v>351</v>
      </c>
      <c r="B9" t="s">
        <v>403</v>
      </c>
      <c r="C9" s="1003">
        <v>44881</v>
      </c>
      <c r="D9" s="2">
        <v>140.70000000000002</v>
      </c>
      <c r="E9">
        <v>1570</v>
      </c>
    </row>
    <row r="10" spans="1:6" ht="15" customHeight="1" x14ac:dyDescent="0.25">
      <c r="A10" t="s">
        <v>243</v>
      </c>
      <c r="B10" t="s">
        <v>401</v>
      </c>
      <c r="C10" s="1003">
        <v>44881</v>
      </c>
      <c r="D10" s="2">
        <v>83.8</v>
      </c>
      <c r="E10">
        <v>1570</v>
      </c>
    </row>
    <row r="11" spans="1:6" ht="15" customHeight="1" x14ac:dyDescent="0.25">
      <c r="A11" t="s">
        <v>3</v>
      </c>
      <c r="B11" t="s">
        <v>400</v>
      </c>
      <c r="C11" s="1003">
        <v>44881</v>
      </c>
      <c r="D11" s="2">
        <v>76.3</v>
      </c>
      <c r="E11">
        <v>1570</v>
      </c>
    </row>
    <row r="12" spans="1:6" ht="15" customHeight="1" x14ac:dyDescent="0.25">
      <c r="A12" t="s">
        <v>342</v>
      </c>
      <c r="B12" t="s">
        <v>420</v>
      </c>
      <c r="C12" s="1003">
        <v>44881</v>
      </c>
      <c r="D12" s="2">
        <v>581.9</v>
      </c>
      <c r="E12">
        <v>1020</v>
      </c>
      <c r="F12" s="1">
        <v>10</v>
      </c>
    </row>
    <row r="13" spans="1:6" ht="15" customHeight="1" x14ac:dyDescent="0.25">
      <c r="A13" t="s">
        <v>302</v>
      </c>
      <c r="B13" t="s">
        <v>421</v>
      </c>
      <c r="C13" s="1003">
        <v>44881</v>
      </c>
      <c r="D13" s="2">
        <v>511</v>
      </c>
      <c r="E13">
        <v>1570</v>
      </c>
      <c r="F13" s="1">
        <v>10</v>
      </c>
    </row>
    <row r="14" spans="1:6" ht="15" customHeight="1" x14ac:dyDescent="0.25">
      <c r="A14" t="s">
        <v>3</v>
      </c>
      <c r="B14" t="s">
        <v>422</v>
      </c>
      <c r="C14" s="1003">
        <v>44881</v>
      </c>
      <c r="D14" s="2">
        <v>1.3</v>
      </c>
      <c r="E14">
        <v>1570</v>
      </c>
    </row>
    <row r="15" spans="1:6" ht="15" customHeight="1" x14ac:dyDescent="0.25">
      <c r="A15" t="s">
        <v>239</v>
      </c>
      <c r="B15" t="s">
        <v>423</v>
      </c>
      <c r="C15" s="1003">
        <v>44881</v>
      </c>
      <c r="D15" s="2">
        <v>8</v>
      </c>
      <c r="E15">
        <v>1570</v>
      </c>
    </row>
    <row r="16" spans="1:6" ht="15" customHeight="1" x14ac:dyDescent="0.25">
      <c r="A16" t="s">
        <v>243</v>
      </c>
      <c r="B16" t="s">
        <v>424</v>
      </c>
      <c r="C16" s="1003">
        <v>44881</v>
      </c>
      <c r="D16" s="2">
        <v>1.7</v>
      </c>
      <c r="E16">
        <v>1570</v>
      </c>
    </row>
    <row r="17" spans="1:6" ht="15" customHeight="1" x14ac:dyDescent="0.25">
      <c r="A17" t="s">
        <v>326</v>
      </c>
      <c r="B17" t="s">
        <v>425</v>
      </c>
      <c r="C17" s="1003">
        <v>44881</v>
      </c>
      <c r="D17" s="2">
        <v>6</v>
      </c>
      <c r="E17">
        <v>1570</v>
      </c>
    </row>
    <row r="18" spans="1:6" ht="15" customHeight="1" x14ac:dyDescent="0.25">
      <c r="A18" t="s">
        <v>351</v>
      </c>
      <c r="B18" t="s">
        <v>426</v>
      </c>
      <c r="C18" s="1003">
        <v>44881</v>
      </c>
      <c r="D18" s="2">
        <v>2.2000000000000002</v>
      </c>
      <c r="E18">
        <v>1570</v>
      </c>
    </row>
    <row r="19" spans="1:6" ht="15" customHeight="1" x14ac:dyDescent="0.25">
      <c r="A19" t="s">
        <v>296</v>
      </c>
      <c r="B19" t="s">
        <v>427</v>
      </c>
      <c r="C19" s="1003">
        <v>44881</v>
      </c>
      <c r="D19" s="2">
        <v>4.4000000000000004</v>
      </c>
      <c r="E19">
        <v>1570</v>
      </c>
    </row>
    <row r="20" spans="1:6" ht="15" customHeight="1" x14ac:dyDescent="0.25">
      <c r="A20" t="s">
        <v>347</v>
      </c>
      <c r="B20" t="s">
        <v>428</v>
      </c>
      <c r="C20" s="1003">
        <v>44881</v>
      </c>
      <c r="D20" s="2">
        <v>2.2999999999999998</v>
      </c>
      <c r="E20">
        <v>1570</v>
      </c>
    </row>
    <row r="21" spans="1:6" ht="15" customHeight="1" x14ac:dyDescent="0.25">
      <c r="A21" t="s">
        <v>345</v>
      </c>
      <c r="B21" t="s">
        <v>429</v>
      </c>
      <c r="C21" s="1003">
        <v>44881</v>
      </c>
      <c r="D21" s="2">
        <v>45</v>
      </c>
      <c r="E21">
        <v>1570</v>
      </c>
    </row>
    <row r="22" spans="1:6" ht="15" customHeight="1" x14ac:dyDescent="0.25">
      <c r="A22" t="s">
        <v>231</v>
      </c>
      <c r="B22" t="s">
        <v>308</v>
      </c>
      <c r="C22" s="1003">
        <v>44912</v>
      </c>
      <c r="D22" s="2">
        <v>39631.199999999997</v>
      </c>
      <c r="E22">
        <v>1570</v>
      </c>
      <c r="F22" s="1">
        <v>1374</v>
      </c>
    </row>
    <row r="23" spans="1:6" ht="15" customHeight="1" x14ac:dyDescent="0.25">
      <c r="A23" t="s">
        <v>62</v>
      </c>
      <c r="B23" t="s">
        <v>307</v>
      </c>
      <c r="C23" s="1003">
        <v>44912</v>
      </c>
      <c r="D23" s="2">
        <v>12429.479440000001</v>
      </c>
      <c r="E23">
        <v>1570</v>
      </c>
      <c r="F23" s="1">
        <v>1374</v>
      </c>
    </row>
    <row r="24" spans="1:6" ht="15" customHeight="1" x14ac:dyDescent="0.25">
      <c r="A24" t="s">
        <v>45</v>
      </c>
      <c r="B24" t="s">
        <v>306</v>
      </c>
      <c r="C24" s="1003">
        <v>44912</v>
      </c>
      <c r="D24" s="2">
        <v>13909.888799999999</v>
      </c>
      <c r="E24">
        <v>1570</v>
      </c>
      <c r="F24" s="1">
        <v>1374</v>
      </c>
    </row>
    <row r="25" spans="1:6" ht="15" customHeight="1" x14ac:dyDescent="0.25">
      <c r="A25" t="s">
        <v>141</v>
      </c>
      <c r="B25" t="s">
        <v>305</v>
      </c>
      <c r="C25" s="1003">
        <v>44912</v>
      </c>
      <c r="D25" s="2">
        <v>12727.126</v>
      </c>
      <c r="E25">
        <v>1570</v>
      </c>
      <c r="F25" s="1">
        <v>1374</v>
      </c>
    </row>
    <row r="26" spans="1:6" ht="15" customHeight="1" x14ac:dyDescent="0.25">
      <c r="A26" t="s">
        <v>296</v>
      </c>
      <c r="B26" t="s">
        <v>303</v>
      </c>
      <c r="C26" s="1003">
        <v>44912</v>
      </c>
      <c r="D26" s="2">
        <v>540.20000000000005</v>
      </c>
      <c r="E26">
        <v>1570</v>
      </c>
    </row>
    <row r="27" spans="1:6" ht="15" customHeight="1" x14ac:dyDescent="0.25">
      <c r="A27" t="s">
        <v>302</v>
      </c>
      <c r="B27" t="s">
        <v>301</v>
      </c>
      <c r="C27" s="1003">
        <v>44912</v>
      </c>
      <c r="D27" s="2">
        <v>568.79999999999995</v>
      </c>
      <c r="E27">
        <v>1570</v>
      </c>
      <c r="F27" s="1">
        <v>26</v>
      </c>
    </row>
    <row r="28" spans="1:6" ht="15" customHeight="1" x14ac:dyDescent="0.25">
      <c r="A28" t="s">
        <v>62</v>
      </c>
      <c r="B28" t="s">
        <v>300</v>
      </c>
      <c r="C28" s="1003">
        <v>44912</v>
      </c>
      <c r="D28" s="2">
        <v>184.12055999999998</v>
      </c>
      <c r="E28">
        <v>1570</v>
      </c>
      <c r="F28" s="1">
        <v>26</v>
      </c>
    </row>
    <row r="29" spans="1:6" ht="15" customHeight="1" x14ac:dyDescent="0.25">
      <c r="A29" t="s">
        <v>45</v>
      </c>
      <c r="B29" t="s">
        <v>299</v>
      </c>
      <c r="C29" s="1003">
        <v>44912</v>
      </c>
      <c r="D29" s="2">
        <v>198.51119999999997</v>
      </c>
      <c r="E29">
        <v>1570</v>
      </c>
      <c r="F29" s="1">
        <v>26</v>
      </c>
    </row>
    <row r="30" spans="1:6" ht="15" customHeight="1" x14ac:dyDescent="0.25">
      <c r="A30" t="s">
        <v>141</v>
      </c>
      <c r="B30" t="s">
        <v>298</v>
      </c>
      <c r="C30" s="1003">
        <v>44912</v>
      </c>
      <c r="D30" s="2">
        <v>166.37399999999997</v>
      </c>
      <c r="E30">
        <v>1570</v>
      </c>
      <c r="F30" s="1">
        <v>26</v>
      </c>
    </row>
    <row r="31" spans="1:6" ht="15" customHeight="1" x14ac:dyDescent="0.25">
      <c r="A31" t="s">
        <v>296</v>
      </c>
      <c r="B31" t="s">
        <v>295</v>
      </c>
      <c r="C31" s="1003">
        <v>44912</v>
      </c>
      <c r="D31" s="2">
        <v>10.522799999999998</v>
      </c>
      <c r="E31">
        <v>1570</v>
      </c>
    </row>
    <row r="32" spans="1:6" ht="15" customHeight="1" x14ac:dyDescent="0.25">
      <c r="A32" t="s">
        <v>62</v>
      </c>
      <c r="B32" t="s">
        <v>948</v>
      </c>
      <c r="C32" s="1003">
        <v>44912</v>
      </c>
      <c r="D32" s="2">
        <v>189.20400000000001</v>
      </c>
      <c r="E32">
        <v>1570</v>
      </c>
      <c r="F32" s="1">
        <v>21</v>
      </c>
    </row>
    <row r="33" spans="1:6" ht="15" customHeight="1" x14ac:dyDescent="0.25">
      <c r="A33" t="s">
        <v>72</v>
      </c>
      <c r="B33" t="s">
        <v>103</v>
      </c>
      <c r="C33" s="1003">
        <v>44912</v>
      </c>
      <c r="D33" s="2">
        <v>144.5</v>
      </c>
      <c r="E33">
        <v>1570</v>
      </c>
      <c r="F33" s="1">
        <v>21</v>
      </c>
    </row>
    <row r="34" spans="1:6" ht="15" customHeight="1" x14ac:dyDescent="0.25">
      <c r="A34" t="s">
        <v>3</v>
      </c>
      <c r="B34" t="s">
        <v>949</v>
      </c>
      <c r="C34" s="1003">
        <v>44912</v>
      </c>
      <c r="D34" s="2">
        <v>8.4804143740033027</v>
      </c>
      <c r="E34">
        <v>1570</v>
      </c>
    </row>
    <row r="35" spans="1:6" ht="15" customHeight="1" x14ac:dyDescent="0.25">
      <c r="A35" t="s">
        <v>5</v>
      </c>
      <c r="B35" t="s">
        <v>950</v>
      </c>
      <c r="C35" s="1003">
        <v>44912</v>
      </c>
      <c r="D35" s="2">
        <v>4.4511712101719834</v>
      </c>
      <c r="E35">
        <v>1570</v>
      </c>
    </row>
    <row r="36" spans="1:6" ht="15" customHeight="1" x14ac:dyDescent="0.25">
      <c r="A36" t="s">
        <v>55</v>
      </c>
      <c r="B36" t="s">
        <v>951</v>
      </c>
      <c r="C36" s="1003">
        <v>44912</v>
      </c>
      <c r="D36" s="2">
        <v>4.0843273841105834</v>
      </c>
      <c r="E36">
        <v>1570</v>
      </c>
    </row>
    <row r="37" spans="1:6" ht="15" customHeight="1" x14ac:dyDescent="0.25">
      <c r="A37" t="s">
        <v>6</v>
      </c>
      <c r="B37" t="s">
        <v>952</v>
      </c>
      <c r="C37" s="1003">
        <v>44912</v>
      </c>
      <c r="D37" s="2">
        <v>22.161760967217219</v>
      </c>
      <c r="E37">
        <v>1570</v>
      </c>
    </row>
    <row r="38" spans="1:6" ht="15" customHeight="1" x14ac:dyDescent="0.25">
      <c r="A38" t="s">
        <v>260</v>
      </c>
      <c r="B38" t="s">
        <v>953</v>
      </c>
      <c r="C38" s="1003">
        <v>44912</v>
      </c>
      <c r="D38" s="2">
        <v>5.526326064496919</v>
      </c>
      <c r="E38">
        <v>1570</v>
      </c>
    </row>
    <row r="39" spans="1:6" ht="15" customHeight="1" x14ac:dyDescent="0.25">
      <c r="A39" t="s">
        <v>62</v>
      </c>
      <c r="B39" t="s">
        <v>902</v>
      </c>
      <c r="C39" s="1003">
        <v>44912</v>
      </c>
      <c r="D39" s="2">
        <v>364.80613230323513</v>
      </c>
      <c r="E39">
        <v>1570</v>
      </c>
      <c r="F39" s="1">
        <v>50</v>
      </c>
    </row>
    <row r="40" spans="1:6" ht="15" customHeight="1" x14ac:dyDescent="0.25">
      <c r="A40" t="s">
        <v>74</v>
      </c>
      <c r="B40" t="s">
        <v>104</v>
      </c>
      <c r="C40" s="1003">
        <v>44912</v>
      </c>
      <c r="D40" s="2">
        <v>255.5</v>
      </c>
      <c r="E40">
        <v>1570</v>
      </c>
      <c r="F40" s="1">
        <v>50</v>
      </c>
    </row>
    <row r="41" spans="1:6" ht="15" customHeight="1" x14ac:dyDescent="0.25">
      <c r="A41" t="s">
        <v>3</v>
      </c>
      <c r="B41" t="s">
        <v>903</v>
      </c>
      <c r="C41" s="1003">
        <v>44912</v>
      </c>
      <c r="D41" s="2">
        <v>20.719150807765079</v>
      </c>
      <c r="E41">
        <v>1570</v>
      </c>
    </row>
    <row r="42" spans="1:6" ht="15" customHeight="1" x14ac:dyDescent="0.25">
      <c r="A42" t="s">
        <v>5</v>
      </c>
      <c r="B42" t="s">
        <v>904</v>
      </c>
      <c r="C42" s="1003">
        <v>44912</v>
      </c>
      <c r="D42" s="2">
        <v>7.4178579902214823</v>
      </c>
      <c r="E42">
        <v>1570</v>
      </c>
    </row>
    <row r="43" spans="1:6" ht="15" customHeight="1" x14ac:dyDescent="0.25">
      <c r="A43" t="s">
        <v>55</v>
      </c>
      <c r="B43" t="s">
        <v>905</v>
      </c>
      <c r="C43" s="1003">
        <v>44912</v>
      </c>
      <c r="D43" s="2">
        <v>11.763660206763019</v>
      </c>
      <c r="E43">
        <v>1570</v>
      </c>
    </row>
    <row r="44" spans="1:6" ht="15" customHeight="1" x14ac:dyDescent="0.25">
      <c r="A44" t="s">
        <v>6</v>
      </c>
      <c r="B44" t="s">
        <v>906</v>
      </c>
      <c r="C44" s="1003">
        <v>44912</v>
      </c>
      <c r="D44" s="2">
        <v>52.705493279415286</v>
      </c>
      <c r="E44">
        <v>1570</v>
      </c>
    </row>
    <row r="45" spans="1:6" ht="15" customHeight="1" x14ac:dyDescent="0.25">
      <c r="A45" t="s">
        <v>260</v>
      </c>
      <c r="B45" t="s">
        <v>907</v>
      </c>
      <c r="C45" s="1003">
        <v>44912</v>
      </c>
      <c r="D45" s="2">
        <v>16.699970019070268</v>
      </c>
      <c r="E45">
        <v>1570</v>
      </c>
    </row>
    <row r="46" spans="1:6" ht="15" customHeight="1" x14ac:dyDescent="0.25">
      <c r="A46" t="s">
        <v>62</v>
      </c>
      <c r="B46" t="s">
        <v>1005</v>
      </c>
      <c r="C46" s="1003">
        <v>44912</v>
      </c>
      <c r="D46" s="2">
        <v>450.48571428571432</v>
      </c>
      <c r="E46">
        <v>1570</v>
      </c>
      <c r="F46" s="1">
        <v>50</v>
      </c>
    </row>
    <row r="47" spans="1:6" ht="15" customHeight="1" x14ac:dyDescent="0.25">
      <c r="A47" t="s">
        <v>81</v>
      </c>
      <c r="B47" t="s">
        <v>106</v>
      </c>
      <c r="C47" s="1003">
        <v>44912</v>
      </c>
      <c r="D47" s="2">
        <v>144.5</v>
      </c>
      <c r="E47">
        <v>1570</v>
      </c>
      <c r="F47" s="1">
        <v>50</v>
      </c>
    </row>
    <row r="48" spans="1:6" ht="15" customHeight="1" x14ac:dyDescent="0.25">
      <c r="A48" t="s">
        <v>3</v>
      </c>
      <c r="B48" t="s">
        <v>1006</v>
      </c>
      <c r="C48" s="1003">
        <v>44912</v>
      </c>
      <c r="D48" s="2">
        <v>82.507422976947254</v>
      </c>
      <c r="E48">
        <v>1570</v>
      </c>
    </row>
    <row r="49" spans="1:6" ht="15" customHeight="1" x14ac:dyDescent="0.25">
      <c r="A49" t="s">
        <v>5</v>
      </c>
      <c r="B49" t="s">
        <v>1007</v>
      </c>
      <c r="C49" s="1003">
        <v>44912</v>
      </c>
      <c r="D49" s="2">
        <v>74.125891959705356</v>
      </c>
      <c r="E49">
        <v>1570</v>
      </c>
    </row>
    <row r="50" spans="1:6" ht="15" customHeight="1" x14ac:dyDescent="0.25">
      <c r="A50" t="s">
        <v>55</v>
      </c>
      <c r="B50" t="s">
        <v>1008</v>
      </c>
      <c r="C50" s="1003">
        <v>44912</v>
      </c>
      <c r="D50" s="2">
        <v>12.030351054742241</v>
      </c>
      <c r="E50">
        <v>1570</v>
      </c>
    </row>
    <row r="51" spans="1:6" ht="15" customHeight="1" x14ac:dyDescent="0.25">
      <c r="A51" t="s">
        <v>6</v>
      </c>
      <c r="B51" t="s">
        <v>1009</v>
      </c>
      <c r="C51" s="1003">
        <v>44912</v>
      </c>
      <c r="D51" s="2">
        <v>116.39907695313852</v>
      </c>
      <c r="E51">
        <v>1570</v>
      </c>
    </row>
    <row r="52" spans="1:6" ht="15" customHeight="1" x14ac:dyDescent="0.25">
      <c r="A52" t="s">
        <v>260</v>
      </c>
      <c r="B52" t="s">
        <v>1010</v>
      </c>
      <c r="C52" s="1003">
        <v>44912</v>
      </c>
      <c r="D52" s="2">
        <v>20.922971341180933</v>
      </c>
      <c r="E52">
        <v>1570</v>
      </c>
    </row>
    <row r="53" spans="1:6" ht="15" customHeight="1" x14ac:dyDescent="0.25">
      <c r="A53" t="s">
        <v>62</v>
      </c>
      <c r="B53" t="s">
        <v>909</v>
      </c>
      <c r="C53" s="1003">
        <v>44912</v>
      </c>
      <c r="D53" s="2">
        <v>11248.715581982478</v>
      </c>
      <c r="E53">
        <v>1570</v>
      </c>
      <c r="F53" s="1">
        <v>1239</v>
      </c>
    </row>
    <row r="54" spans="1:6" ht="15" customHeight="1" x14ac:dyDescent="0.25">
      <c r="A54" t="s">
        <v>83</v>
      </c>
      <c r="B54" t="s">
        <v>107</v>
      </c>
      <c r="C54" s="1003">
        <v>44912</v>
      </c>
      <c r="D54" s="2">
        <v>5876.699999999998</v>
      </c>
      <c r="E54">
        <v>1570</v>
      </c>
      <c r="F54" s="1">
        <v>1239</v>
      </c>
    </row>
    <row r="55" spans="1:6" ht="15" customHeight="1" x14ac:dyDescent="0.25">
      <c r="A55" t="s">
        <v>3</v>
      </c>
      <c r="B55" t="s">
        <v>910</v>
      </c>
      <c r="C55" s="1003">
        <v>44912</v>
      </c>
      <c r="D55" s="2">
        <v>549.49131954845802</v>
      </c>
      <c r="E55">
        <v>1570</v>
      </c>
    </row>
    <row r="56" spans="1:6" ht="15" customHeight="1" x14ac:dyDescent="0.25">
      <c r="A56" t="s">
        <v>5</v>
      </c>
      <c r="B56" t="s">
        <v>911</v>
      </c>
      <c r="C56" s="1003">
        <v>44912</v>
      </c>
      <c r="D56" s="2">
        <v>1314.0132670076714</v>
      </c>
      <c r="E56">
        <v>1570</v>
      </c>
    </row>
    <row r="57" spans="1:6" ht="15" customHeight="1" x14ac:dyDescent="0.25">
      <c r="A57" t="s">
        <v>55</v>
      </c>
      <c r="B57" t="s">
        <v>912</v>
      </c>
      <c r="C57" s="1003">
        <v>44912</v>
      </c>
      <c r="D57" s="2">
        <v>180.31137536745479</v>
      </c>
      <c r="E57">
        <v>1570</v>
      </c>
    </row>
    <row r="58" spans="1:6" ht="15" customHeight="1" x14ac:dyDescent="0.25">
      <c r="A58" t="s">
        <v>6</v>
      </c>
      <c r="B58" t="s">
        <v>913</v>
      </c>
      <c r="C58" s="1003">
        <v>44912</v>
      </c>
      <c r="D58" s="2">
        <v>2986.2192221943742</v>
      </c>
      <c r="E58">
        <v>1570</v>
      </c>
    </row>
    <row r="59" spans="1:6" ht="15" customHeight="1" x14ac:dyDescent="0.25">
      <c r="A59" t="s">
        <v>260</v>
      </c>
      <c r="B59" t="s">
        <v>914</v>
      </c>
      <c r="C59" s="1003">
        <v>44912</v>
      </c>
      <c r="D59" s="2">
        <v>341.98039786452603</v>
      </c>
      <c r="E59">
        <v>1570</v>
      </c>
    </row>
    <row r="60" spans="1:6" ht="15" customHeight="1" x14ac:dyDescent="0.25">
      <c r="A60" t="s">
        <v>62</v>
      </c>
      <c r="B60" t="s">
        <v>955</v>
      </c>
      <c r="C60" s="1003">
        <v>44912</v>
      </c>
      <c r="D60" s="2">
        <v>360.38857142857148</v>
      </c>
      <c r="E60">
        <v>1570</v>
      </c>
      <c r="F60" s="1">
        <v>40</v>
      </c>
    </row>
    <row r="61" spans="1:6" ht="15" customHeight="1" x14ac:dyDescent="0.25">
      <c r="A61" t="s">
        <v>257</v>
      </c>
      <c r="B61" t="s">
        <v>591</v>
      </c>
      <c r="C61" s="1003">
        <v>44912</v>
      </c>
      <c r="D61" s="2">
        <v>158.99999999999997</v>
      </c>
      <c r="E61">
        <v>1570</v>
      </c>
      <c r="F61" s="1">
        <v>40</v>
      </c>
    </row>
    <row r="62" spans="1:6" ht="15" customHeight="1" x14ac:dyDescent="0.25">
      <c r="A62" t="s">
        <v>3</v>
      </c>
      <c r="B62" t="s">
        <v>956</v>
      </c>
      <c r="C62" s="1003">
        <v>44912</v>
      </c>
      <c r="D62" s="2">
        <v>40.601692292828503</v>
      </c>
      <c r="E62">
        <v>1570</v>
      </c>
    </row>
    <row r="63" spans="1:6" ht="15" customHeight="1" x14ac:dyDescent="0.25">
      <c r="A63" t="s">
        <v>5</v>
      </c>
      <c r="B63" t="s">
        <v>957</v>
      </c>
      <c r="C63" s="1003">
        <v>44912</v>
      </c>
      <c r="D63" s="2">
        <v>53.09181183223086</v>
      </c>
      <c r="E63">
        <v>1570</v>
      </c>
    </row>
    <row r="64" spans="1:6" ht="15" customHeight="1" x14ac:dyDescent="0.25">
      <c r="A64" t="s">
        <v>55</v>
      </c>
      <c r="B64" t="s">
        <v>1043</v>
      </c>
      <c r="C64" s="1003">
        <v>44912</v>
      </c>
      <c r="D64" s="2">
        <v>7.3102859869294221</v>
      </c>
      <c r="E64">
        <v>1570</v>
      </c>
    </row>
    <row r="65" spans="1:6" ht="15" customHeight="1" x14ac:dyDescent="0.25">
      <c r="A65" t="s">
        <v>6</v>
      </c>
      <c r="B65" t="s">
        <v>958</v>
      </c>
      <c r="C65" s="1003">
        <v>44912</v>
      </c>
      <c r="D65" s="2">
        <v>85.514446605856563</v>
      </c>
      <c r="E65">
        <v>1570</v>
      </c>
    </row>
    <row r="66" spans="1:6" ht="15" customHeight="1" x14ac:dyDescent="0.25">
      <c r="A66" t="s">
        <v>260</v>
      </c>
      <c r="B66" t="s">
        <v>959</v>
      </c>
      <c r="C66" s="1003">
        <v>44912</v>
      </c>
      <c r="D66" s="2">
        <v>14.870334710726191</v>
      </c>
      <c r="E66">
        <v>1570</v>
      </c>
    </row>
    <row r="67" spans="1:6" ht="15" customHeight="1" x14ac:dyDescent="0.25">
      <c r="A67" t="s">
        <v>45</v>
      </c>
      <c r="B67" t="s">
        <v>1063</v>
      </c>
      <c r="C67" s="1003">
        <v>44912</v>
      </c>
      <c r="D67" s="2">
        <v>312.4002857142857</v>
      </c>
      <c r="E67">
        <v>1570</v>
      </c>
      <c r="F67" s="1">
        <v>31</v>
      </c>
    </row>
    <row r="68" spans="1:6" ht="15" customHeight="1" x14ac:dyDescent="0.25">
      <c r="A68" t="s">
        <v>15</v>
      </c>
      <c r="B68" t="s">
        <v>603</v>
      </c>
      <c r="C68" s="1003">
        <v>44912</v>
      </c>
      <c r="D68" s="2">
        <v>75.199999999999989</v>
      </c>
      <c r="E68">
        <v>1570</v>
      </c>
      <c r="F68" s="1">
        <v>31</v>
      </c>
    </row>
    <row r="69" spans="1:6" ht="15" customHeight="1" x14ac:dyDescent="0.25">
      <c r="A69" t="s">
        <v>1</v>
      </c>
      <c r="B69" t="s">
        <v>1064</v>
      </c>
      <c r="C69" s="1003">
        <v>44912</v>
      </c>
      <c r="D69" s="2">
        <v>17.60402584258043</v>
      </c>
      <c r="E69">
        <v>1570</v>
      </c>
    </row>
    <row r="70" spans="1:6" ht="15" customHeight="1" x14ac:dyDescent="0.25">
      <c r="A70" t="s">
        <v>2</v>
      </c>
      <c r="B70" t="s">
        <v>1065</v>
      </c>
      <c r="C70" s="1003">
        <v>44912</v>
      </c>
      <c r="D70" s="2">
        <v>1.648569814656397</v>
      </c>
      <c r="E70">
        <v>1570</v>
      </c>
    </row>
    <row r="71" spans="1:6" ht="15" customHeight="1" x14ac:dyDescent="0.25">
      <c r="A71" t="s">
        <v>3</v>
      </c>
      <c r="B71" t="s">
        <v>1066</v>
      </c>
      <c r="C71" s="1003">
        <v>44912</v>
      </c>
      <c r="D71" s="2">
        <v>82.166511709757231</v>
      </c>
      <c r="E71">
        <v>1570</v>
      </c>
    </row>
    <row r="72" spans="1:6" ht="15" customHeight="1" x14ac:dyDescent="0.25">
      <c r="A72" t="s">
        <v>4</v>
      </c>
      <c r="B72" t="s">
        <v>1067</v>
      </c>
      <c r="C72" s="1003">
        <v>44912</v>
      </c>
      <c r="D72" s="2">
        <v>15.616981728913721</v>
      </c>
      <c r="E72">
        <v>1570</v>
      </c>
    </row>
    <row r="73" spans="1:6" ht="15" customHeight="1" x14ac:dyDescent="0.25">
      <c r="A73" t="s">
        <v>5</v>
      </c>
      <c r="B73" t="s">
        <v>1068</v>
      </c>
      <c r="C73" s="1003">
        <v>44912</v>
      </c>
      <c r="D73" s="2">
        <v>40.159879228559603</v>
      </c>
      <c r="E73">
        <v>1570</v>
      </c>
    </row>
    <row r="74" spans="1:6" ht="15" customHeight="1" x14ac:dyDescent="0.25">
      <c r="A74" t="s">
        <v>6</v>
      </c>
      <c r="B74" t="s">
        <v>1069</v>
      </c>
      <c r="C74" s="1003">
        <v>44912</v>
      </c>
      <c r="D74" s="2">
        <v>69.864309676223826</v>
      </c>
      <c r="E74">
        <v>1570</v>
      </c>
    </row>
    <row r="75" spans="1:6" ht="15" customHeight="1" x14ac:dyDescent="0.25">
      <c r="A75" t="s">
        <v>260</v>
      </c>
      <c r="B75" t="s">
        <v>1070</v>
      </c>
      <c r="C75" s="1003">
        <v>44912</v>
      </c>
      <c r="D75" s="2">
        <v>10.140007713594439</v>
      </c>
      <c r="E75">
        <v>1570</v>
      </c>
    </row>
    <row r="76" spans="1:6" ht="15" customHeight="1" x14ac:dyDescent="0.25">
      <c r="A76" t="s">
        <v>45</v>
      </c>
      <c r="B76" t="s">
        <v>1072</v>
      </c>
      <c r="C76" s="1003">
        <v>44912</v>
      </c>
      <c r="D76" s="2">
        <v>302.32285714285712</v>
      </c>
      <c r="E76">
        <v>1570</v>
      </c>
      <c r="F76" s="1">
        <v>30</v>
      </c>
    </row>
    <row r="77" spans="1:6" ht="15" customHeight="1" x14ac:dyDescent="0.25">
      <c r="A77" t="s">
        <v>19</v>
      </c>
      <c r="B77" t="s">
        <v>601</v>
      </c>
      <c r="C77" s="1003">
        <v>44912</v>
      </c>
      <c r="D77" s="2">
        <v>49.099999999999994</v>
      </c>
      <c r="E77">
        <v>1570</v>
      </c>
      <c r="F77" s="1">
        <v>30</v>
      </c>
    </row>
    <row r="78" spans="1:6" ht="15" customHeight="1" x14ac:dyDescent="0.25">
      <c r="A78" t="s">
        <v>1</v>
      </c>
      <c r="B78" t="s">
        <v>1073</v>
      </c>
      <c r="C78" s="1003">
        <v>44912</v>
      </c>
      <c r="D78" s="2">
        <v>41.420129140574723</v>
      </c>
      <c r="E78">
        <v>1570</v>
      </c>
    </row>
    <row r="79" spans="1:6" ht="15" customHeight="1" x14ac:dyDescent="0.25">
      <c r="A79" t="s">
        <v>2</v>
      </c>
      <c r="B79" t="s">
        <v>1074</v>
      </c>
      <c r="C79" s="1003">
        <v>44912</v>
      </c>
      <c r="D79" s="2">
        <v>0.9785407965533176</v>
      </c>
      <c r="E79">
        <v>1570</v>
      </c>
    </row>
    <row r="80" spans="1:6" ht="15" customHeight="1" x14ac:dyDescent="0.25">
      <c r="A80" t="s">
        <v>3</v>
      </c>
      <c r="B80" t="s">
        <v>1075</v>
      </c>
      <c r="C80" s="1003">
        <v>44912</v>
      </c>
      <c r="D80" s="2">
        <v>83.874105699690887</v>
      </c>
      <c r="E80">
        <v>1570</v>
      </c>
    </row>
    <row r="81" spans="1:6" ht="15" customHeight="1" x14ac:dyDescent="0.25">
      <c r="A81" t="s">
        <v>4</v>
      </c>
      <c r="B81" t="s">
        <v>1076</v>
      </c>
      <c r="C81" s="1003">
        <v>44912</v>
      </c>
      <c r="D81" s="2">
        <v>16.616292503451621</v>
      </c>
      <c r="E81">
        <v>1570</v>
      </c>
    </row>
    <row r="82" spans="1:6" ht="15" customHeight="1" x14ac:dyDescent="0.25">
      <c r="A82" t="s">
        <v>5</v>
      </c>
      <c r="B82" t="s">
        <v>1077</v>
      </c>
      <c r="C82" s="1003">
        <v>44912</v>
      </c>
      <c r="D82" s="2">
        <v>35.881761832566468</v>
      </c>
      <c r="E82">
        <v>1570</v>
      </c>
    </row>
    <row r="83" spans="1:6" ht="15" customHeight="1" x14ac:dyDescent="0.25">
      <c r="A83" t="s">
        <v>6</v>
      </c>
      <c r="B83" t="s">
        <v>1078</v>
      </c>
      <c r="C83" s="1003">
        <v>44912</v>
      </c>
      <c r="D83" s="2">
        <v>65.160038764804639</v>
      </c>
      <c r="E83">
        <v>1570</v>
      </c>
    </row>
    <row r="84" spans="1:6" ht="15" customHeight="1" x14ac:dyDescent="0.25">
      <c r="A84" t="s">
        <v>260</v>
      </c>
      <c r="B84" t="s">
        <v>1079</v>
      </c>
      <c r="C84" s="1003">
        <v>44912</v>
      </c>
      <c r="D84" s="2">
        <v>9.291988405215541</v>
      </c>
      <c r="E84">
        <v>1570</v>
      </c>
    </row>
    <row r="85" spans="1:6" ht="15" customHeight="1" x14ac:dyDescent="0.25">
      <c r="A85" t="s">
        <v>45</v>
      </c>
      <c r="B85" t="s">
        <v>916</v>
      </c>
      <c r="C85" s="1003">
        <v>44912</v>
      </c>
      <c r="D85" s="2">
        <v>2700.7508571428571</v>
      </c>
      <c r="E85">
        <v>1570</v>
      </c>
      <c r="F85" s="1">
        <v>268</v>
      </c>
    </row>
    <row r="86" spans="1:6" ht="15" customHeight="1" x14ac:dyDescent="0.25">
      <c r="A86" t="s">
        <v>23</v>
      </c>
      <c r="B86" t="s">
        <v>49</v>
      </c>
      <c r="C86" s="1003">
        <v>44912</v>
      </c>
      <c r="D86" s="2">
        <v>1254</v>
      </c>
      <c r="E86">
        <v>1570</v>
      </c>
      <c r="F86" s="1">
        <v>268</v>
      </c>
    </row>
    <row r="87" spans="1:6" ht="15" customHeight="1" x14ac:dyDescent="0.25">
      <c r="A87" t="s">
        <v>1</v>
      </c>
      <c r="B87" t="s">
        <v>917</v>
      </c>
      <c r="C87" s="1003">
        <v>44912</v>
      </c>
      <c r="D87" s="2">
        <v>372.32692065944025</v>
      </c>
      <c r="E87">
        <v>1570</v>
      </c>
    </row>
    <row r="88" spans="1:6" ht="15" customHeight="1" x14ac:dyDescent="0.25">
      <c r="A88" t="s">
        <v>2</v>
      </c>
      <c r="B88" t="s">
        <v>918</v>
      </c>
      <c r="C88" s="1003">
        <v>44912</v>
      </c>
      <c r="D88" s="2">
        <v>10.083450795028618</v>
      </c>
      <c r="E88">
        <v>1570</v>
      </c>
    </row>
    <row r="89" spans="1:6" ht="15" customHeight="1" x14ac:dyDescent="0.25">
      <c r="A89" t="s">
        <v>3</v>
      </c>
      <c r="B89" t="s">
        <v>919</v>
      </c>
      <c r="C89" s="1003">
        <v>44912</v>
      </c>
      <c r="D89" s="2">
        <v>113.77222806177434</v>
      </c>
      <c r="E89">
        <v>1570</v>
      </c>
    </row>
    <row r="90" spans="1:6" ht="15" customHeight="1" x14ac:dyDescent="0.25">
      <c r="A90" t="s">
        <v>4</v>
      </c>
      <c r="B90" t="s">
        <v>920</v>
      </c>
      <c r="C90" s="1003">
        <v>44912</v>
      </c>
      <c r="D90" s="2">
        <v>183.50601097002323</v>
      </c>
      <c r="E90">
        <v>1570</v>
      </c>
    </row>
    <row r="91" spans="1:6" ht="15" customHeight="1" x14ac:dyDescent="0.25">
      <c r="A91" t="s">
        <v>5</v>
      </c>
      <c r="B91" t="s">
        <v>921</v>
      </c>
      <c r="C91" s="1003">
        <v>44912</v>
      </c>
      <c r="D91" s="2">
        <v>327.80805630315507</v>
      </c>
      <c r="E91">
        <v>1570</v>
      </c>
    </row>
    <row r="92" spans="1:6" ht="15" customHeight="1" x14ac:dyDescent="0.25">
      <c r="A92" t="s">
        <v>6</v>
      </c>
      <c r="B92" t="s">
        <v>922</v>
      </c>
      <c r="C92" s="1003">
        <v>44912</v>
      </c>
      <c r="D92" s="2">
        <v>352.64235639913585</v>
      </c>
      <c r="E92">
        <v>1570</v>
      </c>
    </row>
    <row r="93" spans="1:6" ht="15" customHeight="1" x14ac:dyDescent="0.25">
      <c r="A93" t="s">
        <v>260</v>
      </c>
      <c r="B93" t="s">
        <v>923</v>
      </c>
      <c r="C93" s="1003">
        <v>44912</v>
      </c>
      <c r="D93" s="2">
        <v>86.611833954299428</v>
      </c>
      <c r="E93">
        <v>1570</v>
      </c>
    </row>
    <row r="94" spans="1:6" ht="15" customHeight="1" x14ac:dyDescent="0.25">
      <c r="A94" t="s">
        <v>45</v>
      </c>
      <c r="B94" t="s">
        <v>1091</v>
      </c>
      <c r="C94" s="1003">
        <v>44912</v>
      </c>
      <c r="D94" s="2">
        <v>10792.925999999999</v>
      </c>
      <c r="E94">
        <v>1570</v>
      </c>
      <c r="F94" s="1">
        <v>1071</v>
      </c>
    </row>
    <row r="95" spans="1:6" ht="15" customHeight="1" x14ac:dyDescent="0.25">
      <c r="A95" t="s">
        <v>25</v>
      </c>
      <c r="B95" t="s">
        <v>50</v>
      </c>
      <c r="C95" s="1003">
        <v>44912</v>
      </c>
      <c r="D95" s="2">
        <v>5803.699999999998</v>
      </c>
      <c r="E95">
        <v>1570</v>
      </c>
      <c r="F95" s="1">
        <v>1071</v>
      </c>
    </row>
    <row r="96" spans="1:6" ht="15" customHeight="1" x14ac:dyDescent="0.25">
      <c r="A96" t="s">
        <v>1</v>
      </c>
      <c r="B96" t="s">
        <v>1092</v>
      </c>
      <c r="C96" s="1003">
        <v>44912</v>
      </c>
      <c r="D96" s="2">
        <v>1272.3489243574068</v>
      </c>
      <c r="E96">
        <v>1570</v>
      </c>
    </row>
    <row r="97" spans="1:6" ht="15" customHeight="1" x14ac:dyDescent="0.25">
      <c r="A97" t="s">
        <v>2</v>
      </c>
      <c r="B97" t="s">
        <v>1093</v>
      </c>
      <c r="C97" s="1003">
        <v>44912</v>
      </c>
      <c r="D97" s="2">
        <v>101.68943859376184</v>
      </c>
      <c r="E97">
        <v>1570</v>
      </c>
    </row>
    <row r="98" spans="1:6" ht="15" customHeight="1" x14ac:dyDescent="0.25">
      <c r="A98" t="s">
        <v>3</v>
      </c>
      <c r="B98" t="s">
        <v>1094</v>
      </c>
      <c r="C98" s="1003">
        <v>44912</v>
      </c>
      <c r="D98" s="2">
        <v>374.68715452877848</v>
      </c>
      <c r="E98">
        <v>1570</v>
      </c>
    </row>
    <row r="99" spans="1:6" ht="15" customHeight="1" x14ac:dyDescent="0.25">
      <c r="A99" t="s">
        <v>4</v>
      </c>
      <c r="B99" t="s">
        <v>1095</v>
      </c>
      <c r="C99" s="1003">
        <v>44912</v>
      </c>
      <c r="D99" s="2">
        <v>637.26071479761231</v>
      </c>
      <c r="E99">
        <v>1570</v>
      </c>
    </row>
    <row r="100" spans="1:6" ht="15" customHeight="1" x14ac:dyDescent="0.25">
      <c r="A100" t="s">
        <v>5</v>
      </c>
      <c r="B100" t="s">
        <v>1096</v>
      </c>
      <c r="C100" s="1003">
        <v>44912</v>
      </c>
      <c r="D100" s="2">
        <v>475.65030263571936</v>
      </c>
      <c r="E100">
        <v>1570</v>
      </c>
    </row>
    <row r="101" spans="1:6" ht="15" customHeight="1" x14ac:dyDescent="0.25">
      <c r="A101" t="s">
        <v>6</v>
      </c>
      <c r="B101" t="s">
        <v>1097</v>
      </c>
      <c r="C101" s="1003">
        <v>44912</v>
      </c>
      <c r="D101" s="2">
        <v>1697.0332951598375</v>
      </c>
      <c r="E101">
        <v>1570</v>
      </c>
    </row>
    <row r="102" spans="1:6" ht="15" customHeight="1" x14ac:dyDescent="0.25">
      <c r="A102" t="s">
        <v>7</v>
      </c>
      <c r="B102" t="s">
        <v>1098</v>
      </c>
      <c r="C102" s="1003">
        <v>44912</v>
      </c>
      <c r="D102" s="2">
        <v>84.6</v>
      </c>
      <c r="E102">
        <v>1570</v>
      </c>
    </row>
    <row r="103" spans="1:6" ht="15" customHeight="1" x14ac:dyDescent="0.25">
      <c r="A103" t="s">
        <v>260</v>
      </c>
      <c r="B103" t="s">
        <v>1099</v>
      </c>
      <c r="C103" s="1003">
        <v>44912</v>
      </c>
      <c r="D103" s="2">
        <v>345.95616992689116</v>
      </c>
      <c r="E103">
        <v>1570</v>
      </c>
    </row>
    <row r="104" spans="1:6" ht="15" customHeight="1" x14ac:dyDescent="0.25">
      <c r="A104" t="s">
        <v>141</v>
      </c>
      <c r="B104" t="s">
        <v>694</v>
      </c>
      <c r="C104" s="1003">
        <v>44912</v>
      </c>
      <c r="D104" s="2">
        <v>2072.1696428571427</v>
      </c>
      <c r="E104">
        <v>1570</v>
      </c>
      <c r="F104" s="1">
        <v>225</v>
      </c>
    </row>
    <row r="105" spans="1:6" ht="15" customHeight="1" x14ac:dyDescent="0.25">
      <c r="A105" t="s">
        <v>114</v>
      </c>
      <c r="B105" t="s">
        <v>146</v>
      </c>
      <c r="C105" s="1003">
        <v>44912</v>
      </c>
      <c r="D105" s="2">
        <v>544.9</v>
      </c>
      <c r="E105">
        <v>1570</v>
      </c>
      <c r="F105" s="1">
        <v>225</v>
      </c>
    </row>
    <row r="106" spans="1:6" ht="15" customHeight="1" x14ac:dyDescent="0.25">
      <c r="A106" t="s">
        <v>142</v>
      </c>
      <c r="B106" t="s">
        <v>695</v>
      </c>
      <c r="C106" s="1003">
        <v>44912</v>
      </c>
      <c r="D106" s="2">
        <v>212.53747263664442</v>
      </c>
      <c r="E106">
        <v>1570</v>
      </c>
    </row>
    <row r="107" spans="1:6" ht="15" customHeight="1" x14ac:dyDescent="0.25">
      <c r="A107" t="s">
        <v>143</v>
      </c>
      <c r="B107" t="s">
        <v>696</v>
      </c>
      <c r="C107" s="1003">
        <v>44912</v>
      </c>
      <c r="D107" s="2">
        <v>118.99352878985489</v>
      </c>
      <c r="E107">
        <v>1570</v>
      </c>
    </row>
    <row r="108" spans="1:6" ht="15" customHeight="1" x14ac:dyDescent="0.25">
      <c r="A108" t="s">
        <v>144</v>
      </c>
      <c r="B108" t="s">
        <v>697</v>
      </c>
      <c r="C108" s="1003">
        <v>44912</v>
      </c>
      <c r="D108" s="2">
        <v>415.94062500000007</v>
      </c>
      <c r="E108">
        <v>1570</v>
      </c>
    </row>
    <row r="109" spans="1:6" ht="15" customHeight="1" x14ac:dyDescent="0.25">
      <c r="A109" t="s">
        <v>3</v>
      </c>
      <c r="B109" t="s">
        <v>698</v>
      </c>
      <c r="C109" s="1003">
        <v>44912</v>
      </c>
      <c r="D109" s="2">
        <v>6.2512029613983593</v>
      </c>
      <c r="E109">
        <v>1570</v>
      </c>
    </row>
    <row r="110" spans="1:6" ht="15" customHeight="1" x14ac:dyDescent="0.25">
      <c r="A110" t="s">
        <v>4</v>
      </c>
      <c r="B110" t="s">
        <v>699</v>
      </c>
      <c r="C110" s="1003">
        <v>44912</v>
      </c>
      <c r="D110" s="2">
        <v>27.009587892970394</v>
      </c>
      <c r="E110">
        <v>1570</v>
      </c>
    </row>
    <row r="111" spans="1:6" ht="15" customHeight="1" x14ac:dyDescent="0.25">
      <c r="A111" t="s">
        <v>6</v>
      </c>
      <c r="B111" t="s">
        <v>701</v>
      </c>
      <c r="C111" s="1003">
        <v>44912</v>
      </c>
      <c r="D111" s="2">
        <v>578.96736074669457</v>
      </c>
      <c r="E111">
        <v>1570</v>
      </c>
    </row>
    <row r="112" spans="1:6" ht="15" customHeight="1" x14ac:dyDescent="0.25">
      <c r="A112" t="s">
        <v>260</v>
      </c>
      <c r="B112" t="s">
        <v>702</v>
      </c>
      <c r="C112" s="1003">
        <v>44912</v>
      </c>
      <c r="D112" s="2">
        <v>167.56986514766825</v>
      </c>
      <c r="E112">
        <v>1570</v>
      </c>
    </row>
    <row r="113" spans="1:6" ht="15" customHeight="1" x14ac:dyDescent="0.25">
      <c r="A113" t="s">
        <v>141</v>
      </c>
      <c r="B113" t="s">
        <v>766</v>
      </c>
      <c r="C113" s="1003">
        <v>44912</v>
      </c>
      <c r="D113" s="2">
        <v>580.20749999999998</v>
      </c>
      <c r="E113">
        <v>1570</v>
      </c>
      <c r="F113" s="1">
        <v>63</v>
      </c>
    </row>
    <row r="114" spans="1:6" ht="15" customHeight="1" x14ac:dyDescent="0.25">
      <c r="A114" t="s">
        <v>124</v>
      </c>
      <c r="B114" t="s">
        <v>156</v>
      </c>
      <c r="C114" s="1003">
        <v>44912</v>
      </c>
      <c r="D114" s="2">
        <v>200.82461538461541</v>
      </c>
      <c r="E114">
        <v>1570</v>
      </c>
      <c r="F114" s="1">
        <v>63</v>
      </c>
    </row>
    <row r="115" spans="1:6" ht="15" customHeight="1" x14ac:dyDescent="0.25">
      <c r="A115" t="s">
        <v>142</v>
      </c>
      <c r="B115" t="s">
        <v>767</v>
      </c>
      <c r="C115" s="1003">
        <v>44912</v>
      </c>
      <c r="D115" s="2">
        <v>55.250621656950912</v>
      </c>
      <c r="E115">
        <v>1570</v>
      </c>
    </row>
    <row r="116" spans="1:6" ht="15" customHeight="1" x14ac:dyDescent="0.25">
      <c r="A116" t="s">
        <v>151</v>
      </c>
      <c r="B116" t="s">
        <v>768</v>
      </c>
      <c r="C116" s="1003">
        <v>44912</v>
      </c>
      <c r="D116" s="2">
        <v>106.5</v>
      </c>
      <c r="E116">
        <v>1570</v>
      </c>
    </row>
    <row r="117" spans="1:6" ht="15" customHeight="1" x14ac:dyDescent="0.25">
      <c r="A117" t="s">
        <v>3</v>
      </c>
      <c r="B117" t="s">
        <v>769</v>
      </c>
      <c r="C117" s="1003">
        <v>44912</v>
      </c>
      <c r="D117" s="2">
        <v>2.4067447608693664</v>
      </c>
      <c r="E117">
        <v>1570</v>
      </c>
    </row>
    <row r="118" spans="1:6" ht="15" customHeight="1" x14ac:dyDescent="0.25">
      <c r="A118" t="s">
        <v>4</v>
      </c>
      <c r="B118" t="s">
        <v>770</v>
      </c>
      <c r="C118" s="1003">
        <v>44912</v>
      </c>
      <c r="D118" s="2">
        <v>22.01623971051497</v>
      </c>
      <c r="E118">
        <v>1570</v>
      </c>
    </row>
    <row r="119" spans="1:6" ht="15" customHeight="1" x14ac:dyDescent="0.25">
      <c r="A119" t="s">
        <v>6</v>
      </c>
      <c r="B119" t="s">
        <v>772</v>
      </c>
      <c r="C119" s="1003">
        <v>44912</v>
      </c>
      <c r="D119" s="2">
        <v>145.56476771685377</v>
      </c>
      <c r="E119">
        <v>1570</v>
      </c>
    </row>
    <row r="120" spans="1:6" ht="15" customHeight="1" x14ac:dyDescent="0.25">
      <c r="A120" t="s">
        <v>260</v>
      </c>
      <c r="B120" t="s">
        <v>773</v>
      </c>
      <c r="C120" s="1003">
        <v>44912</v>
      </c>
      <c r="D120" s="2">
        <v>47.644510218169501</v>
      </c>
      <c r="E120">
        <v>1570</v>
      </c>
    </row>
    <row r="121" spans="1:6" ht="15" customHeight="1" x14ac:dyDescent="0.25">
      <c r="A121" t="s">
        <v>141</v>
      </c>
      <c r="B121" t="s">
        <v>774</v>
      </c>
      <c r="C121" s="1003">
        <v>44912</v>
      </c>
      <c r="D121" s="2">
        <v>1215.6728571428571</v>
      </c>
      <c r="E121">
        <v>1570</v>
      </c>
      <c r="F121" s="1">
        <v>132</v>
      </c>
    </row>
    <row r="122" spans="1:6" ht="15" customHeight="1" x14ac:dyDescent="0.25">
      <c r="A122" t="s">
        <v>124</v>
      </c>
      <c r="B122" t="s">
        <v>158</v>
      </c>
      <c r="C122" s="1003">
        <v>44912</v>
      </c>
      <c r="D122" s="2">
        <v>420.77538461538461</v>
      </c>
      <c r="E122">
        <v>1570</v>
      </c>
      <c r="F122" s="1">
        <v>132</v>
      </c>
    </row>
    <row r="123" spans="1:6" ht="15" customHeight="1" x14ac:dyDescent="0.25">
      <c r="A123" t="s">
        <v>142</v>
      </c>
      <c r="B123" t="s">
        <v>775</v>
      </c>
      <c r="C123" s="1003">
        <v>44912</v>
      </c>
      <c r="D123" s="2">
        <v>115.76320728123046</v>
      </c>
      <c r="E123">
        <v>1570</v>
      </c>
    </row>
    <row r="124" spans="1:6" ht="15" customHeight="1" x14ac:dyDescent="0.25">
      <c r="A124" t="s">
        <v>144</v>
      </c>
      <c r="B124" t="s">
        <v>776</v>
      </c>
      <c r="C124" s="1003">
        <v>44912</v>
      </c>
      <c r="D124" s="2">
        <v>244.01850000000005</v>
      </c>
      <c r="E124">
        <v>1570</v>
      </c>
    </row>
    <row r="125" spans="1:6" ht="15" customHeight="1" x14ac:dyDescent="0.25">
      <c r="A125" t="s">
        <v>3</v>
      </c>
      <c r="B125" t="s">
        <v>777</v>
      </c>
      <c r="C125" s="1003">
        <v>44912</v>
      </c>
      <c r="D125" s="2">
        <v>4.0026580220050914</v>
      </c>
      <c r="E125">
        <v>1570</v>
      </c>
    </row>
    <row r="126" spans="1:6" ht="15" customHeight="1" x14ac:dyDescent="0.25">
      <c r="A126" t="s">
        <v>4</v>
      </c>
      <c r="B126" t="s">
        <v>778</v>
      </c>
      <c r="C126" s="1003">
        <v>44912</v>
      </c>
      <c r="D126" s="2">
        <v>38.184768701760611</v>
      </c>
      <c r="E126">
        <v>1570</v>
      </c>
    </row>
    <row r="127" spans="1:6" ht="15" customHeight="1" x14ac:dyDescent="0.25">
      <c r="A127" t="s">
        <v>6</v>
      </c>
      <c r="B127" t="s">
        <v>780</v>
      </c>
      <c r="C127" s="1003">
        <v>44912</v>
      </c>
      <c r="D127" s="2">
        <v>296.52977676220246</v>
      </c>
      <c r="E127">
        <v>1570</v>
      </c>
    </row>
    <row r="128" spans="1:6" ht="15" customHeight="1" x14ac:dyDescent="0.25">
      <c r="A128" t="s">
        <v>260</v>
      </c>
      <c r="B128" t="s">
        <v>781</v>
      </c>
      <c r="C128" s="1003">
        <v>44912</v>
      </c>
      <c r="D128" s="2">
        <v>96.398562332922069</v>
      </c>
      <c r="E128">
        <v>1570</v>
      </c>
    </row>
    <row r="129" spans="1:6" ht="15" customHeight="1" x14ac:dyDescent="0.25">
      <c r="A129" t="s">
        <v>141</v>
      </c>
      <c r="B129" t="s">
        <v>791</v>
      </c>
      <c r="C129" s="1003">
        <v>44912</v>
      </c>
      <c r="D129" s="2">
        <v>18.419285714285714</v>
      </c>
      <c r="E129">
        <v>1570</v>
      </c>
      <c r="F129" s="1">
        <v>2</v>
      </c>
    </row>
    <row r="130" spans="1:6" ht="15" customHeight="1" x14ac:dyDescent="0.25">
      <c r="A130" t="s">
        <v>129</v>
      </c>
      <c r="B130" t="s">
        <v>162</v>
      </c>
      <c r="C130" s="1003">
        <v>44912</v>
      </c>
      <c r="D130" s="2">
        <v>4.8</v>
      </c>
      <c r="E130">
        <v>1570</v>
      </c>
      <c r="F130" s="1">
        <v>2</v>
      </c>
    </row>
    <row r="131" spans="1:6" ht="15" customHeight="1" x14ac:dyDescent="0.25">
      <c r="A131" t="s">
        <v>142</v>
      </c>
      <c r="B131" t="s">
        <v>792</v>
      </c>
      <c r="C131" s="1003">
        <v>44912</v>
      </c>
      <c r="D131" s="2">
        <v>1.8015157905374632</v>
      </c>
      <c r="E131">
        <v>1570</v>
      </c>
    </row>
    <row r="132" spans="1:6" ht="15" customHeight="1" x14ac:dyDescent="0.25">
      <c r="A132" t="s">
        <v>143</v>
      </c>
      <c r="B132" t="s">
        <v>793</v>
      </c>
      <c r="C132" s="1003">
        <v>44912</v>
      </c>
      <c r="D132" s="2">
        <v>0.90610649718874903</v>
      </c>
      <c r="E132">
        <v>1570</v>
      </c>
    </row>
    <row r="133" spans="1:6" ht="15" customHeight="1" x14ac:dyDescent="0.25">
      <c r="A133" t="s">
        <v>144</v>
      </c>
      <c r="B133" t="s">
        <v>794</v>
      </c>
      <c r="C133" s="1003">
        <v>44912</v>
      </c>
      <c r="D133" s="2">
        <v>3.6972500000000008</v>
      </c>
      <c r="E133">
        <v>1570</v>
      </c>
    </row>
    <row r="134" spans="1:6" ht="15" customHeight="1" x14ac:dyDescent="0.25">
      <c r="A134" t="s">
        <v>3</v>
      </c>
      <c r="B134" t="s">
        <v>795</v>
      </c>
      <c r="C134" s="1003">
        <v>44912</v>
      </c>
      <c r="D134" s="2">
        <v>0.31985666906870219</v>
      </c>
      <c r="E134">
        <v>1570</v>
      </c>
    </row>
    <row r="135" spans="1:6" ht="15" customHeight="1" x14ac:dyDescent="0.25">
      <c r="A135" t="s">
        <v>4</v>
      </c>
      <c r="B135" t="s">
        <v>796</v>
      </c>
      <c r="C135" s="1003">
        <v>44912</v>
      </c>
      <c r="D135" s="2">
        <v>1.5556036767117964</v>
      </c>
      <c r="E135">
        <v>1570</v>
      </c>
    </row>
    <row r="136" spans="1:6" ht="15" customHeight="1" x14ac:dyDescent="0.25">
      <c r="A136" t="s">
        <v>6</v>
      </c>
      <c r="B136" t="s">
        <v>798</v>
      </c>
      <c r="C136" s="1003">
        <v>44912</v>
      </c>
      <c r="D136" s="2">
        <v>3.5859314160150193</v>
      </c>
      <c r="E136">
        <v>1570</v>
      </c>
    </row>
    <row r="137" spans="1:6" ht="15" customHeight="1" x14ac:dyDescent="0.25">
      <c r="A137" t="s">
        <v>260</v>
      </c>
      <c r="B137" t="s">
        <v>799</v>
      </c>
      <c r="C137" s="1003">
        <v>44912</v>
      </c>
      <c r="D137" s="2">
        <v>1.7527218284091712</v>
      </c>
      <c r="E137">
        <v>1570</v>
      </c>
    </row>
    <row r="138" spans="1:6" ht="15" customHeight="1" x14ac:dyDescent="0.25">
      <c r="A138" t="s">
        <v>141</v>
      </c>
      <c r="B138" t="s">
        <v>888</v>
      </c>
      <c r="C138" s="1003">
        <v>44912</v>
      </c>
      <c r="D138" s="2">
        <v>4061.4524999999999</v>
      </c>
      <c r="E138">
        <v>1570</v>
      </c>
      <c r="F138" s="1">
        <v>441</v>
      </c>
    </row>
    <row r="139" spans="1:6" ht="15" customHeight="1" x14ac:dyDescent="0.25">
      <c r="A139" t="s">
        <v>112</v>
      </c>
      <c r="B139" t="s">
        <v>145</v>
      </c>
      <c r="C139" s="1003">
        <v>44912</v>
      </c>
      <c r="D139" s="2">
        <v>915.36809815950926</v>
      </c>
      <c r="E139">
        <v>1570</v>
      </c>
      <c r="F139" s="1">
        <v>441</v>
      </c>
    </row>
    <row r="140" spans="1:6" ht="15" customHeight="1" x14ac:dyDescent="0.25">
      <c r="A140" t="s">
        <v>142</v>
      </c>
      <c r="B140" t="s">
        <v>889</v>
      </c>
      <c r="C140" s="1003">
        <v>44912</v>
      </c>
      <c r="D140" s="2">
        <v>394.53355123175436</v>
      </c>
      <c r="E140">
        <v>1570</v>
      </c>
    </row>
    <row r="141" spans="1:6" ht="15" customHeight="1" x14ac:dyDescent="0.25">
      <c r="A141" t="s">
        <v>143</v>
      </c>
      <c r="B141" t="s">
        <v>890</v>
      </c>
      <c r="C141" s="1003">
        <v>44912</v>
      </c>
      <c r="D141" s="2">
        <v>246.49895877114727</v>
      </c>
      <c r="E141">
        <v>1570</v>
      </c>
    </row>
    <row r="142" spans="1:6" ht="15" customHeight="1" x14ac:dyDescent="0.25">
      <c r="A142" t="s">
        <v>144</v>
      </c>
      <c r="B142" t="s">
        <v>891</v>
      </c>
      <c r="C142" s="1003">
        <v>44912</v>
      </c>
      <c r="D142" s="2">
        <v>815.24362500000018</v>
      </c>
      <c r="E142">
        <v>1570</v>
      </c>
    </row>
    <row r="143" spans="1:6" ht="15" customHeight="1" x14ac:dyDescent="0.25">
      <c r="A143" t="s">
        <v>3</v>
      </c>
      <c r="B143" t="s">
        <v>892</v>
      </c>
      <c r="C143" s="1003">
        <v>44912</v>
      </c>
      <c r="D143" s="2">
        <v>37.365514567650223</v>
      </c>
      <c r="E143">
        <v>1570</v>
      </c>
    </row>
    <row r="144" spans="1:6" ht="15" customHeight="1" x14ac:dyDescent="0.25">
      <c r="A144" t="s">
        <v>4</v>
      </c>
      <c r="B144" t="s">
        <v>893</v>
      </c>
      <c r="C144" s="1003">
        <v>44912</v>
      </c>
      <c r="D144" s="2">
        <v>334.0920260628701</v>
      </c>
      <c r="E144">
        <v>1570</v>
      </c>
    </row>
    <row r="145" spans="1:5" ht="15" customHeight="1" x14ac:dyDescent="0.25">
      <c r="A145" t="s">
        <v>6</v>
      </c>
      <c r="B145" t="s">
        <v>895</v>
      </c>
      <c r="C145" s="1003">
        <v>44912</v>
      </c>
      <c r="D145" s="2">
        <v>987.64779546172736</v>
      </c>
      <c r="E145">
        <v>1570</v>
      </c>
    </row>
    <row r="146" spans="1:5" ht="15" customHeight="1" x14ac:dyDescent="0.25">
      <c r="A146" t="s">
        <v>260</v>
      </c>
      <c r="B146" t="s">
        <v>896</v>
      </c>
      <c r="C146" s="1003">
        <v>44912</v>
      </c>
      <c r="D146" s="2">
        <v>330.70292975188886</v>
      </c>
      <c r="E146">
        <v>1570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locked="0" defaultSize="0" print="0" autoFill="0" autoLine="0" autoPict="0">
                <anchor>
                  <from>
                    <xdr:col>10</xdr:col>
                    <xdr:colOff>514350</xdr:colOff>
                    <xdr:row>0</xdr:row>
                    <xdr:rowOff>19050</xdr:rowOff>
                  </from>
                  <to>
                    <xdr:col>13</xdr:col>
                    <xdr:colOff>142875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Check Box 2">
              <controlPr defaultSize="0" autoFill="0" autoLine="0" autoPict="0">
                <anchor>
                  <from>
                    <xdr:col>13</xdr:col>
                    <xdr:colOff>152400</xdr:colOff>
                    <xdr:row>0</xdr:row>
                    <xdr:rowOff>19050</xdr:rowOff>
                  </from>
                  <to>
                    <xdr:col>15</xdr:col>
                    <xdr:colOff>381000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885CF75982908448C0CCD58E9ECC1E8" ma:contentTypeVersion="9" ma:contentTypeDescription="Create a new document." ma:contentTypeScope="" ma:versionID="a478edd3110d7e6d955d113fcb442d23">
  <xsd:schema xmlns:xsd="http://www.w3.org/2001/XMLSchema" xmlns:xs="http://www.w3.org/2001/XMLSchema" xmlns:p="http://schemas.microsoft.com/office/2006/metadata/properties" xmlns:ns3="b01b023f-2e04-4eae-b66d-ec0f045ae81d" targetNamespace="http://schemas.microsoft.com/office/2006/metadata/properties" ma:root="true" ma:fieldsID="dd5151873dec2cf5b6e11669b02399ad" ns3:_="">
    <xsd:import namespace="b01b023f-2e04-4eae-b66d-ec0f045ae81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01b023f-2e04-4eae-b66d-ec0f045ae81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68FECE5-85EB-4B9D-99B3-EAA4A5C63CD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01b023f-2e04-4eae-b66d-ec0f045ae81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D3B470A-75BF-4E2F-8026-468EE59635FF}">
  <ds:schemaRefs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b01b023f-2e04-4eae-b66d-ec0f045ae81d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102C2933-AB39-4274-82F1-712B269DFDA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</vt:i4>
      </vt:variant>
    </vt:vector>
  </HeadingPairs>
  <TitlesOfParts>
    <vt:vector size="21" baseType="lpstr">
      <vt:lpstr>NewRecipeList</vt:lpstr>
      <vt:lpstr>Pork Breaking</vt:lpstr>
      <vt:lpstr>Pork Leg Deboning</vt:lpstr>
      <vt:lpstr>Middles</vt:lpstr>
      <vt:lpstr>shoulders</vt:lpstr>
      <vt:lpstr>Slicing</vt:lpstr>
      <vt:lpstr>New Deboning Leg</vt:lpstr>
      <vt:lpstr>New Deboning Middles</vt:lpstr>
      <vt:lpstr>New Deboning Shoulder</vt:lpstr>
      <vt:lpstr>WorkingConsolidate</vt:lpstr>
      <vt:lpstr>ConsolidateUpload</vt:lpstr>
      <vt:lpstr>ActivatedRecipe</vt:lpstr>
      <vt:lpstr>CarcaseForBreaking</vt:lpstr>
      <vt:lpstr>DeboningDate</vt:lpstr>
      <vt:lpstr>LegBreaked</vt:lpstr>
      <vt:lpstr>MiddleBreaked</vt:lpstr>
      <vt:lpstr>Middles!Print_Area</vt:lpstr>
      <vt:lpstr>'Pork Leg Deboning'!Print_Area</vt:lpstr>
      <vt:lpstr>shoulders!Print_Area</vt:lpstr>
      <vt:lpstr>Slicing!Print_Area</vt:lpstr>
      <vt:lpstr>ShoulderBreaked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NG'ANG'A</dc:creator>
  <cp:lastModifiedBy>Joseph NG'ANG'A</cp:lastModifiedBy>
  <cp:lastPrinted>2022-11-09T07:18:57Z</cp:lastPrinted>
  <dcterms:created xsi:type="dcterms:W3CDTF">2022-08-26T04:53:13Z</dcterms:created>
  <dcterms:modified xsi:type="dcterms:W3CDTF">2023-09-28T16:11:38Z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0x0101001885CF75982908448C0CCD58E9ECC1E8</vt:lpwstr>
  </property>
</Properties>
</file>